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D:\Projekte\GitHub\adecc-DataDictionary\Docs\"/>
    </mc:Choice>
  </mc:AlternateContent>
  <xr:revisionPtr revIDLastSave="0" documentId="13_ncr:1_{460EA6F6-7532-4904-90CE-1C373C30BE29}" xr6:coauthVersionLast="47" xr6:coauthVersionMax="47" xr10:uidLastSave="{00000000-0000-0000-0000-000000000000}"/>
  <bookViews>
    <workbookView minimized="1" xWindow="1837" yWindow="1837" windowWidth="21600" windowHeight="11333" activeTab="4" xr2:uid="{2B85A2F4-6D7E-4483-BDFC-F230CC068FD2}"/>
  </bookViews>
  <sheets>
    <sheet name="Beschreibung" sheetId="6" r:id="rId1"/>
    <sheet name="Zufallsdaten" sheetId="9" r:id="rId2"/>
    <sheet name="Grunddaten" sheetId="1" r:id="rId3"/>
    <sheet name="Index" sheetId="5" r:id="rId4"/>
    <sheet name="SQL Daten" sheetId="4" r:id="rId5"/>
    <sheet name="Company Data" sheetId="3" r:id="rId6"/>
    <sheet name="Countries" sheetId="7" r:id="rId7"/>
    <sheet name="Hilfsdaten" sheetId="2" r:id="rId8"/>
  </sheets>
  <functionGroups builtInGroupCount="19"/>
  <definedNames>
    <definedName name="_xlnm._FilterDatabase" localSheetId="2" hidden="1">Grunddaten!$D$2:$AU$307</definedName>
    <definedName name="Adressen_Zufall">Zufallsdaten!$A$2:$H$201</definedName>
    <definedName name="FamilyStatus">Index!$A$11:$B$16</definedName>
    <definedName name="FormOfAddress">Index!$A$2:$B$8</definedName>
    <definedName name="Länder">Countries!#REF!</definedName>
    <definedName name="Strassen_Zufall">Zufallsdaten!$J$2:$K$303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8" i="1" l="1"/>
  <c r="J3" i="4"/>
  <c r="K3" i="4"/>
  <c r="P3" i="4"/>
  <c r="J4" i="4"/>
  <c r="K4" i="4"/>
  <c r="P4" i="4"/>
  <c r="J5" i="4"/>
  <c r="K5" i="4"/>
  <c r="P5" i="4"/>
  <c r="J6" i="4"/>
  <c r="K6" i="4"/>
  <c r="P6" i="4"/>
  <c r="J7" i="4"/>
  <c r="K7" i="4"/>
  <c r="P7" i="4"/>
  <c r="J8" i="4"/>
  <c r="K8" i="4"/>
  <c r="P8" i="4"/>
  <c r="J9" i="4"/>
  <c r="K9" i="4"/>
  <c r="P9" i="4"/>
  <c r="J10" i="4"/>
  <c r="K10" i="4"/>
  <c r="P10" i="4"/>
  <c r="J11" i="4"/>
  <c r="K11" i="4"/>
  <c r="P11" i="4"/>
  <c r="J12" i="4"/>
  <c r="K12" i="4"/>
  <c r="P12" i="4"/>
  <c r="J13" i="4"/>
  <c r="K13" i="4"/>
  <c r="P13" i="4"/>
  <c r="J14" i="4"/>
  <c r="K14" i="4"/>
  <c r="P14" i="4"/>
  <c r="J15" i="4"/>
  <c r="K15" i="4"/>
  <c r="P15" i="4"/>
  <c r="J16" i="4"/>
  <c r="K16" i="4"/>
  <c r="P16" i="4"/>
  <c r="J17" i="4"/>
  <c r="K17" i="4"/>
  <c r="P17" i="4"/>
  <c r="J18" i="4"/>
  <c r="K18" i="4"/>
  <c r="P18" i="4"/>
  <c r="J19" i="4"/>
  <c r="K19" i="4"/>
  <c r="P19" i="4"/>
  <c r="J20" i="4"/>
  <c r="K20" i="4"/>
  <c r="P20" i="4"/>
  <c r="J21" i="4"/>
  <c r="K21" i="4"/>
  <c r="P21" i="4"/>
  <c r="J22" i="4"/>
  <c r="K22" i="4"/>
  <c r="P22" i="4"/>
  <c r="J23" i="4"/>
  <c r="K23" i="4"/>
  <c r="P23" i="4"/>
  <c r="J24" i="4"/>
  <c r="K24" i="4"/>
  <c r="P24" i="4"/>
  <c r="J25" i="4"/>
  <c r="K25" i="4"/>
  <c r="P25" i="4"/>
  <c r="J26" i="4"/>
  <c r="K26" i="4"/>
  <c r="P26" i="4"/>
  <c r="J27" i="4"/>
  <c r="K27" i="4"/>
  <c r="P27" i="4"/>
  <c r="J28" i="4"/>
  <c r="K28" i="4"/>
  <c r="P28" i="4"/>
  <c r="J29" i="4"/>
  <c r="K29" i="4"/>
  <c r="P29" i="4"/>
  <c r="J30" i="4"/>
  <c r="K30" i="4"/>
  <c r="P30" i="4"/>
  <c r="J31" i="4"/>
  <c r="K31" i="4"/>
  <c r="P31" i="4"/>
  <c r="J32" i="4"/>
  <c r="K32" i="4"/>
  <c r="P32" i="4"/>
  <c r="J33" i="4"/>
  <c r="K33" i="4"/>
  <c r="P33" i="4"/>
  <c r="J34" i="4"/>
  <c r="K34" i="4"/>
  <c r="P34" i="4"/>
  <c r="J35" i="4"/>
  <c r="K35" i="4"/>
  <c r="P35" i="4"/>
  <c r="J36" i="4"/>
  <c r="K36" i="4"/>
  <c r="P36" i="4"/>
  <c r="J37" i="4"/>
  <c r="K37" i="4"/>
  <c r="P37" i="4"/>
  <c r="J38" i="4"/>
  <c r="K38" i="4"/>
  <c r="P38" i="4"/>
  <c r="J39" i="4"/>
  <c r="K39" i="4"/>
  <c r="P39" i="4"/>
  <c r="J40" i="4"/>
  <c r="K40" i="4"/>
  <c r="P40" i="4"/>
  <c r="J41" i="4"/>
  <c r="K41" i="4"/>
  <c r="P41" i="4"/>
  <c r="J42" i="4"/>
  <c r="K42" i="4"/>
  <c r="P42" i="4"/>
  <c r="J43" i="4"/>
  <c r="K43" i="4"/>
  <c r="P43" i="4"/>
  <c r="J44" i="4"/>
  <c r="K44" i="4"/>
  <c r="P44" i="4"/>
  <c r="J45" i="4"/>
  <c r="K45" i="4"/>
  <c r="P45" i="4"/>
  <c r="J46" i="4"/>
  <c r="K46" i="4"/>
  <c r="P46" i="4"/>
  <c r="J47" i="4"/>
  <c r="K47" i="4"/>
  <c r="P47" i="4"/>
  <c r="J48" i="4"/>
  <c r="K48" i="4"/>
  <c r="P48" i="4"/>
  <c r="J49" i="4"/>
  <c r="K49" i="4"/>
  <c r="P49" i="4"/>
  <c r="J50" i="4"/>
  <c r="K50" i="4"/>
  <c r="P50" i="4"/>
  <c r="J51" i="4"/>
  <c r="K51" i="4"/>
  <c r="P51" i="4"/>
  <c r="J54" i="4"/>
  <c r="K54" i="4"/>
  <c r="P54" i="4"/>
  <c r="J55" i="4"/>
  <c r="K55" i="4"/>
  <c r="P55" i="4"/>
  <c r="J56" i="4"/>
  <c r="K56" i="4"/>
  <c r="P56" i="4"/>
  <c r="J57" i="4"/>
  <c r="K57" i="4"/>
  <c r="P57" i="4"/>
  <c r="J58" i="4"/>
  <c r="K58" i="4"/>
  <c r="P58" i="4"/>
  <c r="J59" i="4"/>
  <c r="K59" i="4"/>
  <c r="P59" i="4"/>
  <c r="J60" i="4"/>
  <c r="K60" i="4"/>
  <c r="P60" i="4"/>
  <c r="J61" i="4"/>
  <c r="K61" i="4"/>
  <c r="P61" i="4"/>
  <c r="J62" i="4"/>
  <c r="K62" i="4"/>
  <c r="P62" i="4"/>
  <c r="J63" i="4"/>
  <c r="K63" i="4"/>
  <c r="P63" i="4"/>
  <c r="J64" i="4"/>
  <c r="K64" i="4"/>
  <c r="P64" i="4"/>
  <c r="J65" i="4"/>
  <c r="K65" i="4"/>
  <c r="P65" i="4"/>
  <c r="J66" i="4"/>
  <c r="K66" i="4"/>
  <c r="P66" i="4"/>
  <c r="J67" i="4"/>
  <c r="K67" i="4"/>
  <c r="P67" i="4"/>
  <c r="J68" i="4"/>
  <c r="K68" i="4"/>
  <c r="P68" i="4"/>
  <c r="J69" i="4"/>
  <c r="K69" i="4"/>
  <c r="P69" i="4"/>
  <c r="J70" i="4"/>
  <c r="K70" i="4"/>
  <c r="P70" i="4"/>
  <c r="J71" i="4"/>
  <c r="K71" i="4"/>
  <c r="P71" i="4"/>
  <c r="J72" i="4"/>
  <c r="K72" i="4"/>
  <c r="P72" i="4"/>
  <c r="J73" i="4"/>
  <c r="K73" i="4"/>
  <c r="P73" i="4"/>
  <c r="J74" i="4"/>
  <c r="K74" i="4"/>
  <c r="P74" i="4"/>
  <c r="J75" i="4"/>
  <c r="K75" i="4"/>
  <c r="P75" i="4"/>
  <c r="J76" i="4"/>
  <c r="K76" i="4"/>
  <c r="P76" i="4"/>
  <c r="J77" i="4"/>
  <c r="K77" i="4"/>
  <c r="P77" i="4"/>
  <c r="J78" i="4"/>
  <c r="K78" i="4"/>
  <c r="P78" i="4"/>
  <c r="J79" i="4"/>
  <c r="K79" i="4"/>
  <c r="P79" i="4"/>
  <c r="J80" i="4"/>
  <c r="K80" i="4"/>
  <c r="P80" i="4"/>
  <c r="J81" i="4"/>
  <c r="K81" i="4"/>
  <c r="P81" i="4"/>
  <c r="J82" i="4"/>
  <c r="K82" i="4"/>
  <c r="P82" i="4"/>
  <c r="J83" i="4"/>
  <c r="K83" i="4"/>
  <c r="P83" i="4"/>
  <c r="J84" i="4"/>
  <c r="K84" i="4"/>
  <c r="P84" i="4"/>
  <c r="J85" i="4"/>
  <c r="K85" i="4"/>
  <c r="P85" i="4"/>
  <c r="J86" i="4"/>
  <c r="K86" i="4"/>
  <c r="P86" i="4"/>
  <c r="J87" i="4"/>
  <c r="K87" i="4"/>
  <c r="P87" i="4"/>
  <c r="J88" i="4"/>
  <c r="K88" i="4"/>
  <c r="P88" i="4"/>
  <c r="J89" i="4"/>
  <c r="K89" i="4"/>
  <c r="P89" i="4"/>
  <c r="J90" i="4"/>
  <c r="K90" i="4"/>
  <c r="P90" i="4"/>
  <c r="J91" i="4"/>
  <c r="K91" i="4"/>
  <c r="P91" i="4"/>
  <c r="J92" i="4"/>
  <c r="K92" i="4"/>
  <c r="P92" i="4"/>
  <c r="J93" i="4"/>
  <c r="K93" i="4"/>
  <c r="P93" i="4"/>
  <c r="J94" i="4"/>
  <c r="K94" i="4"/>
  <c r="P94" i="4"/>
  <c r="J95" i="4"/>
  <c r="K95" i="4"/>
  <c r="P95" i="4"/>
  <c r="J96" i="4"/>
  <c r="K96" i="4"/>
  <c r="P96" i="4"/>
  <c r="J97" i="4"/>
  <c r="K97" i="4"/>
  <c r="P97" i="4"/>
  <c r="J98" i="4"/>
  <c r="K98" i="4"/>
  <c r="P98" i="4"/>
  <c r="J99" i="4"/>
  <c r="K99" i="4"/>
  <c r="P99" i="4"/>
  <c r="J100" i="4"/>
  <c r="K100" i="4"/>
  <c r="P100" i="4"/>
  <c r="J101" i="4"/>
  <c r="K101" i="4"/>
  <c r="P101" i="4"/>
  <c r="J102" i="4"/>
  <c r="K102" i="4"/>
  <c r="P102" i="4"/>
  <c r="J105" i="4"/>
  <c r="K105" i="4"/>
  <c r="P105" i="4"/>
  <c r="J106" i="4"/>
  <c r="K106" i="4"/>
  <c r="P106" i="4"/>
  <c r="J107" i="4"/>
  <c r="K107" i="4"/>
  <c r="P107" i="4"/>
  <c r="J108" i="4"/>
  <c r="K108" i="4"/>
  <c r="P108" i="4"/>
  <c r="J109" i="4"/>
  <c r="K109" i="4"/>
  <c r="P109" i="4"/>
  <c r="J110" i="4"/>
  <c r="K110" i="4"/>
  <c r="P110" i="4"/>
  <c r="J111" i="4"/>
  <c r="K111" i="4"/>
  <c r="P111" i="4"/>
  <c r="J112" i="4"/>
  <c r="K112" i="4"/>
  <c r="P112" i="4"/>
  <c r="J113" i="4"/>
  <c r="K113" i="4"/>
  <c r="P113" i="4"/>
  <c r="J114" i="4"/>
  <c r="K114" i="4"/>
  <c r="P114" i="4"/>
  <c r="J115" i="4"/>
  <c r="K115" i="4"/>
  <c r="P115" i="4"/>
  <c r="J116" i="4"/>
  <c r="K116" i="4"/>
  <c r="P116" i="4"/>
  <c r="J117" i="4"/>
  <c r="K117" i="4"/>
  <c r="P117" i="4"/>
  <c r="J118" i="4"/>
  <c r="K118" i="4"/>
  <c r="P118" i="4"/>
  <c r="J119" i="4"/>
  <c r="K119" i="4"/>
  <c r="P119" i="4"/>
  <c r="J120" i="4"/>
  <c r="K120" i="4"/>
  <c r="P120" i="4"/>
  <c r="J121" i="4"/>
  <c r="K121" i="4"/>
  <c r="P121" i="4"/>
  <c r="J122" i="4"/>
  <c r="K122" i="4"/>
  <c r="P122" i="4"/>
  <c r="J123" i="4"/>
  <c r="K123" i="4"/>
  <c r="P123" i="4"/>
  <c r="J124" i="4"/>
  <c r="K124" i="4"/>
  <c r="P124" i="4"/>
  <c r="J125" i="4"/>
  <c r="K125" i="4"/>
  <c r="P125" i="4"/>
  <c r="J126" i="4"/>
  <c r="K126" i="4"/>
  <c r="P126" i="4"/>
  <c r="J127" i="4"/>
  <c r="K127" i="4"/>
  <c r="P127" i="4"/>
  <c r="J128" i="4"/>
  <c r="K128" i="4"/>
  <c r="P128" i="4"/>
  <c r="J129" i="4"/>
  <c r="K129" i="4"/>
  <c r="P129" i="4"/>
  <c r="J130" i="4"/>
  <c r="K130" i="4"/>
  <c r="P130" i="4"/>
  <c r="J131" i="4"/>
  <c r="K131" i="4"/>
  <c r="P131" i="4"/>
  <c r="J132" i="4"/>
  <c r="K132" i="4"/>
  <c r="P132" i="4"/>
  <c r="J133" i="4"/>
  <c r="K133" i="4"/>
  <c r="P133" i="4"/>
  <c r="J134" i="4"/>
  <c r="K134" i="4"/>
  <c r="P134" i="4"/>
  <c r="J135" i="4"/>
  <c r="K135" i="4"/>
  <c r="P135" i="4"/>
  <c r="J136" i="4"/>
  <c r="K136" i="4"/>
  <c r="P136" i="4"/>
  <c r="J137" i="4"/>
  <c r="K137" i="4"/>
  <c r="P137" i="4"/>
  <c r="J138" i="4"/>
  <c r="K138" i="4"/>
  <c r="P138" i="4"/>
  <c r="J139" i="4"/>
  <c r="K139" i="4"/>
  <c r="P139" i="4"/>
  <c r="J140" i="4"/>
  <c r="K140" i="4"/>
  <c r="P140" i="4"/>
  <c r="J141" i="4"/>
  <c r="K141" i="4"/>
  <c r="P141" i="4"/>
  <c r="J142" i="4"/>
  <c r="K142" i="4"/>
  <c r="P142" i="4"/>
  <c r="J143" i="4"/>
  <c r="K143" i="4"/>
  <c r="P143" i="4"/>
  <c r="J144" i="4"/>
  <c r="K144" i="4"/>
  <c r="P144" i="4"/>
  <c r="J145" i="4"/>
  <c r="K145" i="4"/>
  <c r="P145" i="4"/>
  <c r="J146" i="4"/>
  <c r="K146" i="4"/>
  <c r="P146" i="4"/>
  <c r="J147" i="4"/>
  <c r="K147" i="4"/>
  <c r="P147" i="4"/>
  <c r="J148" i="4"/>
  <c r="K148" i="4"/>
  <c r="P148" i="4"/>
  <c r="J149" i="4"/>
  <c r="K149" i="4"/>
  <c r="P149" i="4"/>
  <c r="J150" i="4"/>
  <c r="K150" i="4"/>
  <c r="P150" i="4"/>
  <c r="J151" i="4"/>
  <c r="K151" i="4"/>
  <c r="P151" i="4"/>
  <c r="J152" i="4"/>
  <c r="K152" i="4"/>
  <c r="P152" i="4"/>
  <c r="J153" i="4"/>
  <c r="K153" i="4"/>
  <c r="P153" i="4"/>
  <c r="J154" i="4"/>
  <c r="K154" i="4"/>
  <c r="P154" i="4"/>
  <c r="J157" i="4"/>
  <c r="K157" i="4"/>
  <c r="P157" i="4"/>
  <c r="J158" i="4"/>
  <c r="K158" i="4"/>
  <c r="P158" i="4"/>
  <c r="J159" i="4"/>
  <c r="K159" i="4"/>
  <c r="P159" i="4"/>
  <c r="J160" i="4"/>
  <c r="K160" i="4"/>
  <c r="P160" i="4"/>
  <c r="J161" i="4"/>
  <c r="K161" i="4"/>
  <c r="P161" i="4"/>
  <c r="J162" i="4"/>
  <c r="K162" i="4"/>
  <c r="P162" i="4"/>
  <c r="J163" i="4"/>
  <c r="K163" i="4"/>
  <c r="P163" i="4"/>
  <c r="J164" i="4"/>
  <c r="K164" i="4"/>
  <c r="P164" i="4"/>
  <c r="J165" i="4"/>
  <c r="K165" i="4"/>
  <c r="P165" i="4"/>
  <c r="J166" i="4"/>
  <c r="K166" i="4"/>
  <c r="P166" i="4"/>
  <c r="J167" i="4"/>
  <c r="K167" i="4"/>
  <c r="P167" i="4"/>
  <c r="J168" i="4"/>
  <c r="K168" i="4"/>
  <c r="P168" i="4"/>
  <c r="J169" i="4"/>
  <c r="K169" i="4"/>
  <c r="P169" i="4"/>
  <c r="J170" i="4"/>
  <c r="K170" i="4"/>
  <c r="P170" i="4"/>
  <c r="J171" i="4"/>
  <c r="K171" i="4"/>
  <c r="P171" i="4"/>
  <c r="J172" i="4"/>
  <c r="K172" i="4"/>
  <c r="P172" i="4"/>
  <c r="J173" i="4"/>
  <c r="K173" i="4"/>
  <c r="P173" i="4"/>
  <c r="J174" i="4"/>
  <c r="K174" i="4"/>
  <c r="P174" i="4"/>
  <c r="J175" i="4"/>
  <c r="K175" i="4"/>
  <c r="P175" i="4"/>
  <c r="J176" i="4"/>
  <c r="K176" i="4"/>
  <c r="P176" i="4"/>
  <c r="J177" i="4"/>
  <c r="K177" i="4"/>
  <c r="P177" i="4"/>
  <c r="J178" i="4"/>
  <c r="K178" i="4"/>
  <c r="P178" i="4"/>
  <c r="J179" i="4"/>
  <c r="K179" i="4"/>
  <c r="P179" i="4"/>
  <c r="J180" i="4"/>
  <c r="K180" i="4"/>
  <c r="P180" i="4"/>
  <c r="J181" i="4"/>
  <c r="K181" i="4"/>
  <c r="P181" i="4"/>
  <c r="J182" i="4"/>
  <c r="K182" i="4"/>
  <c r="P182" i="4"/>
  <c r="J183" i="4"/>
  <c r="K183" i="4"/>
  <c r="P183" i="4"/>
  <c r="J184" i="4"/>
  <c r="K184" i="4"/>
  <c r="P184" i="4"/>
  <c r="J185" i="4"/>
  <c r="K185" i="4"/>
  <c r="P185" i="4"/>
  <c r="J186" i="4"/>
  <c r="K186" i="4"/>
  <c r="P186" i="4"/>
  <c r="J187" i="4"/>
  <c r="K187" i="4"/>
  <c r="P187" i="4"/>
  <c r="J188" i="4"/>
  <c r="K188" i="4"/>
  <c r="P188" i="4"/>
  <c r="J189" i="4"/>
  <c r="K189" i="4"/>
  <c r="P189" i="4"/>
  <c r="J190" i="4"/>
  <c r="K190" i="4"/>
  <c r="P190" i="4"/>
  <c r="J191" i="4"/>
  <c r="K191" i="4"/>
  <c r="P191" i="4"/>
  <c r="J192" i="4"/>
  <c r="K192" i="4"/>
  <c r="P192" i="4"/>
  <c r="J193" i="4"/>
  <c r="K193" i="4"/>
  <c r="P193" i="4"/>
  <c r="J194" i="4"/>
  <c r="K194" i="4"/>
  <c r="P194" i="4"/>
  <c r="J195" i="4"/>
  <c r="K195" i="4"/>
  <c r="P195" i="4"/>
  <c r="J196" i="4"/>
  <c r="K196" i="4"/>
  <c r="P196" i="4"/>
  <c r="J197" i="4"/>
  <c r="K197" i="4"/>
  <c r="P197" i="4"/>
  <c r="J198" i="4"/>
  <c r="K198" i="4"/>
  <c r="P198" i="4"/>
  <c r="J199" i="4"/>
  <c r="K199" i="4"/>
  <c r="P199" i="4"/>
  <c r="J200" i="4"/>
  <c r="K200" i="4"/>
  <c r="P200" i="4"/>
  <c r="J201" i="4"/>
  <c r="K201" i="4"/>
  <c r="P201" i="4"/>
  <c r="J202" i="4"/>
  <c r="K202" i="4"/>
  <c r="P202" i="4"/>
  <c r="J203" i="4"/>
  <c r="K203" i="4"/>
  <c r="P203" i="4"/>
  <c r="J204" i="4"/>
  <c r="K204" i="4"/>
  <c r="P204" i="4"/>
  <c r="J205" i="4"/>
  <c r="K205" i="4"/>
  <c r="P205" i="4"/>
  <c r="J206" i="4"/>
  <c r="K206" i="4"/>
  <c r="P206" i="4"/>
  <c r="J209" i="4"/>
  <c r="K209" i="4"/>
  <c r="P209" i="4"/>
  <c r="J210" i="4"/>
  <c r="K210" i="4"/>
  <c r="P210" i="4"/>
  <c r="J211" i="4"/>
  <c r="K211" i="4"/>
  <c r="P211" i="4"/>
  <c r="J212" i="4"/>
  <c r="K212" i="4"/>
  <c r="P212" i="4"/>
  <c r="J213" i="4"/>
  <c r="K213" i="4"/>
  <c r="P213" i="4"/>
  <c r="J214" i="4"/>
  <c r="K214" i="4"/>
  <c r="P214" i="4"/>
  <c r="J215" i="4"/>
  <c r="K215" i="4"/>
  <c r="P215" i="4"/>
  <c r="J216" i="4"/>
  <c r="K216" i="4"/>
  <c r="P216" i="4"/>
  <c r="J217" i="4"/>
  <c r="K217" i="4"/>
  <c r="P217" i="4"/>
  <c r="J218" i="4"/>
  <c r="K218" i="4"/>
  <c r="P218" i="4"/>
  <c r="J219" i="4"/>
  <c r="K219" i="4"/>
  <c r="P219" i="4"/>
  <c r="J220" i="4"/>
  <c r="K220" i="4"/>
  <c r="P220" i="4"/>
  <c r="J221" i="4"/>
  <c r="K221" i="4"/>
  <c r="P221" i="4"/>
  <c r="J222" i="4"/>
  <c r="K222" i="4"/>
  <c r="P222" i="4"/>
  <c r="J223" i="4"/>
  <c r="K223" i="4"/>
  <c r="P223" i="4"/>
  <c r="J224" i="4"/>
  <c r="K224" i="4"/>
  <c r="P224" i="4"/>
  <c r="J225" i="4"/>
  <c r="K225" i="4"/>
  <c r="P225" i="4"/>
  <c r="J226" i="4"/>
  <c r="K226" i="4"/>
  <c r="P226" i="4"/>
  <c r="J227" i="4"/>
  <c r="K227" i="4"/>
  <c r="P227" i="4"/>
  <c r="J228" i="4"/>
  <c r="K228" i="4"/>
  <c r="P228" i="4"/>
  <c r="J229" i="4"/>
  <c r="K229" i="4"/>
  <c r="P229" i="4"/>
  <c r="J230" i="4"/>
  <c r="K230" i="4"/>
  <c r="P230" i="4"/>
  <c r="J231" i="4"/>
  <c r="K231" i="4"/>
  <c r="P231" i="4"/>
  <c r="J232" i="4"/>
  <c r="K232" i="4"/>
  <c r="P232" i="4"/>
  <c r="J233" i="4"/>
  <c r="K233" i="4"/>
  <c r="P233" i="4"/>
  <c r="J234" i="4"/>
  <c r="K234" i="4"/>
  <c r="P234" i="4"/>
  <c r="J235" i="4"/>
  <c r="K235" i="4"/>
  <c r="P235" i="4"/>
  <c r="J236" i="4"/>
  <c r="K236" i="4"/>
  <c r="P236" i="4"/>
  <c r="J237" i="4"/>
  <c r="K237" i="4"/>
  <c r="P237" i="4"/>
  <c r="J238" i="4"/>
  <c r="K238" i="4"/>
  <c r="P238" i="4"/>
  <c r="J239" i="4"/>
  <c r="K239" i="4"/>
  <c r="P239" i="4"/>
  <c r="J240" i="4"/>
  <c r="K240" i="4"/>
  <c r="P240" i="4"/>
  <c r="J241" i="4"/>
  <c r="K241" i="4"/>
  <c r="P241" i="4"/>
  <c r="J242" i="4"/>
  <c r="K242" i="4"/>
  <c r="P242" i="4"/>
  <c r="J243" i="4"/>
  <c r="K243" i="4"/>
  <c r="P243" i="4"/>
  <c r="J244" i="4"/>
  <c r="K244" i="4"/>
  <c r="P244" i="4"/>
  <c r="J245" i="4"/>
  <c r="K245" i="4"/>
  <c r="P245" i="4"/>
  <c r="J246" i="4"/>
  <c r="K246" i="4"/>
  <c r="P246" i="4"/>
  <c r="J247" i="4"/>
  <c r="K247" i="4"/>
  <c r="P247" i="4"/>
  <c r="J248" i="4"/>
  <c r="K248" i="4"/>
  <c r="P248" i="4"/>
  <c r="J249" i="4"/>
  <c r="K249" i="4"/>
  <c r="P249" i="4"/>
  <c r="J250" i="4"/>
  <c r="K250" i="4"/>
  <c r="P250" i="4"/>
  <c r="J251" i="4"/>
  <c r="K251" i="4"/>
  <c r="P251" i="4"/>
  <c r="J252" i="4"/>
  <c r="K252" i="4"/>
  <c r="P252" i="4"/>
  <c r="J253" i="4"/>
  <c r="K253" i="4"/>
  <c r="P253" i="4"/>
  <c r="J254" i="4"/>
  <c r="K254" i="4"/>
  <c r="P254" i="4"/>
  <c r="J255" i="4"/>
  <c r="K255" i="4"/>
  <c r="P255" i="4"/>
  <c r="J256" i="4"/>
  <c r="K256" i="4"/>
  <c r="P256" i="4"/>
  <c r="J257" i="4"/>
  <c r="K257" i="4"/>
  <c r="P257" i="4"/>
  <c r="J258" i="4"/>
  <c r="K258" i="4"/>
  <c r="P258" i="4"/>
  <c r="J261" i="4"/>
  <c r="K261" i="4"/>
  <c r="P261" i="4"/>
  <c r="J262" i="4"/>
  <c r="K262" i="4"/>
  <c r="P262" i="4"/>
  <c r="J263" i="4"/>
  <c r="K263" i="4"/>
  <c r="P263" i="4"/>
  <c r="J264" i="4"/>
  <c r="K264" i="4"/>
  <c r="P264" i="4"/>
  <c r="J265" i="4"/>
  <c r="K265" i="4"/>
  <c r="P265" i="4"/>
  <c r="J266" i="4"/>
  <c r="K266" i="4"/>
  <c r="P266" i="4"/>
  <c r="J267" i="4"/>
  <c r="K267" i="4"/>
  <c r="P267" i="4"/>
  <c r="J268" i="4"/>
  <c r="K268" i="4"/>
  <c r="P268" i="4"/>
  <c r="J269" i="4"/>
  <c r="K269" i="4"/>
  <c r="P269" i="4"/>
  <c r="J270" i="4"/>
  <c r="K270" i="4"/>
  <c r="P270" i="4"/>
  <c r="J271" i="4"/>
  <c r="K271" i="4"/>
  <c r="P271" i="4"/>
  <c r="J272" i="4"/>
  <c r="K272" i="4"/>
  <c r="P272" i="4"/>
  <c r="J273" i="4"/>
  <c r="K273" i="4"/>
  <c r="P273" i="4"/>
  <c r="J274" i="4"/>
  <c r="K274" i="4"/>
  <c r="P274" i="4"/>
  <c r="J275" i="4"/>
  <c r="K275" i="4"/>
  <c r="P275" i="4"/>
  <c r="J276" i="4"/>
  <c r="K276" i="4"/>
  <c r="P276" i="4"/>
  <c r="J277" i="4"/>
  <c r="K277" i="4"/>
  <c r="P277" i="4"/>
  <c r="J278" i="4"/>
  <c r="K278" i="4"/>
  <c r="P278" i="4"/>
  <c r="J279" i="4"/>
  <c r="K279" i="4"/>
  <c r="P279" i="4"/>
  <c r="J280" i="4"/>
  <c r="K280" i="4"/>
  <c r="P280" i="4"/>
  <c r="J281" i="4"/>
  <c r="K281" i="4"/>
  <c r="P281" i="4"/>
  <c r="J282" i="4"/>
  <c r="K282" i="4"/>
  <c r="P282" i="4"/>
  <c r="J283" i="4"/>
  <c r="K283" i="4"/>
  <c r="P283" i="4"/>
  <c r="J284" i="4"/>
  <c r="K284" i="4"/>
  <c r="P284" i="4"/>
  <c r="J285" i="4"/>
  <c r="K285" i="4"/>
  <c r="P285" i="4"/>
  <c r="J286" i="4"/>
  <c r="K286" i="4"/>
  <c r="P286" i="4"/>
  <c r="J287" i="4"/>
  <c r="K287" i="4"/>
  <c r="P287" i="4"/>
  <c r="J288" i="4"/>
  <c r="K288" i="4"/>
  <c r="P288" i="4"/>
  <c r="J289" i="4"/>
  <c r="K289" i="4"/>
  <c r="P289" i="4"/>
  <c r="J290" i="4"/>
  <c r="K290" i="4"/>
  <c r="P290" i="4"/>
  <c r="J291" i="4"/>
  <c r="K291" i="4"/>
  <c r="P291" i="4"/>
  <c r="J292" i="4"/>
  <c r="K292" i="4"/>
  <c r="P292" i="4"/>
  <c r="J293" i="4"/>
  <c r="K293" i="4"/>
  <c r="P293" i="4"/>
  <c r="J294" i="4"/>
  <c r="K294" i="4"/>
  <c r="P294" i="4"/>
  <c r="J295" i="4"/>
  <c r="K295" i="4"/>
  <c r="P295" i="4"/>
  <c r="J296" i="4"/>
  <c r="K296" i="4"/>
  <c r="P296" i="4"/>
  <c r="J297" i="4"/>
  <c r="K297" i="4"/>
  <c r="P297" i="4"/>
  <c r="J298" i="4"/>
  <c r="K298" i="4"/>
  <c r="P298" i="4"/>
  <c r="J299" i="4"/>
  <c r="K299" i="4"/>
  <c r="P299" i="4"/>
  <c r="J300" i="4"/>
  <c r="K300" i="4"/>
  <c r="P300" i="4"/>
  <c r="J301" i="4"/>
  <c r="K301" i="4"/>
  <c r="P301" i="4"/>
  <c r="J302" i="4"/>
  <c r="K302" i="4"/>
  <c r="P302" i="4"/>
  <c r="J303" i="4"/>
  <c r="K303" i="4"/>
  <c r="P303" i="4"/>
  <c r="J304" i="4"/>
  <c r="K304" i="4"/>
  <c r="P304" i="4"/>
  <c r="J305" i="4"/>
  <c r="K305" i="4"/>
  <c r="P305" i="4"/>
  <c r="J306" i="4"/>
  <c r="K306" i="4"/>
  <c r="P306" i="4"/>
  <c r="J307" i="4"/>
  <c r="K307" i="4"/>
  <c r="P307" i="4"/>
  <c r="J308" i="4"/>
  <c r="K308" i="4"/>
  <c r="P308" i="4"/>
  <c r="J309" i="4"/>
  <c r="K309" i="4"/>
  <c r="P309" i="4"/>
  <c r="J310" i="4"/>
  <c r="K310" i="4"/>
  <c r="P310" i="4"/>
  <c r="J311" i="4"/>
  <c r="K311" i="4"/>
  <c r="P311" i="4"/>
  <c r="J314" i="4"/>
  <c r="K314" i="4"/>
  <c r="P314" i="4"/>
  <c r="J315" i="4"/>
  <c r="K315" i="4"/>
  <c r="P315" i="4"/>
  <c r="J316" i="4"/>
  <c r="K316" i="4"/>
  <c r="P316" i="4"/>
  <c r="J317" i="4"/>
  <c r="K317" i="4"/>
  <c r="P317" i="4"/>
  <c r="J318" i="4"/>
  <c r="K318" i="4"/>
  <c r="P318" i="4"/>
  <c r="P2" i="4"/>
  <c r="K2" i="4"/>
  <c r="J2" i="4"/>
  <c r="R315" i="4"/>
  <c r="S315" i="4"/>
  <c r="V315" i="4"/>
  <c r="R316" i="4"/>
  <c r="S316" i="4"/>
  <c r="V316" i="4"/>
  <c r="R317" i="4"/>
  <c r="S317" i="4"/>
  <c r="V317" i="4"/>
  <c r="R318" i="4"/>
  <c r="S318" i="4"/>
  <c r="V318" i="4"/>
  <c r="V314" i="4"/>
  <c r="S314" i="4"/>
  <c r="R314" i="4"/>
  <c r="R262" i="4"/>
  <c r="S262" i="4"/>
  <c r="V262" i="4"/>
  <c r="R263" i="4"/>
  <c r="S263" i="4"/>
  <c r="V263" i="4"/>
  <c r="R264" i="4"/>
  <c r="S264" i="4"/>
  <c r="V264" i="4"/>
  <c r="R265" i="4"/>
  <c r="S265" i="4"/>
  <c r="V265" i="4"/>
  <c r="R266" i="4"/>
  <c r="S266" i="4"/>
  <c r="V266" i="4"/>
  <c r="R267" i="4"/>
  <c r="S267" i="4"/>
  <c r="V267" i="4"/>
  <c r="R268" i="4"/>
  <c r="S268" i="4"/>
  <c r="V268" i="4"/>
  <c r="R269" i="4"/>
  <c r="S269" i="4"/>
  <c r="V269" i="4"/>
  <c r="R270" i="4"/>
  <c r="S270" i="4"/>
  <c r="V270" i="4"/>
  <c r="R271" i="4"/>
  <c r="S271" i="4"/>
  <c r="V271" i="4"/>
  <c r="R272" i="4"/>
  <c r="S272" i="4"/>
  <c r="V272" i="4"/>
  <c r="R273" i="4"/>
  <c r="S273" i="4"/>
  <c r="V273" i="4"/>
  <c r="R274" i="4"/>
  <c r="S274" i="4"/>
  <c r="V274" i="4"/>
  <c r="R275" i="4"/>
  <c r="S275" i="4"/>
  <c r="V275" i="4"/>
  <c r="R276" i="4"/>
  <c r="S276" i="4"/>
  <c r="V276" i="4"/>
  <c r="R277" i="4"/>
  <c r="S277" i="4"/>
  <c r="V277" i="4"/>
  <c r="R278" i="4"/>
  <c r="S278" i="4"/>
  <c r="V278" i="4"/>
  <c r="R279" i="4"/>
  <c r="S279" i="4"/>
  <c r="V279" i="4"/>
  <c r="R280" i="4"/>
  <c r="S280" i="4"/>
  <c r="V280" i="4"/>
  <c r="R281" i="4"/>
  <c r="S281" i="4"/>
  <c r="V281" i="4"/>
  <c r="R282" i="4"/>
  <c r="S282" i="4"/>
  <c r="V282" i="4"/>
  <c r="R283" i="4"/>
  <c r="S283" i="4"/>
  <c r="V283" i="4"/>
  <c r="R284" i="4"/>
  <c r="S284" i="4"/>
  <c r="V284" i="4"/>
  <c r="R285" i="4"/>
  <c r="S285" i="4"/>
  <c r="V285" i="4"/>
  <c r="R286" i="4"/>
  <c r="S286" i="4"/>
  <c r="V286" i="4"/>
  <c r="R287" i="4"/>
  <c r="S287" i="4"/>
  <c r="V287" i="4"/>
  <c r="R288" i="4"/>
  <c r="S288" i="4"/>
  <c r="V288" i="4"/>
  <c r="R289" i="4"/>
  <c r="S289" i="4"/>
  <c r="V289" i="4"/>
  <c r="R290" i="4"/>
  <c r="S290" i="4"/>
  <c r="V290" i="4"/>
  <c r="R291" i="4"/>
  <c r="S291" i="4"/>
  <c r="V291" i="4"/>
  <c r="R292" i="4"/>
  <c r="S292" i="4"/>
  <c r="V292" i="4"/>
  <c r="R293" i="4"/>
  <c r="S293" i="4"/>
  <c r="V293" i="4"/>
  <c r="R294" i="4"/>
  <c r="S294" i="4"/>
  <c r="V294" i="4"/>
  <c r="R295" i="4"/>
  <c r="S295" i="4"/>
  <c r="V295" i="4"/>
  <c r="R296" i="4"/>
  <c r="S296" i="4"/>
  <c r="V296" i="4"/>
  <c r="R297" i="4"/>
  <c r="S297" i="4"/>
  <c r="V297" i="4"/>
  <c r="R298" i="4"/>
  <c r="S298" i="4"/>
  <c r="V298" i="4"/>
  <c r="R299" i="4"/>
  <c r="S299" i="4"/>
  <c r="V299" i="4"/>
  <c r="R300" i="4"/>
  <c r="S300" i="4"/>
  <c r="V300" i="4"/>
  <c r="R301" i="4"/>
  <c r="S301" i="4"/>
  <c r="V301" i="4"/>
  <c r="R302" i="4"/>
  <c r="S302" i="4"/>
  <c r="V302" i="4"/>
  <c r="R303" i="4"/>
  <c r="S303" i="4"/>
  <c r="V303" i="4"/>
  <c r="R304" i="4"/>
  <c r="S304" i="4"/>
  <c r="V304" i="4"/>
  <c r="R305" i="4"/>
  <c r="S305" i="4"/>
  <c r="V305" i="4"/>
  <c r="R306" i="4"/>
  <c r="S306" i="4"/>
  <c r="V306" i="4"/>
  <c r="R307" i="4"/>
  <c r="S307" i="4"/>
  <c r="V307" i="4"/>
  <c r="R308" i="4"/>
  <c r="S308" i="4"/>
  <c r="V308" i="4"/>
  <c r="R309" i="4"/>
  <c r="S309" i="4"/>
  <c r="V309" i="4"/>
  <c r="R310" i="4"/>
  <c r="S310" i="4"/>
  <c r="V310" i="4"/>
  <c r="R311" i="4"/>
  <c r="S311" i="4"/>
  <c r="V311" i="4"/>
  <c r="V261" i="4"/>
  <c r="S261" i="4"/>
  <c r="R261" i="4"/>
  <c r="R210" i="4"/>
  <c r="S210" i="4"/>
  <c r="V210" i="4"/>
  <c r="R211" i="4"/>
  <c r="S211" i="4"/>
  <c r="V211" i="4"/>
  <c r="R212" i="4"/>
  <c r="S212" i="4"/>
  <c r="V212" i="4"/>
  <c r="R213" i="4"/>
  <c r="S213" i="4"/>
  <c r="V213" i="4"/>
  <c r="R214" i="4"/>
  <c r="S214" i="4"/>
  <c r="V214" i="4"/>
  <c r="R215" i="4"/>
  <c r="S215" i="4"/>
  <c r="V215" i="4"/>
  <c r="R216" i="4"/>
  <c r="S216" i="4"/>
  <c r="V216" i="4"/>
  <c r="R217" i="4"/>
  <c r="S217" i="4"/>
  <c r="V217" i="4"/>
  <c r="R218" i="4"/>
  <c r="S218" i="4"/>
  <c r="V218" i="4"/>
  <c r="R219" i="4"/>
  <c r="S219" i="4"/>
  <c r="V219" i="4"/>
  <c r="R220" i="4"/>
  <c r="S220" i="4"/>
  <c r="V220" i="4"/>
  <c r="R221" i="4"/>
  <c r="S221" i="4"/>
  <c r="V221" i="4"/>
  <c r="R222" i="4"/>
  <c r="S222" i="4"/>
  <c r="V222" i="4"/>
  <c r="R223" i="4"/>
  <c r="S223" i="4"/>
  <c r="V223" i="4"/>
  <c r="R224" i="4"/>
  <c r="S224" i="4"/>
  <c r="V224" i="4"/>
  <c r="R225" i="4"/>
  <c r="S225" i="4"/>
  <c r="V225" i="4"/>
  <c r="R226" i="4"/>
  <c r="S226" i="4"/>
  <c r="V226" i="4"/>
  <c r="R227" i="4"/>
  <c r="S227" i="4"/>
  <c r="V227" i="4"/>
  <c r="R228" i="4"/>
  <c r="S228" i="4"/>
  <c r="V228" i="4"/>
  <c r="R229" i="4"/>
  <c r="S229" i="4"/>
  <c r="V229" i="4"/>
  <c r="R230" i="4"/>
  <c r="S230" i="4"/>
  <c r="V230" i="4"/>
  <c r="R231" i="4"/>
  <c r="S231" i="4"/>
  <c r="V231" i="4"/>
  <c r="R232" i="4"/>
  <c r="S232" i="4"/>
  <c r="V232" i="4"/>
  <c r="R233" i="4"/>
  <c r="S233" i="4"/>
  <c r="V233" i="4"/>
  <c r="R234" i="4"/>
  <c r="S234" i="4"/>
  <c r="V234" i="4"/>
  <c r="R235" i="4"/>
  <c r="S235" i="4"/>
  <c r="V235" i="4"/>
  <c r="R236" i="4"/>
  <c r="S236" i="4"/>
  <c r="V236" i="4"/>
  <c r="R237" i="4"/>
  <c r="S237" i="4"/>
  <c r="V237" i="4"/>
  <c r="R238" i="4"/>
  <c r="S238" i="4"/>
  <c r="V238" i="4"/>
  <c r="R239" i="4"/>
  <c r="S239" i="4"/>
  <c r="V239" i="4"/>
  <c r="R240" i="4"/>
  <c r="S240" i="4"/>
  <c r="V240" i="4"/>
  <c r="R241" i="4"/>
  <c r="S241" i="4"/>
  <c r="V241" i="4"/>
  <c r="R242" i="4"/>
  <c r="S242" i="4"/>
  <c r="V242" i="4"/>
  <c r="R243" i="4"/>
  <c r="S243" i="4"/>
  <c r="V243" i="4"/>
  <c r="R244" i="4"/>
  <c r="S244" i="4"/>
  <c r="V244" i="4"/>
  <c r="R245" i="4"/>
  <c r="S245" i="4"/>
  <c r="V245" i="4"/>
  <c r="R246" i="4"/>
  <c r="S246" i="4"/>
  <c r="V246" i="4"/>
  <c r="R247" i="4"/>
  <c r="S247" i="4"/>
  <c r="V247" i="4"/>
  <c r="R248" i="4"/>
  <c r="S248" i="4"/>
  <c r="V248" i="4"/>
  <c r="R249" i="4"/>
  <c r="S249" i="4"/>
  <c r="V249" i="4"/>
  <c r="R250" i="4"/>
  <c r="S250" i="4"/>
  <c r="V250" i="4"/>
  <c r="R251" i="4"/>
  <c r="S251" i="4"/>
  <c r="V251" i="4"/>
  <c r="R252" i="4"/>
  <c r="S252" i="4"/>
  <c r="V252" i="4"/>
  <c r="R253" i="4"/>
  <c r="S253" i="4"/>
  <c r="V253" i="4"/>
  <c r="R254" i="4"/>
  <c r="S254" i="4"/>
  <c r="V254" i="4"/>
  <c r="R255" i="4"/>
  <c r="S255" i="4"/>
  <c r="V255" i="4"/>
  <c r="R256" i="4"/>
  <c r="S256" i="4"/>
  <c r="V256" i="4"/>
  <c r="R257" i="4"/>
  <c r="S257" i="4"/>
  <c r="V257" i="4"/>
  <c r="R258" i="4"/>
  <c r="S258" i="4"/>
  <c r="V258" i="4"/>
  <c r="V209" i="4"/>
  <c r="S209" i="4"/>
  <c r="R209" i="4"/>
  <c r="AB9" i="1"/>
  <c r="N8" i="4" s="1"/>
  <c r="Z10" i="1"/>
  <c r="L9" i="4" s="1"/>
  <c r="AB10" i="1"/>
  <c r="N9" i="4" s="1"/>
  <c r="Z18" i="1"/>
  <c r="L17" i="4" s="1"/>
  <c r="AB18" i="1"/>
  <c r="N17" i="4" s="1"/>
  <c r="AB25" i="1"/>
  <c r="N24" i="4" s="1"/>
  <c r="Z26" i="1"/>
  <c r="L25" i="4" s="1"/>
  <c r="AB26" i="1"/>
  <c r="N25" i="4" s="1"/>
  <c r="Z34" i="1"/>
  <c r="L33" i="4" s="1"/>
  <c r="AB34" i="1"/>
  <c r="N33" i="4" s="1"/>
  <c r="AB41" i="1"/>
  <c r="N40" i="4" s="1"/>
  <c r="Z42" i="1"/>
  <c r="L41" i="4" s="1"/>
  <c r="AB42" i="1"/>
  <c r="N41" i="4" s="1"/>
  <c r="Z50" i="1"/>
  <c r="L49" i="4" s="1"/>
  <c r="AB50" i="1"/>
  <c r="N49" i="4" s="1"/>
  <c r="AB57" i="1"/>
  <c r="N58" i="4" s="1"/>
  <c r="Z58" i="1"/>
  <c r="L59" i="4" s="1"/>
  <c r="AB58" i="1"/>
  <c r="N59" i="4" s="1"/>
  <c r="Z66" i="1"/>
  <c r="L67" i="4" s="1"/>
  <c r="AB66" i="1"/>
  <c r="N67" i="4" s="1"/>
  <c r="AB73" i="1"/>
  <c r="N74" i="4" s="1"/>
  <c r="Z74" i="1"/>
  <c r="L75" i="4" s="1"/>
  <c r="AB74" i="1"/>
  <c r="N75" i="4" s="1"/>
  <c r="Z82" i="1"/>
  <c r="L83" i="4" s="1"/>
  <c r="AB82" i="1"/>
  <c r="N83" i="4" s="1"/>
  <c r="AB89" i="1"/>
  <c r="N90" i="4" s="1"/>
  <c r="Z90" i="1"/>
  <c r="L91" i="4" s="1"/>
  <c r="AB90" i="1"/>
  <c r="N91" i="4" s="1"/>
  <c r="Z98" i="1"/>
  <c r="L99" i="4" s="1"/>
  <c r="AB98" i="1"/>
  <c r="N99" i="4" s="1"/>
  <c r="AB105" i="1"/>
  <c r="N108" i="4" s="1"/>
  <c r="Z106" i="1"/>
  <c r="L109" i="4" s="1"/>
  <c r="AB106" i="1"/>
  <c r="N109" i="4" s="1"/>
  <c r="Z114" i="1"/>
  <c r="L117" i="4" s="1"/>
  <c r="AB114" i="1"/>
  <c r="N117" i="4" s="1"/>
  <c r="AB121" i="1"/>
  <c r="N124" i="4" s="1"/>
  <c r="Z122" i="1"/>
  <c r="L125" i="4" s="1"/>
  <c r="AB122" i="1"/>
  <c r="N125" i="4" s="1"/>
  <c r="Z130" i="1"/>
  <c r="L133" i="4" s="1"/>
  <c r="AB130" i="1"/>
  <c r="N133" i="4" s="1"/>
  <c r="AB137" i="1"/>
  <c r="N140" i="4" s="1"/>
  <c r="Z138" i="1"/>
  <c r="L141" i="4" s="1"/>
  <c r="AB138" i="1"/>
  <c r="N141" i="4" s="1"/>
  <c r="Z146" i="1"/>
  <c r="L149" i="4" s="1"/>
  <c r="AB146" i="1"/>
  <c r="N149" i="4" s="1"/>
  <c r="AB153" i="1"/>
  <c r="N158" i="4" s="1"/>
  <c r="Z154" i="1"/>
  <c r="L159" i="4" s="1"/>
  <c r="AB154" i="1"/>
  <c r="N159" i="4" s="1"/>
  <c r="Z162" i="1"/>
  <c r="L167" i="4" s="1"/>
  <c r="AB162" i="1"/>
  <c r="N167" i="4" s="1"/>
  <c r="AB169" i="1"/>
  <c r="N174" i="4" s="1"/>
  <c r="Z170" i="1"/>
  <c r="L175" i="4" s="1"/>
  <c r="AB170" i="1"/>
  <c r="N175" i="4" s="1"/>
  <c r="Z178" i="1"/>
  <c r="L183" i="4" s="1"/>
  <c r="AB178" i="1"/>
  <c r="N183" i="4" s="1"/>
  <c r="AB185" i="1"/>
  <c r="N190" i="4" s="1"/>
  <c r="Z186" i="1"/>
  <c r="L191" i="4" s="1"/>
  <c r="AB186" i="1"/>
  <c r="N191" i="4" s="1"/>
  <c r="Z194" i="1"/>
  <c r="L199" i="4" s="1"/>
  <c r="AB194" i="1"/>
  <c r="N199" i="4" s="1"/>
  <c r="AB201" i="1"/>
  <c r="N206" i="4" s="1"/>
  <c r="Z202" i="1"/>
  <c r="L209" i="4" s="1"/>
  <c r="AB202" i="1"/>
  <c r="N209" i="4" s="1"/>
  <c r="Z210" i="1"/>
  <c r="L217" i="4" s="1"/>
  <c r="AB210" i="1"/>
  <c r="N217" i="4" s="1"/>
  <c r="AB217" i="1"/>
  <c r="N224" i="4" s="1"/>
  <c r="Z218" i="1"/>
  <c r="L225" i="4" s="1"/>
  <c r="AB218" i="1"/>
  <c r="N225" i="4" s="1"/>
  <c r="Z226" i="1"/>
  <c r="L233" i="4" s="1"/>
  <c r="AB226" i="1"/>
  <c r="N233" i="4" s="1"/>
  <c r="AB233" i="1"/>
  <c r="N240" i="4" s="1"/>
  <c r="Z234" i="1"/>
  <c r="L241" i="4" s="1"/>
  <c r="AB234" i="1"/>
  <c r="N241" i="4" s="1"/>
  <c r="Z242" i="1"/>
  <c r="L249" i="4" s="1"/>
  <c r="AB242" i="1"/>
  <c r="N249" i="4" s="1"/>
  <c r="AB249" i="1"/>
  <c r="N256" i="4" s="1"/>
  <c r="Z250" i="1"/>
  <c r="L257" i="4" s="1"/>
  <c r="AB250" i="1"/>
  <c r="N257" i="4" s="1"/>
  <c r="Z258" i="1"/>
  <c r="L267" i="4" s="1"/>
  <c r="AB258" i="1"/>
  <c r="N267" i="4" s="1"/>
  <c r="AB265" i="1"/>
  <c r="N274" i="4" s="1"/>
  <c r="Z266" i="1"/>
  <c r="L275" i="4" s="1"/>
  <c r="AB266" i="1"/>
  <c r="N275" i="4" s="1"/>
  <c r="Z274" i="1"/>
  <c r="L283" i="4" s="1"/>
  <c r="AB274" i="1"/>
  <c r="N283" i="4" s="1"/>
  <c r="AB281" i="1"/>
  <c r="N290" i="4" s="1"/>
  <c r="Z282" i="1"/>
  <c r="L291" i="4" s="1"/>
  <c r="AB282" i="1"/>
  <c r="N291" i="4" s="1"/>
  <c r="Z290" i="1"/>
  <c r="L299" i="4" s="1"/>
  <c r="AB290" i="1"/>
  <c r="N299" i="4" s="1"/>
  <c r="AB297" i="1"/>
  <c r="N306" i="4" s="1"/>
  <c r="Z298" i="1"/>
  <c r="L307" i="4" s="1"/>
  <c r="AB298" i="1"/>
  <c r="N307" i="4" s="1"/>
  <c r="Z306" i="1"/>
  <c r="L317" i="4" s="1"/>
  <c r="AB306" i="1"/>
  <c r="N317" i="4" s="1"/>
  <c r="R158" i="4"/>
  <c r="S158" i="4"/>
  <c r="R159" i="4"/>
  <c r="S159" i="4"/>
  <c r="R160" i="4"/>
  <c r="S160" i="4"/>
  <c r="R161" i="4"/>
  <c r="S161" i="4"/>
  <c r="R162" i="4"/>
  <c r="S162" i="4"/>
  <c r="R163" i="4"/>
  <c r="S163" i="4"/>
  <c r="R164" i="4"/>
  <c r="S164" i="4"/>
  <c r="R165" i="4"/>
  <c r="S165" i="4"/>
  <c r="R166" i="4"/>
  <c r="S166" i="4"/>
  <c r="R167" i="4"/>
  <c r="S167" i="4"/>
  <c r="R168" i="4"/>
  <c r="S168" i="4"/>
  <c r="R169" i="4"/>
  <c r="S169" i="4"/>
  <c r="R170" i="4"/>
  <c r="S170" i="4"/>
  <c r="R171" i="4"/>
  <c r="S171" i="4"/>
  <c r="R172" i="4"/>
  <c r="S172" i="4"/>
  <c r="R173" i="4"/>
  <c r="S173" i="4"/>
  <c r="R174" i="4"/>
  <c r="S174" i="4"/>
  <c r="R175" i="4"/>
  <c r="S175" i="4"/>
  <c r="R176" i="4"/>
  <c r="S176" i="4"/>
  <c r="R177" i="4"/>
  <c r="S177" i="4"/>
  <c r="R178" i="4"/>
  <c r="S178" i="4"/>
  <c r="R179" i="4"/>
  <c r="S179" i="4"/>
  <c r="R180" i="4"/>
  <c r="S180" i="4"/>
  <c r="R181" i="4"/>
  <c r="S181" i="4"/>
  <c r="R182" i="4"/>
  <c r="S182" i="4"/>
  <c r="R183" i="4"/>
  <c r="S183" i="4"/>
  <c r="R184" i="4"/>
  <c r="S184" i="4"/>
  <c r="R185" i="4"/>
  <c r="S185" i="4"/>
  <c r="R186" i="4"/>
  <c r="S186" i="4"/>
  <c r="R187" i="4"/>
  <c r="S187" i="4"/>
  <c r="R188" i="4"/>
  <c r="S188" i="4"/>
  <c r="R189" i="4"/>
  <c r="S189" i="4"/>
  <c r="R190" i="4"/>
  <c r="S190" i="4"/>
  <c r="R191" i="4"/>
  <c r="S191" i="4"/>
  <c r="R192" i="4"/>
  <c r="S192" i="4"/>
  <c r="R193" i="4"/>
  <c r="S193" i="4"/>
  <c r="R194" i="4"/>
  <c r="S194" i="4"/>
  <c r="R195" i="4"/>
  <c r="S195" i="4"/>
  <c r="R196" i="4"/>
  <c r="S196" i="4"/>
  <c r="R197" i="4"/>
  <c r="S197" i="4"/>
  <c r="R198" i="4"/>
  <c r="S198" i="4"/>
  <c r="R199" i="4"/>
  <c r="S199" i="4"/>
  <c r="R200" i="4"/>
  <c r="S200" i="4"/>
  <c r="R201" i="4"/>
  <c r="S201" i="4"/>
  <c r="R202" i="4"/>
  <c r="S202" i="4"/>
  <c r="R203" i="4"/>
  <c r="S203" i="4"/>
  <c r="R204" i="4"/>
  <c r="S204" i="4"/>
  <c r="R205" i="4"/>
  <c r="S205" i="4"/>
  <c r="R206" i="4"/>
  <c r="S206" i="4"/>
  <c r="S157" i="4"/>
  <c r="R157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AB4" i="1"/>
  <c r="N3" i="4" s="1"/>
  <c r="AB5" i="1"/>
  <c r="N4" i="4" s="1"/>
  <c r="AB6" i="1"/>
  <c r="N5" i="4" s="1"/>
  <c r="AB7" i="1"/>
  <c r="N6" i="4" s="1"/>
  <c r="AB8" i="1"/>
  <c r="N7" i="4" s="1"/>
  <c r="AB11" i="1"/>
  <c r="N10" i="4" s="1"/>
  <c r="AB12" i="1"/>
  <c r="N11" i="4" s="1"/>
  <c r="AB13" i="1"/>
  <c r="N12" i="4" s="1"/>
  <c r="AB14" i="1"/>
  <c r="N13" i="4" s="1"/>
  <c r="AB15" i="1"/>
  <c r="N14" i="4" s="1"/>
  <c r="AB16" i="1"/>
  <c r="N15" i="4" s="1"/>
  <c r="AB17" i="1"/>
  <c r="N16" i="4" s="1"/>
  <c r="AB19" i="1"/>
  <c r="N18" i="4" s="1"/>
  <c r="AB20" i="1"/>
  <c r="N19" i="4" s="1"/>
  <c r="AB21" i="1"/>
  <c r="N20" i="4" s="1"/>
  <c r="AB22" i="1"/>
  <c r="N21" i="4" s="1"/>
  <c r="AB23" i="1"/>
  <c r="N22" i="4" s="1"/>
  <c r="AB24" i="1"/>
  <c r="N23" i="4" s="1"/>
  <c r="AB27" i="1"/>
  <c r="N26" i="4" s="1"/>
  <c r="AB28" i="1"/>
  <c r="N27" i="4" s="1"/>
  <c r="AB29" i="1"/>
  <c r="N28" i="4" s="1"/>
  <c r="AB30" i="1"/>
  <c r="N29" i="4" s="1"/>
  <c r="AB31" i="1"/>
  <c r="N30" i="4" s="1"/>
  <c r="AB32" i="1"/>
  <c r="N31" i="4" s="1"/>
  <c r="AB33" i="1"/>
  <c r="N32" i="4" s="1"/>
  <c r="AB35" i="1"/>
  <c r="N34" i="4" s="1"/>
  <c r="AB36" i="1"/>
  <c r="N35" i="4" s="1"/>
  <c r="AB37" i="1"/>
  <c r="N36" i="4" s="1"/>
  <c r="AB38" i="1"/>
  <c r="N37" i="4" s="1"/>
  <c r="AB39" i="1"/>
  <c r="N38" i="4" s="1"/>
  <c r="AB40" i="1"/>
  <c r="N39" i="4" s="1"/>
  <c r="AB43" i="1"/>
  <c r="N42" i="4" s="1"/>
  <c r="AB44" i="1"/>
  <c r="N43" i="4" s="1"/>
  <c r="AB45" i="1"/>
  <c r="N44" i="4" s="1"/>
  <c r="AB46" i="1"/>
  <c r="N45" i="4" s="1"/>
  <c r="AB47" i="1"/>
  <c r="N46" i="4" s="1"/>
  <c r="AB48" i="1"/>
  <c r="N47" i="4" s="1"/>
  <c r="AB49" i="1"/>
  <c r="N48" i="4" s="1"/>
  <c r="AB51" i="1"/>
  <c r="N50" i="4" s="1"/>
  <c r="AB52" i="1"/>
  <c r="N51" i="4" s="1"/>
  <c r="AB53" i="1"/>
  <c r="N54" i="4" s="1"/>
  <c r="AB54" i="1"/>
  <c r="N55" i="4" s="1"/>
  <c r="AB55" i="1"/>
  <c r="N56" i="4" s="1"/>
  <c r="AB56" i="1"/>
  <c r="N57" i="4" s="1"/>
  <c r="AB59" i="1"/>
  <c r="N60" i="4" s="1"/>
  <c r="AB60" i="1"/>
  <c r="N61" i="4" s="1"/>
  <c r="AB61" i="1"/>
  <c r="N62" i="4" s="1"/>
  <c r="AB62" i="1"/>
  <c r="N63" i="4" s="1"/>
  <c r="AB63" i="1"/>
  <c r="N64" i="4" s="1"/>
  <c r="AB64" i="1"/>
  <c r="N65" i="4" s="1"/>
  <c r="AB65" i="1"/>
  <c r="N66" i="4" s="1"/>
  <c r="AB67" i="1"/>
  <c r="N68" i="4" s="1"/>
  <c r="AB68" i="1"/>
  <c r="N69" i="4" s="1"/>
  <c r="AB69" i="1"/>
  <c r="N70" i="4" s="1"/>
  <c r="AB70" i="1"/>
  <c r="N71" i="4" s="1"/>
  <c r="AB71" i="1"/>
  <c r="N72" i="4" s="1"/>
  <c r="AB72" i="1"/>
  <c r="N73" i="4" s="1"/>
  <c r="AB75" i="1"/>
  <c r="N76" i="4" s="1"/>
  <c r="AB76" i="1"/>
  <c r="N77" i="4" s="1"/>
  <c r="AB77" i="1"/>
  <c r="N78" i="4" s="1"/>
  <c r="AB78" i="1"/>
  <c r="N79" i="4" s="1"/>
  <c r="AB79" i="1"/>
  <c r="N80" i="4" s="1"/>
  <c r="AB80" i="1"/>
  <c r="N81" i="4" s="1"/>
  <c r="AB81" i="1"/>
  <c r="N82" i="4" s="1"/>
  <c r="AB83" i="1"/>
  <c r="N84" i="4" s="1"/>
  <c r="AB84" i="1"/>
  <c r="N85" i="4" s="1"/>
  <c r="AB85" i="1"/>
  <c r="N86" i="4" s="1"/>
  <c r="AB86" i="1"/>
  <c r="N87" i="4" s="1"/>
  <c r="AB87" i="1"/>
  <c r="N88" i="4" s="1"/>
  <c r="AB88" i="1"/>
  <c r="N89" i="4" s="1"/>
  <c r="AB91" i="1"/>
  <c r="N92" i="4" s="1"/>
  <c r="AB92" i="1"/>
  <c r="N93" i="4" s="1"/>
  <c r="AB93" i="1"/>
  <c r="N94" i="4" s="1"/>
  <c r="AB94" i="1"/>
  <c r="N95" i="4" s="1"/>
  <c r="AB95" i="1"/>
  <c r="N96" i="4" s="1"/>
  <c r="AB96" i="1"/>
  <c r="N97" i="4" s="1"/>
  <c r="AB97" i="1"/>
  <c r="N98" i="4" s="1"/>
  <c r="AB99" i="1"/>
  <c r="N100" i="4" s="1"/>
  <c r="AB100" i="1"/>
  <c r="N101" i="4" s="1"/>
  <c r="AB101" i="1"/>
  <c r="N102" i="4" s="1"/>
  <c r="AB102" i="1"/>
  <c r="N105" i="4" s="1"/>
  <c r="AB103" i="1"/>
  <c r="N106" i="4" s="1"/>
  <c r="AB104" i="1"/>
  <c r="N107" i="4" s="1"/>
  <c r="AB107" i="1"/>
  <c r="N110" i="4" s="1"/>
  <c r="AB108" i="1"/>
  <c r="N111" i="4" s="1"/>
  <c r="AB109" i="1"/>
  <c r="N112" i="4" s="1"/>
  <c r="AB110" i="1"/>
  <c r="N113" i="4" s="1"/>
  <c r="AB111" i="1"/>
  <c r="N114" i="4" s="1"/>
  <c r="AB112" i="1"/>
  <c r="N115" i="4" s="1"/>
  <c r="AB113" i="1"/>
  <c r="N116" i="4" s="1"/>
  <c r="AB115" i="1"/>
  <c r="N118" i="4" s="1"/>
  <c r="AB116" i="1"/>
  <c r="N119" i="4" s="1"/>
  <c r="AB117" i="1"/>
  <c r="N120" i="4" s="1"/>
  <c r="AB118" i="1"/>
  <c r="N121" i="4" s="1"/>
  <c r="AB119" i="1"/>
  <c r="N122" i="4" s="1"/>
  <c r="AB120" i="1"/>
  <c r="N123" i="4" s="1"/>
  <c r="AB123" i="1"/>
  <c r="N126" i="4" s="1"/>
  <c r="AB124" i="1"/>
  <c r="N127" i="4" s="1"/>
  <c r="AB125" i="1"/>
  <c r="N128" i="4" s="1"/>
  <c r="AB126" i="1"/>
  <c r="N129" i="4" s="1"/>
  <c r="AB127" i="1"/>
  <c r="N130" i="4" s="1"/>
  <c r="AB128" i="1"/>
  <c r="N131" i="4" s="1"/>
  <c r="AB129" i="1"/>
  <c r="N132" i="4" s="1"/>
  <c r="AB131" i="1"/>
  <c r="N134" i="4" s="1"/>
  <c r="AB132" i="1"/>
  <c r="N135" i="4" s="1"/>
  <c r="AB133" i="1"/>
  <c r="N136" i="4" s="1"/>
  <c r="AB134" i="1"/>
  <c r="N137" i="4" s="1"/>
  <c r="AB135" i="1"/>
  <c r="N138" i="4" s="1"/>
  <c r="AB136" i="1"/>
  <c r="N139" i="4" s="1"/>
  <c r="AB139" i="1"/>
  <c r="N142" i="4" s="1"/>
  <c r="AB140" i="1"/>
  <c r="N143" i="4" s="1"/>
  <c r="AB141" i="1"/>
  <c r="N144" i="4" s="1"/>
  <c r="AB142" i="1"/>
  <c r="N145" i="4" s="1"/>
  <c r="AB143" i="1"/>
  <c r="N146" i="4" s="1"/>
  <c r="AB144" i="1"/>
  <c r="N147" i="4" s="1"/>
  <c r="AB145" i="1"/>
  <c r="N148" i="4" s="1"/>
  <c r="AB147" i="1"/>
  <c r="N150" i="4" s="1"/>
  <c r="AB148" i="1"/>
  <c r="N151" i="4" s="1"/>
  <c r="AB149" i="1"/>
  <c r="N152" i="4" s="1"/>
  <c r="AB150" i="1"/>
  <c r="N153" i="4" s="1"/>
  <c r="AB151" i="1"/>
  <c r="N154" i="4" s="1"/>
  <c r="AB152" i="1"/>
  <c r="N157" i="4" s="1"/>
  <c r="AB155" i="1"/>
  <c r="N160" i="4" s="1"/>
  <c r="AB156" i="1"/>
  <c r="N161" i="4" s="1"/>
  <c r="AB157" i="1"/>
  <c r="N162" i="4" s="1"/>
  <c r="AB158" i="1"/>
  <c r="N163" i="4" s="1"/>
  <c r="AB159" i="1"/>
  <c r="N164" i="4" s="1"/>
  <c r="AB160" i="1"/>
  <c r="N165" i="4" s="1"/>
  <c r="AB161" i="1"/>
  <c r="N166" i="4" s="1"/>
  <c r="AB163" i="1"/>
  <c r="N168" i="4" s="1"/>
  <c r="AB164" i="1"/>
  <c r="N169" i="4" s="1"/>
  <c r="AB165" i="1"/>
  <c r="N170" i="4" s="1"/>
  <c r="AB166" i="1"/>
  <c r="N171" i="4" s="1"/>
  <c r="AB167" i="1"/>
  <c r="N172" i="4" s="1"/>
  <c r="AB168" i="1"/>
  <c r="N173" i="4" s="1"/>
  <c r="AB171" i="1"/>
  <c r="N176" i="4" s="1"/>
  <c r="AB172" i="1"/>
  <c r="N177" i="4" s="1"/>
  <c r="AB173" i="1"/>
  <c r="N178" i="4" s="1"/>
  <c r="AB174" i="1"/>
  <c r="N179" i="4" s="1"/>
  <c r="AB175" i="1"/>
  <c r="N180" i="4" s="1"/>
  <c r="AB176" i="1"/>
  <c r="N181" i="4" s="1"/>
  <c r="AB177" i="1"/>
  <c r="N182" i="4" s="1"/>
  <c r="AB179" i="1"/>
  <c r="N184" i="4" s="1"/>
  <c r="AB180" i="1"/>
  <c r="N185" i="4" s="1"/>
  <c r="AB181" i="1"/>
  <c r="N186" i="4" s="1"/>
  <c r="AB182" i="1"/>
  <c r="N187" i="4" s="1"/>
  <c r="AB183" i="1"/>
  <c r="N188" i="4" s="1"/>
  <c r="AB184" i="1"/>
  <c r="N189" i="4" s="1"/>
  <c r="AB187" i="1"/>
  <c r="N192" i="4" s="1"/>
  <c r="AB188" i="1"/>
  <c r="N193" i="4" s="1"/>
  <c r="AB189" i="1"/>
  <c r="N194" i="4" s="1"/>
  <c r="AB190" i="1"/>
  <c r="N195" i="4" s="1"/>
  <c r="AB191" i="1"/>
  <c r="N196" i="4" s="1"/>
  <c r="AB192" i="1"/>
  <c r="N197" i="4" s="1"/>
  <c r="AB193" i="1"/>
  <c r="N198" i="4" s="1"/>
  <c r="AB195" i="1"/>
  <c r="N200" i="4" s="1"/>
  <c r="AB196" i="1"/>
  <c r="N201" i="4" s="1"/>
  <c r="AB197" i="1"/>
  <c r="N202" i="4" s="1"/>
  <c r="AB198" i="1"/>
  <c r="N203" i="4" s="1"/>
  <c r="AB199" i="1"/>
  <c r="N204" i="4" s="1"/>
  <c r="AB200" i="1"/>
  <c r="N205" i="4" s="1"/>
  <c r="AB203" i="1"/>
  <c r="N210" i="4" s="1"/>
  <c r="AB204" i="1"/>
  <c r="N211" i="4" s="1"/>
  <c r="AB205" i="1"/>
  <c r="N212" i="4" s="1"/>
  <c r="AB206" i="1"/>
  <c r="N213" i="4" s="1"/>
  <c r="AB207" i="1"/>
  <c r="N214" i="4" s="1"/>
  <c r="AB208" i="1"/>
  <c r="N215" i="4" s="1"/>
  <c r="AB209" i="1"/>
  <c r="N216" i="4" s="1"/>
  <c r="AB211" i="1"/>
  <c r="N218" i="4" s="1"/>
  <c r="AB212" i="1"/>
  <c r="N219" i="4" s="1"/>
  <c r="AB213" i="1"/>
  <c r="N220" i="4" s="1"/>
  <c r="AB214" i="1"/>
  <c r="N221" i="4" s="1"/>
  <c r="AB215" i="1"/>
  <c r="N222" i="4" s="1"/>
  <c r="AB216" i="1"/>
  <c r="N223" i="4" s="1"/>
  <c r="AB219" i="1"/>
  <c r="N226" i="4" s="1"/>
  <c r="AB220" i="1"/>
  <c r="N227" i="4" s="1"/>
  <c r="AB221" i="1"/>
  <c r="N228" i="4" s="1"/>
  <c r="AB222" i="1"/>
  <c r="N229" i="4" s="1"/>
  <c r="AB223" i="1"/>
  <c r="N230" i="4" s="1"/>
  <c r="AB224" i="1"/>
  <c r="N231" i="4" s="1"/>
  <c r="AB225" i="1"/>
  <c r="N232" i="4" s="1"/>
  <c r="AB227" i="1"/>
  <c r="N234" i="4" s="1"/>
  <c r="AB228" i="1"/>
  <c r="N235" i="4" s="1"/>
  <c r="AB229" i="1"/>
  <c r="N236" i="4" s="1"/>
  <c r="AB230" i="1"/>
  <c r="N237" i="4" s="1"/>
  <c r="AB231" i="1"/>
  <c r="N238" i="4" s="1"/>
  <c r="AB232" i="1"/>
  <c r="N239" i="4" s="1"/>
  <c r="AB235" i="1"/>
  <c r="N242" i="4" s="1"/>
  <c r="AB236" i="1"/>
  <c r="N243" i="4" s="1"/>
  <c r="AB237" i="1"/>
  <c r="N244" i="4" s="1"/>
  <c r="AB238" i="1"/>
  <c r="N245" i="4" s="1"/>
  <c r="AB239" i="1"/>
  <c r="N246" i="4" s="1"/>
  <c r="AB240" i="1"/>
  <c r="N247" i="4" s="1"/>
  <c r="AB241" i="1"/>
  <c r="N248" i="4" s="1"/>
  <c r="AB243" i="1"/>
  <c r="N250" i="4" s="1"/>
  <c r="AB244" i="1"/>
  <c r="N251" i="4" s="1"/>
  <c r="AB245" i="1"/>
  <c r="N252" i="4" s="1"/>
  <c r="AB246" i="1"/>
  <c r="N253" i="4" s="1"/>
  <c r="AB247" i="1"/>
  <c r="N254" i="4" s="1"/>
  <c r="AB248" i="1"/>
  <c r="N255" i="4" s="1"/>
  <c r="AB251" i="1"/>
  <c r="N258" i="4" s="1"/>
  <c r="AB252" i="1"/>
  <c r="N261" i="4" s="1"/>
  <c r="AB253" i="1"/>
  <c r="N262" i="4" s="1"/>
  <c r="AB254" i="1"/>
  <c r="N263" i="4" s="1"/>
  <c r="AB255" i="1"/>
  <c r="N264" i="4" s="1"/>
  <c r="AB256" i="1"/>
  <c r="N265" i="4" s="1"/>
  <c r="AB257" i="1"/>
  <c r="N266" i="4" s="1"/>
  <c r="AB259" i="1"/>
  <c r="N268" i="4" s="1"/>
  <c r="AB260" i="1"/>
  <c r="N269" i="4" s="1"/>
  <c r="AB261" i="1"/>
  <c r="N270" i="4" s="1"/>
  <c r="AB262" i="1"/>
  <c r="N271" i="4" s="1"/>
  <c r="AB263" i="1"/>
  <c r="N272" i="4" s="1"/>
  <c r="AB264" i="1"/>
  <c r="N273" i="4" s="1"/>
  <c r="AB267" i="1"/>
  <c r="N276" i="4" s="1"/>
  <c r="AB268" i="1"/>
  <c r="N277" i="4" s="1"/>
  <c r="AB269" i="1"/>
  <c r="N278" i="4" s="1"/>
  <c r="AB270" i="1"/>
  <c r="N279" i="4" s="1"/>
  <c r="AB271" i="1"/>
  <c r="N280" i="4" s="1"/>
  <c r="AB272" i="1"/>
  <c r="N281" i="4" s="1"/>
  <c r="AB273" i="1"/>
  <c r="N282" i="4" s="1"/>
  <c r="AB275" i="1"/>
  <c r="N284" i="4" s="1"/>
  <c r="AB276" i="1"/>
  <c r="N285" i="4" s="1"/>
  <c r="AB277" i="1"/>
  <c r="N286" i="4" s="1"/>
  <c r="AB278" i="1"/>
  <c r="N287" i="4" s="1"/>
  <c r="AB279" i="1"/>
  <c r="N288" i="4" s="1"/>
  <c r="AB280" i="1"/>
  <c r="N289" i="4" s="1"/>
  <c r="AB283" i="1"/>
  <c r="N292" i="4" s="1"/>
  <c r="AB284" i="1"/>
  <c r="N293" i="4" s="1"/>
  <c r="AB285" i="1"/>
  <c r="N294" i="4" s="1"/>
  <c r="AB286" i="1"/>
  <c r="N295" i="4" s="1"/>
  <c r="AB287" i="1"/>
  <c r="N296" i="4" s="1"/>
  <c r="AB288" i="1"/>
  <c r="N297" i="4" s="1"/>
  <c r="AB289" i="1"/>
  <c r="N298" i="4" s="1"/>
  <c r="AB291" i="1"/>
  <c r="N300" i="4" s="1"/>
  <c r="AB292" i="1"/>
  <c r="N301" i="4" s="1"/>
  <c r="AB293" i="1"/>
  <c r="N302" i="4" s="1"/>
  <c r="AB294" i="1"/>
  <c r="N303" i="4" s="1"/>
  <c r="AB295" i="1"/>
  <c r="N304" i="4" s="1"/>
  <c r="AB296" i="1"/>
  <c r="N305" i="4" s="1"/>
  <c r="AB299" i="1"/>
  <c r="N308" i="4" s="1"/>
  <c r="AB300" i="1"/>
  <c r="N309" i="4" s="1"/>
  <c r="AB301" i="1"/>
  <c r="N310" i="4" s="1"/>
  <c r="AB302" i="1"/>
  <c r="N311" i="4" s="1"/>
  <c r="AB303" i="1"/>
  <c r="N314" i="4" s="1"/>
  <c r="AB304" i="1"/>
  <c r="N315" i="4" s="1"/>
  <c r="AB305" i="1"/>
  <c r="N316" i="4" s="1"/>
  <c r="AB307" i="1"/>
  <c r="N318" i="4" s="1"/>
  <c r="AB3" i="1"/>
  <c r="N2" i="4" s="1"/>
  <c r="Z4" i="1"/>
  <c r="L3" i="4" s="1"/>
  <c r="Z5" i="1"/>
  <c r="L4" i="4" s="1"/>
  <c r="Z6" i="1"/>
  <c r="L5" i="4" s="1"/>
  <c r="Z7" i="1"/>
  <c r="L6" i="4" s="1"/>
  <c r="Z8" i="1"/>
  <c r="L7" i="4" s="1"/>
  <c r="Z9" i="1"/>
  <c r="L8" i="4" s="1"/>
  <c r="Z11" i="1"/>
  <c r="L10" i="4" s="1"/>
  <c r="Z12" i="1"/>
  <c r="L11" i="4" s="1"/>
  <c r="Z13" i="1"/>
  <c r="L12" i="4" s="1"/>
  <c r="Z14" i="1"/>
  <c r="L13" i="4" s="1"/>
  <c r="Z15" i="1"/>
  <c r="L14" i="4" s="1"/>
  <c r="Z16" i="1"/>
  <c r="L15" i="4" s="1"/>
  <c r="Z17" i="1"/>
  <c r="L16" i="4" s="1"/>
  <c r="Z19" i="1"/>
  <c r="L18" i="4" s="1"/>
  <c r="Z20" i="1"/>
  <c r="L19" i="4" s="1"/>
  <c r="Z21" i="1"/>
  <c r="L20" i="4" s="1"/>
  <c r="Z22" i="1"/>
  <c r="L21" i="4" s="1"/>
  <c r="Z23" i="1"/>
  <c r="L22" i="4" s="1"/>
  <c r="Z24" i="1"/>
  <c r="L23" i="4" s="1"/>
  <c r="Z25" i="1"/>
  <c r="L24" i="4" s="1"/>
  <c r="Z27" i="1"/>
  <c r="L26" i="4" s="1"/>
  <c r="Z28" i="1"/>
  <c r="L27" i="4" s="1"/>
  <c r="Z29" i="1"/>
  <c r="L28" i="4" s="1"/>
  <c r="Z30" i="1"/>
  <c r="L29" i="4" s="1"/>
  <c r="Z31" i="1"/>
  <c r="L30" i="4" s="1"/>
  <c r="Z32" i="1"/>
  <c r="L31" i="4" s="1"/>
  <c r="Z33" i="1"/>
  <c r="L32" i="4" s="1"/>
  <c r="Z35" i="1"/>
  <c r="L34" i="4" s="1"/>
  <c r="Z36" i="1"/>
  <c r="L35" i="4" s="1"/>
  <c r="Z37" i="1"/>
  <c r="L36" i="4" s="1"/>
  <c r="Z38" i="1"/>
  <c r="L37" i="4" s="1"/>
  <c r="Z39" i="1"/>
  <c r="L38" i="4" s="1"/>
  <c r="Z40" i="1"/>
  <c r="L39" i="4" s="1"/>
  <c r="Z41" i="1"/>
  <c r="L40" i="4" s="1"/>
  <c r="Z43" i="1"/>
  <c r="L42" i="4" s="1"/>
  <c r="Z44" i="1"/>
  <c r="L43" i="4" s="1"/>
  <c r="Z45" i="1"/>
  <c r="L44" i="4" s="1"/>
  <c r="Z46" i="1"/>
  <c r="L45" i="4" s="1"/>
  <c r="Z47" i="1"/>
  <c r="L46" i="4" s="1"/>
  <c r="Z48" i="1"/>
  <c r="L47" i="4" s="1"/>
  <c r="Z49" i="1"/>
  <c r="L48" i="4" s="1"/>
  <c r="Z51" i="1"/>
  <c r="L50" i="4" s="1"/>
  <c r="Z52" i="1"/>
  <c r="L51" i="4" s="1"/>
  <c r="Z53" i="1"/>
  <c r="L54" i="4" s="1"/>
  <c r="Z54" i="1"/>
  <c r="L55" i="4" s="1"/>
  <c r="Z55" i="1"/>
  <c r="L56" i="4" s="1"/>
  <c r="Z56" i="1"/>
  <c r="L57" i="4" s="1"/>
  <c r="Z57" i="1"/>
  <c r="L58" i="4" s="1"/>
  <c r="Z59" i="1"/>
  <c r="L60" i="4" s="1"/>
  <c r="Z60" i="1"/>
  <c r="L61" i="4" s="1"/>
  <c r="Z61" i="1"/>
  <c r="L62" i="4" s="1"/>
  <c r="Z62" i="1"/>
  <c r="L63" i="4" s="1"/>
  <c r="Z63" i="1"/>
  <c r="L64" i="4" s="1"/>
  <c r="Z64" i="1"/>
  <c r="L65" i="4" s="1"/>
  <c r="Z65" i="1"/>
  <c r="L66" i="4" s="1"/>
  <c r="Z67" i="1"/>
  <c r="L68" i="4" s="1"/>
  <c r="Z68" i="1"/>
  <c r="L69" i="4" s="1"/>
  <c r="Z69" i="1"/>
  <c r="L70" i="4" s="1"/>
  <c r="Z70" i="1"/>
  <c r="L71" i="4" s="1"/>
  <c r="Z71" i="1"/>
  <c r="L72" i="4" s="1"/>
  <c r="Z72" i="1"/>
  <c r="L73" i="4" s="1"/>
  <c r="Z73" i="1"/>
  <c r="L74" i="4" s="1"/>
  <c r="Z75" i="1"/>
  <c r="L76" i="4" s="1"/>
  <c r="Z76" i="1"/>
  <c r="L77" i="4" s="1"/>
  <c r="Z77" i="1"/>
  <c r="L78" i="4" s="1"/>
  <c r="Z78" i="1"/>
  <c r="L79" i="4" s="1"/>
  <c r="Z79" i="1"/>
  <c r="L80" i="4" s="1"/>
  <c r="Z80" i="1"/>
  <c r="L81" i="4" s="1"/>
  <c r="Z81" i="1"/>
  <c r="L82" i="4" s="1"/>
  <c r="Z83" i="1"/>
  <c r="L84" i="4" s="1"/>
  <c r="Z84" i="1"/>
  <c r="L85" i="4" s="1"/>
  <c r="Z85" i="1"/>
  <c r="L86" i="4" s="1"/>
  <c r="Z86" i="1"/>
  <c r="L87" i="4" s="1"/>
  <c r="Z87" i="1"/>
  <c r="L88" i="4" s="1"/>
  <c r="Z88" i="1"/>
  <c r="L89" i="4" s="1"/>
  <c r="Z89" i="1"/>
  <c r="L90" i="4" s="1"/>
  <c r="Z91" i="1"/>
  <c r="L92" i="4" s="1"/>
  <c r="Z92" i="1"/>
  <c r="L93" i="4" s="1"/>
  <c r="Z93" i="1"/>
  <c r="L94" i="4" s="1"/>
  <c r="Z94" i="1"/>
  <c r="L95" i="4" s="1"/>
  <c r="Z95" i="1"/>
  <c r="L96" i="4" s="1"/>
  <c r="Z96" i="1"/>
  <c r="L97" i="4" s="1"/>
  <c r="Z97" i="1"/>
  <c r="L98" i="4" s="1"/>
  <c r="Z99" i="1"/>
  <c r="L100" i="4" s="1"/>
  <c r="Z100" i="1"/>
  <c r="L101" i="4" s="1"/>
  <c r="Z101" i="1"/>
  <c r="L102" i="4" s="1"/>
  <c r="Z102" i="1"/>
  <c r="L105" i="4" s="1"/>
  <c r="Z103" i="1"/>
  <c r="L106" i="4" s="1"/>
  <c r="Z104" i="1"/>
  <c r="L107" i="4" s="1"/>
  <c r="Z105" i="1"/>
  <c r="L108" i="4" s="1"/>
  <c r="Z107" i="1"/>
  <c r="L110" i="4" s="1"/>
  <c r="Z108" i="1"/>
  <c r="L111" i="4" s="1"/>
  <c r="Z109" i="1"/>
  <c r="L112" i="4" s="1"/>
  <c r="Z110" i="1"/>
  <c r="L113" i="4" s="1"/>
  <c r="Z111" i="1"/>
  <c r="L114" i="4" s="1"/>
  <c r="Z112" i="1"/>
  <c r="L115" i="4" s="1"/>
  <c r="Z113" i="1"/>
  <c r="L116" i="4" s="1"/>
  <c r="Z115" i="1"/>
  <c r="L118" i="4" s="1"/>
  <c r="Z116" i="1"/>
  <c r="L119" i="4" s="1"/>
  <c r="Z117" i="1"/>
  <c r="L120" i="4" s="1"/>
  <c r="Z118" i="1"/>
  <c r="L121" i="4" s="1"/>
  <c r="Z119" i="1"/>
  <c r="L122" i="4" s="1"/>
  <c r="Z120" i="1"/>
  <c r="L123" i="4" s="1"/>
  <c r="Z121" i="1"/>
  <c r="L124" i="4" s="1"/>
  <c r="Z123" i="1"/>
  <c r="L126" i="4" s="1"/>
  <c r="Z124" i="1"/>
  <c r="L127" i="4" s="1"/>
  <c r="Z125" i="1"/>
  <c r="L128" i="4" s="1"/>
  <c r="Z126" i="1"/>
  <c r="L129" i="4" s="1"/>
  <c r="Z127" i="1"/>
  <c r="L130" i="4" s="1"/>
  <c r="Z128" i="1"/>
  <c r="L131" i="4" s="1"/>
  <c r="Z129" i="1"/>
  <c r="L132" i="4" s="1"/>
  <c r="Z131" i="1"/>
  <c r="L134" i="4" s="1"/>
  <c r="Z132" i="1"/>
  <c r="L135" i="4" s="1"/>
  <c r="Z133" i="1"/>
  <c r="L136" i="4" s="1"/>
  <c r="Z134" i="1"/>
  <c r="L137" i="4" s="1"/>
  <c r="Z135" i="1"/>
  <c r="L138" i="4" s="1"/>
  <c r="Z136" i="1"/>
  <c r="L139" i="4" s="1"/>
  <c r="Z137" i="1"/>
  <c r="L140" i="4" s="1"/>
  <c r="Z139" i="1"/>
  <c r="L142" i="4" s="1"/>
  <c r="Z140" i="1"/>
  <c r="L143" i="4" s="1"/>
  <c r="Z141" i="1"/>
  <c r="L144" i="4" s="1"/>
  <c r="Z142" i="1"/>
  <c r="L145" i="4" s="1"/>
  <c r="Z143" i="1"/>
  <c r="L146" i="4" s="1"/>
  <c r="Z144" i="1"/>
  <c r="L147" i="4" s="1"/>
  <c r="Z145" i="1"/>
  <c r="L148" i="4" s="1"/>
  <c r="Z147" i="1"/>
  <c r="L150" i="4" s="1"/>
  <c r="Z148" i="1"/>
  <c r="L151" i="4" s="1"/>
  <c r="Z149" i="1"/>
  <c r="L152" i="4" s="1"/>
  <c r="Z150" i="1"/>
  <c r="L153" i="4" s="1"/>
  <c r="Z151" i="1"/>
  <c r="L154" i="4" s="1"/>
  <c r="Z152" i="1"/>
  <c r="L157" i="4" s="1"/>
  <c r="Z153" i="1"/>
  <c r="L158" i="4" s="1"/>
  <c r="Z155" i="1"/>
  <c r="L160" i="4" s="1"/>
  <c r="Z156" i="1"/>
  <c r="L161" i="4" s="1"/>
  <c r="Z157" i="1"/>
  <c r="L162" i="4" s="1"/>
  <c r="Z158" i="1"/>
  <c r="L163" i="4" s="1"/>
  <c r="Z159" i="1"/>
  <c r="L164" i="4" s="1"/>
  <c r="Z160" i="1"/>
  <c r="L165" i="4" s="1"/>
  <c r="Z161" i="1"/>
  <c r="L166" i="4" s="1"/>
  <c r="Z163" i="1"/>
  <c r="L168" i="4" s="1"/>
  <c r="Z164" i="1"/>
  <c r="L169" i="4" s="1"/>
  <c r="Z165" i="1"/>
  <c r="L170" i="4" s="1"/>
  <c r="Z166" i="1"/>
  <c r="L171" i="4" s="1"/>
  <c r="Z167" i="1"/>
  <c r="L172" i="4" s="1"/>
  <c r="Z168" i="1"/>
  <c r="L173" i="4" s="1"/>
  <c r="Z169" i="1"/>
  <c r="L174" i="4" s="1"/>
  <c r="Z171" i="1"/>
  <c r="L176" i="4" s="1"/>
  <c r="Z172" i="1"/>
  <c r="L177" i="4" s="1"/>
  <c r="Z173" i="1"/>
  <c r="L178" i="4" s="1"/>
  <c r="Z174" i="1"/>
  <c r="L179" i="4" s="1"/>
  <c r="Z175" i="1"/>
  <c r="L180" i="4" s="1"/>
  <c r="Z176" i="1"/>
  <c r="L181" i="4" s="1"/>
  <c r="Z177" i="1"/>
  <c r="L182" i="4" s="1"/>
  <c r="Z179" i="1"/>
  <c r="L184" i="4" s="1"/>
  <c r="Z180" i="1"/>
  <c r="L185" i="4" s="1"/>
  <c r="Z181" i="1"/>
  <c r="L186" i="4" s="1"/>
  <c r="Z182" i="1"/>
  <c r="L187" i="4" s="1"/>
  <c r="Z183" i="1"/>
  <c r="L188" i="4" s="1"/>
  <c r="Z184" i="1"/>
  <c r="L189" i="4" s="1"/>
  <c r="Z185" i="1"/>
  <c r="L190" i="4" s="1"/>
  <c r="Z187" i="1"/>
  <c r="L192" i="4" s="1"/>
  <c r="Z188" i="1"/>
  <c r="L193" i="4" s="1"/>
  <c r="Z189" i="1"/>
  <c r="L194" i="4" s="1"/>
  <c r="Z190" i="1"/>
  <c r="L195" i="4" s="1"/>
  <c r="Z191" i="1"/>
  <c r="L196" i="4" s="1"/>
  <c r="Z192" i="1"/>
  <c r="L197" i="4" s="1"/>
  <c r="Z193" i="1"/>
  <c r="L198" i="4" s="1"/>
  <c r="Z195" i="1"/>
  <c r="L200" i="4" s="1"/>
  <c r="Z196" i="1"/>
  <c r="L201" i="4" s="1"/>
  <c r="Z197" i="1"/>
  <c r="L202" i="4" s="1"/>
  <c r="Z198" i="1"/>
  <c r="L203" i="4" s="1"/>
  <c r="Z199" i="1"/>
  <c r="L204" i="4" s="1"/>
  <c r="Z200" i="1"/>
  <c r="L205" i="4" s="1"/>
  <c r="Z201" i="1"/>
  <c r="L206" i="4" s="1"/>
  <c r="Z203" i="1"/>
  <c r="L210" i="4" s="1"/>
  <c r="Z204" i="1"/>
  <c r="L211" i="4" s="1"/>
  <c r="Z205" i="1"/>
  <c r="L212" i="4" s="1"/>
  <c r="Z206" i="1"/>
  <c r="L213" i="4" s="1"/>
  <c r="Z207" i="1"/>
  <c r="L214" i="4" s="1"/>
  <c r="Z208" i="1"/>
  <c r="L215" i="4" s="1"/>
  <c r="Z209" i="1"/>
  <c r="L216" i="4" s="1"/>
  <c r="Z211" i="1"/>
  <c r="L218" i="4" s="1"/>
  <c r="Z212" i="1"/>
  <c r="L219" i="4" s="1"/>
  <c r="Z213" i="1"/>
  <c r="L220" i="4" s="1"/>
  <c r="Z214" i="1"/>
  <c r="L221" i="4" s="1"/>
  <c r="Z215" i="1"/>
  <c r="L222" i="4" s="1"/>
  <c r="Z216" i="1"/>
  <c r="L223" i="4" s="1"/>
  <c r="Z217" i="1"/>
  <c r="L224" i="4" s="1"/>
  <c r="Z219" i="1"/>
  <c r="L226" i="4" s="1"/>
  <c r="Z220" i="1"/>
  <c r="L227" i="4" s="1"/>
  <c r="Z221" i="1"/>
  <c r="L228" i="4" s="1"/>
  <c r="Z222" i="1"/>
  <c r="L229" i="4" s="1"/>
  <c r="Z223" i="1"/>
  <c r="L230" i="4" s="1"/>
  <c r="Z224" i="1"/>
  <c r="L231" i="4" s="1"/>
  <c r="Z225" i="1"/>
  <c r="L232" i="4" s="1"/>
  <c r="Z227" i="1"/>
  <c r="L234" i="4" s="1"/>
  <c r="Z228" i="1"/>
  <c r="L235" i="4" s="1"/>
  <c r="Z229" i="1"/>
  <c r="L236" i="4" s="1"/>
  <c r="Z230" i="1"/>
  <c r="L237" i="4" s="1"/>
  <c r="Z231" i="1"/>
  <c r="L238" i="4" s="1"/>
  <c r="Z232" i="1"/>
  <c r="L239" i="4" s="1"/>
  <c r="Z233" i="1"/>
  <c r="L240" i="4" s="1"/>
  <c r="Z235" i="1"/>
  <c r="L242" i="4" s="1"/>
  <c r="Z236" i="1"/>
  <c r="L243" i="4" s="1"/>
  <c r="Z237" i="1"/>
  <c r="L244" i="4" s="1"/>
  <c r="Z238" i="1"/>
  <c r="L245" i="4" s="1"/>
  <c r="Z239" i="1"/>
  <c r="L246" i="4" s="1"/>
  <c r="Z240" i="1"/>
  <c r="L247" i="4" s="1"/>
  <c r="Z241" i="1"/>
  <c r="L248" i="4" s="1"/>
  <c r="Z243" i="1"/>
  <c r="L250" i="4" s="1"/>
  <c r="Z244" i="1"/>
  <c r="L251" i="4" s="1"/>
  <c r="Z245" i="1"/>
  <c r="L252" i="4" s="1"/>
  <c r="Z246" i="1"/>
  <c r="L253" i="4" s="1"/>
  <c r="Z247" i="1"/>
  <c r="L254" i="4" s="1"/>
  <c r="Z248" i="1"/>
  <c r="L255" i="4" s="1"/>
  <c r="Z249" i="1"/>
  <c r="L256" i="4" s="1"/>
  <c r="Z251" i="1"/>
  <c r="L258" i="4" s="1"/>
  <c r="Z252" i="1"/>
  <c r="L261" i="4" s="1"/>
  <c r="Z253" i="1"/>
  <c r="L262" i="4" s="1"/>
  <c r="Z254" i="1"/>
  <c r="L263" i="4" s="1"/>
  <c r="Z255" i="1"/>
  <c r="L264" i="4" s="1"/>
  <c r="Z256" i="1"/>
  <c r="L265" i="4" s="1"/>
  <c r="Z257" i="1"/>
  <c r="L266" i="4" s="1"/>
  <c r="Z259" i="1"/>
  <c r="L268" i="4" s="1"/>
  <c r="Z260" i="1"/>
  <c r="L269" i="4" s="1"/>
  <c r="Z261" i="1"/>
  <c r="L270" i="4" s="1"/>
  <c r="Z262" i="1"/>
  <c r="L271" i="4" s="1"/>
  <c r="Z263" i="1"/>
  <c r="L272" i="4" s="1"/>
  <c r="Z264" i="1"/>
  <c r="L273" i="4" s="1"/>
  <c r="Z265" i="1"/>
  <c r="L274" i="4" s="1"/>
  <c r="Z267" i="1"/>
  <c r="L276" i="4" s="1"/>
  <c r="Z268" i="1"/>
  <c r="L277" i="4" s="1"/>
  <c r="Z269" i="1"/>
  <c r="L278" i="4" s="1"/>
  <c r="Z270" i="1"/>
  <c r="L279" i="4" s="1"/>
  <c r="Z271" i="1"/>
  <c r="L280" i="4" s="1"/>
  <c r="Z272" i="1"/>
  <c r="L281" i="4" s="1"/>
  <c r="Z273" i="1"/>
  <c r="L282" i="4" s="1"/>
  <c r="Z275" i="1"/>
  <c r="L284" i="4" s="1"/>
  <c r="Z276" i="1"/>
  <c r="L285" i="4" s="1"/>
  <c r="Z277" i="1"/>
  <c r="L286" i="4" s="1"/>
  <c r="Z278" i="1"/>
  <c r="L287" i="4" s="1"/>
  <c r="Z279" i="1"/>
  <c r="L288" i="4" s="1"/>
  <c r="Z280" i="1"/>
  <c r="L289" i="4" s="1"/>
  <c r="Z281" i="1"/>
  <c r="L290" i="4" s="1"/>
  <c r="Z283" i="1"/>
  <c r="L292" i="4" s="1"/>
  <c r="Z284" i="1"/>
  <c r="L293" i="4" s="1"/>
  <c r="Z285" i="1"/>
  <c r="L294" i="4" s="1"/>
  <c r="Z286" i="1"/>
  <c r="L295" i="4" s="1"/>
  <c r="Z287" i="1"/>
  <c r="L296" i="4" s="1"/>
  <c r="Z288" i="1"/>
  <c r="L297" i="4" s="1"/>
  <c r="Z289" i="1"/>
  <c r="L298" i="4" s="1"/>
  <c r="Z291" i="1"/>
  <c r="L300" i="4" s="1"/>
  <c r="Z292" i="1"/>
  <c r="L301" i="4" s="1"/>
  <c r="Z293" i="1"/>
  <c r="L302" i="4" s="1"/>
  <c r="Z294" i="1"/>
  <c r="L303" i="4" s="1"/>
  <c r="Z295" i="1"/>
  <c r="L304" i="4" s="1"/>
  <c r="Z296" i="1"/>
  <c r="L305" i="4" s="1"/>
  <c r="Z297" i="1"/>
  <c r="L306" i="4" s="1"/>
  <c r="Z299" i="1"/>
  <c r="L308" i="4" s="1"/>
  <c r="Z300" i="1"/>
  <c r="L309" i="4" s="1"/>
  <c r="Z301" i="1"/>
  <c r="L310" i="4" s="1"/>
  <c r="Z302" i="1"/>
  <c r="L311" i="4" s="1"/>
  <c r="Z303" i="1"/>
  <c r="L314" i="4" s="1"/>
  <c r="Z304" i="1"/>
  <c r="L315" i="4" s="1"/>
  <c r="Z305" i="1"/>
  <c r="L316" i="4" s="1"/>
  <c r="Z307" i="1"/>
  <c r="L318" i="4" s="1"/>
  <c r="Z3" i="1"/>
  <c r="L2" i="4" s="1"/>
  <c r="R106" i="4"/>
  <c r="S106" i="4"/>
  <c r="V106" i="4"/>
  <c r="R107" i="4"/>
  <c r="S107" i="4"/>
  <c r="V107" i="4"/>
  <c r="R108" i="4"/>
  <c r="S108" i="4"/>
  <c r="V108" i="4"/>
  <c r="R109" i="4"/>
  <c r="S109" i="4"/>
  <c r="V109" i="4"/>
  <c r="R110" i="4"/>
  <c r="S110" i="4"/>
  <c r="V110" i="4"/>
  <c r="R111" i="4"/>
  <c r="S111" i="4"/>
  <c r="V111" i="4"/>
  <c r="R112" i="4"/>
  <c r="S112" i="4"/>
  <c r="V112" i="4"/>
  <c r="R113" i="4"/>
  <c r="S113" i="4"/>
  <c r="V113" i="4"/>
  <c r="R114" i="4"/>
  <c r="S114" i="4"/>
  <c r="V114" i="4"/>
  <c r="R115" i="4"/>
  <c r="S115" i="4"/>
  <c r="V115" i="4"/>
  <c r="R116" i="4"/>
  <c r="S116" i="4"/>
  <c r="V116" i="4"/>
  <c r="R117" i="4"/>
  <c r="S117" i="4"/>
  <c r="V117" i="4"/>
  <c r="R118" i="4"/>
  <c r="S118" i="4"/>
  <c r="V118" i="4"/>
  <c r="R119" i="4"/>
  <c r="S119" i="4"/>
  <c r="V119" i="4"/>
  <c r="R120" i="4"/>
  <c r="S120" i="4"/>
  <c r="V120" i="4"/>
  <c r="R121" i="4"/>
  <c r="S121" i="4"/>
  <c r="V121" i="4"/>
  <c r="R122" i="4"/>
  <c r="S122" i="4"/>
  <c r="V122" i="4"/>
  <c r="R123" i="4"/>
  <c r="S123" i="4"/>
  <c r="V123" i="4"/>
  <c r="R124" i="4"/>
  <c r="S124" i="4"/>
  <c r="V124" i="4"/>
  <c r="R125" i="4"/>
  <c r="S125" i="4"/>
  <c r="V125" i="4"/>
  <c r="R126" i="4"/>
  <c r="S126" i="4"/>
  <c r="V126" i="4"/>
  <c r="R127" i="4"/>
  <c r="S127" i="4"/>
  <c r="V127" i="4"/>
  <c r="R128" i="4"/>
  <c r="S128" i="4"/>
  <c r="V128" i="4"/>
  <c r="R129" i="4"/>
  <c r="S129" i="4"/>
  <c r="V129" i="4"/>
  <c r="R130" i="4"/>
  <c r="S130" i="4"/>
  <c r="V130" i="4"/>
  <c r="R131" i="4"/>
  <c r="S131" i="4"/>
  <c r="V131" i="4"/>
  <c r="R132" i="4"/>
  <c r="S132" i="4"/>
  <c r="V132" i="4"/>
  <c r="R133" i="4"/>
  <c r="S133" i="4"/>
  <c r="V133" i="4"/>
  <c r="R134" i="4"/>
  <c r="S134" i="4"/>
  <c r="V134" i="4"/>
  <c r="R135" i="4"/>
  <c r="S135" i="4"/>
  <c r="V135" i="4"/>
  <c r="R136" i="4"/>
  <c r="S136" i="4"/>
  <c r="V136" i="4"/>
  <c r="R137" i="4"/>
  <c r="S137" i="4"/>
  <c r="V137" i="4"/>
  <c r="R138" i="4"/>
  <c r="S138" i="4"/>
  <c r="V138" i="4"/>
  <c r="R139" i="4"/>
  <c r="S139" i="4"/>
  <c r="V139" i="4"/>
  <c r="R140" i="4"/>
  <c r="S140" i="4"/>
  <c r="V140" i="4"/>
  <c r="R141" i="4"/>
  <c r="S141" i="4"/>
  <c r="V141" i="4"/>
  <c r="R142" i="4"/>
  <c r="S142" i="4"/>
  <c r="V142" i="4"/>
  <c r="R143" i="4"/>
  <c r="S143" i="4"/>
  <c r="V143" i="4"/>
  <c r="R144" i="4"/>
  <c r="S144" i="4"/>
  <c r="V144" i="4"/>
  <c r="R145" i="4"/>
  <c r="S145" i="4"/>
  <c r="V145" i="4"/>
  <c r="R146" i="4"/>
  <c r="S146" i="4"/>
  <c r="V146" i="4"/>
  <c r="R147" i="4"/>
  <c r="S147" i="4"/>
  <c r="V147" i="4"/>
  <c r="R148" i="4"/>
  <c r="S148" i="4"/>
  <c r="V148" i="4"/>
  <c r="R149" i="4"/>
  <c r="S149" i="4"/>
  <c r="V149" i="4"/>
  <c r="R150" i="4"/>
  <c r="S150" i="4"/>
  <c r="V150" i="4"/>
  <c r="R151" i="4"/>
  <c r="S151" i="4"/>
  <c r="V151" i="4"/>
  <c r="R152" i="4"/>
  <c r="S152" i="4"/>
  <c r="V152" i="4"/>
  <c r="R153" i="4"/>
  <c r="S153" i="4"/>
  <c r="V153" i="4"/>
  <c r="R154" i="4"/>
  <c r="S154" i="4"/>
  <c r="V154" i="4"/>
  <c r="V155" i="4"/>
  <c r="V105" i="4"/>
  <c r="S105" i="4"/>
  <c r="R105" i="4"/>
  <c r="R55" i="4"/>
  <c r="S55" i="4"/>
  <c r="V55" i="4"/>
  <c r="R56" i="4"/>
  <c r="S56" i="4"/>
  <c r="V56" i="4"/>
  <c r="R57" i="4"/>
  <c r="S57" i="4"/>
  <c r="V57" i="4"/>
  <c r="R58" i="4"/>
  <c r="S58" i="4"/>
  <c r="V58" i="4"/>
  <c r="R59" i="4"/>
  <c r="S59" i="4"/>
  <c r="V59" i="4"/>
  <c r="R60" i="4"/>
  <c r="S60" i="4"/>
  <c r="V60" i="4"/>
  <c r="R61" i="4"/>
  <c r="S61" i="4"/>
  <c r="V61" i="4"/>
  <c r="R62" i="4"/>
  <c r="S62" i="4"/>
  <c r="V62" i="4"/>
  <c r="R63" i="4"/>
  <c r="S63" i="4"/>
  <c r="V63" i="4"/>
  <c r="R64" i="4"/>
  <c r="S64" i="4"/>
  <c r="V64" i="4"/>
  <c r="R65" i="4"/>
  <c r="S65" i="4"/>
  <c r="V65" i="4"/>
  <c r="R66" i="4"/>
  <c r="S66" i="4"/>
  <c r="V66" i="4"/>
  <c r="R67" i="4"/>
  <c r="S67" i="4"/>
  <c r="V67" i="4"/>
  <c r="R68" i="4"/>
  <c r="S68" i="4"/>
  <c r="V68" i="4"/>
  <c r="R69" i="4"/>
  <c r="S69" i="4"/>
  <c r="V69" i="4"/>
  <c r="R70" i="4"/>
  <c r="S70" i="4"/>
  <c r="V70" i="4"/>
  <c r="R71" i="4"/>
  <c r="S71" i="4"/>
  <c r="V71" i="4"/>
  <c r="R72" i="4"/>
  <c r="S72" i="4"/>
  <c r="V72" i="4"/>
  <c r="R73" i="4"/>
  <c r="S73" i="4"/>
  <c r="V73" i="4"/>
  <c r="R74" i="4"/>
  <c r="S74" i="4"/>
  <c r="V74" i="4"/>
  <c r="R75" i="4"/>
  <c r="S75" i="4"/>
  <c r="V75" i="4"/>
  <c r="R76" i="4"/>
  <c r="S76" i="4"/>
  <c r="V76" i="4"/>
  <c r="R77" i="4"/>
  <c r="S77" i="4"/>
  <c r="V77" i="4"/>
  <c r="R78" i="4"/>
  <c r="S78" i="4"/>
  <c r="V78" i="4"/>
  <c r="R79" i="4"/>
  <c r="S79" i="4"/>
  <c r="V79" i="4"/>
  <c r="R80" i="4"/>
  <c r="S80" i="4"/>
  <c r="V80" i="4"/>
  <c r="R81" i="4"/>
  <c r="S81" i="4"/>
  <c r="V81" i="4"/>
  <c r="R82" i="4"/>
  <c r="S82" i="4"/>
  <c r="V82" i="4"/>
  <c r="R83" i="4"/>
  <c r="S83" i="4"/>
  <c r="V83" i="4"/>
  <c r="R84" i="4"/>
  <c r="S84" i="4"/>
  <c r="V84" i="4"/>
  <c r="R85" i="4"/>
  <c r="S85" i="4"/>
  <c r="V85" i="4"/>
  <c r="R86" i="4"/>
  <c r="S86" i="4"/>
  <c r="V86" i="4"/>
  <c r="R87" i="4"/>
  <c r="S87" i="4"/>
  <c r="V87" i="4"/>
  <c r="R88" i="4"/>
  <c r="S88" i="4"/>
  <c r="V88" i="4"/>
  <c r="R89" i="4"/>
  <c r="S89" i="4"/>
  <c r="V89" i="4"/>
  <c r="R90" i="4"/>
  <c r="S90" i="4"/>
  <c r="V90" i="4"/>
  <c r="R91" i="4"/>
  <c r="S91" i="4"/>
  <c r="V91" i="4"/>
  <c r="R92" i="4"/>
  <c r="S92" i="4"/>
  <c r="V92" i="4"/>
  <c r="R93" i="4"/>
  <c r="S93" i="4"/>
  <c r="V93" i="4"/>
  <c r="R94" i="4"/>
  <c r="S94" i="4"/>
  <c r="V94" i="4"/>
  <c r="R95" i="4"/>
  <c r="S95" i="4"/>
  <c r="V95" i="4"/>
  <c r="R96" i="4"/>
  <c r="S96" i="4"/>
  <c r="V96" i="4"/>
  <c r="R97" i="4"/>
  <c r="S97" i="4"/>
  <c r="V97" i="4"/>
  <c r="R98" i="4"/>
  <c r="S98" i="4"/>
  <c r="V98" i="4"/>
  <c r="R99" i="4"/>
  <c r="S99" i="4"/>
  <c r="V99" i="4"/>
  <c r="R100" i="4"/>
  <c r="S100" i="4"/>
  <c r="V100" i="4"/>
  <c r="R101" i="4"/>
  <c r="S101" i="4"/>
  <c r="V101" i="4"/>
  <c r="R102" i="4"/>
  <c r="S102" i="4"/>
  <c r="V102" i="4"/>
  <c r="V54" i="4"/>
  <c r="S54" i="4"/>
  <c r="R54" i="4"/>
  <c r="R3" i="4"/>
  <c r="S3" i="4"/>
  <c r="V3" i="4"/>
  <c r="R4" i="4"/>
  <c r="S4" i="4"/>
  <c r="V4" i="4"/>
  <c r="R5" i="4"/>
  <c r="S5" i="4"/>
  <c r="V5" i="4"/>
  <c r="R6" i="4"/>
  <c r="S6" i="4"/>
  <c r="V6" i="4"/>
  <c r="R7" i="4"/>
  <c r="S7" i="4"/>
  <c r="V7" i="4"/>
  <c r="R8" i="4"/>
  <c r="S8" i="4"/>
  <c r="V8" i="4"/>
  <c r="R9" i="4"/>
  <c r="S9" i="4"/>
  <c r="V9" i="4"/>
  <c r="R10" i="4"/>
  <c r="S10" i="4"/>
  <c r="V10" i="4"/>
  <c r="R11" i="4"/>
  <c r="S11" i="4"/>
  <c r="V11" i="4"/>
  <c r="R12" i="4"/>
  <c r="S12" i="4"/>
  <c r="V12" i="4"/>
  <c r="R13" i="4"/>
  <c r="S13" i="4"/>
  <c r="V13" i="4"/>
  <c r="R14" i="4"/>
  <c r="S14" i="4"/>
  <c r="V14" i="4"/>
  <c r="R15" i="4"/>
  <c r="S15" i="4"/>
  <c r="V15" i="4"/>
  <c r="R16" i="4"/>
  <c r="S16" i="4"/>
  <c r="V16" i="4"/>
  <c r="R17" i="4"/>
  <c r="S17" i="4"/>
  <c r="V17" i="4"/>
  <c r="R18" i="4"/>
  <c r="S18" i="4"/>
  <c r="V18" i="4"/>
  <c r="R19" i="4"/>
  <c r="S19" i="4"/>
  <c r="V19" i="4"/>
  <c r="R20" i="4"/>
  <c r="S20" i="4"/>
  <c r="V20" i="4"/>
  <c r="R21" i="4"/>
  <c r="S21" i="4"/>
  <c r="V21" i="4"/>
  <c r="R22" i="4"/>
  <c r="S22" i="4"/>
  <c r="V22" i="4"/>
  <c r="R23" i="4"/>
  <c r="S23" i="4"/>
  <c r="V23" i="4"/>
  <c r="R24" i="4"/>
  <c r="S24" i="4"/>
  <c r="V24" i="4"/>
  <c r="R25" i="4"/>
  <c r="S25" i="4"/>
  <c r="V25" i="4"/>
  <c r="R26" i="4"/>
  <c r="S26" i="4"/>
  <c r="V26" i="4"/>
  <c r="R27" i="4"/>
  <c r="S27" i="4"/>
  <c r="V27" i="4"/>
  <c r="R28" i="4"/>
  <c r="S28" i="4"/>
  <c r="V28" i="4"/>
  <c r="R29" i="4"/>
  <c r="S29" i="4"/>
  <c r="V29" i="4"/>
  <c r="R30" i="4"/>
  <c r="S30" i="4"/>
  <c r="V30" i="4"/>
  <c r="R31" i="4"/>
  <c r="S31" i="4"/>
  <c r="V31" i="4"/>
  <c r="R32" i="4"/>
  <c r="S32" i="4"/>
  <c r="V32" i="4"/>
  <c r="R33" i="4"/>
  <c r="S33" i="4"/>
  <c r="V33" i="4"/>
  <c r="R34" i="4"/>
  <c r="S34" i="4"/>
  <c r="V34" i="4"/>
  <c r="R35" i="4"/>
  <c r="S35" i="4"/>
  <c r="V35" i="4"/>
  <c r="R36" i="4"/>
  <c r="S36" i="4"/>
  <c r="V36" i="4"/>
  <c r="R37" i="4"/>
  <c r="S37" i="4"/>
  <c r="V37" i="4"/>
  <c r="R38" i="4"/>
  <c r="S38" i="4"/>
  <c r="V38" i="4"/>
  <c r="R39" i="4"/>
  <c r="S39" i="4"/>
  <c r="V39" i="4"/>
  <c r="R40" i="4"/>
  <c r="S40" i="4"/>
  <c r="V40" i="4"/>
  <c r="R41" i="4"/>
  <c r="S41" i="4"/>
  <c r="V41" i="4"/>
  <c r="R42" i="4"/>
  <c r="S42" i="4"/>
  <c r="V42" i="4"/>
  <c r="R43" i="4"/>
  <c r="S43" i="4"/>
  <c r="V43" i="4"/>
  <c r="R44" i="4"/>
  <c r="S44" i="4"/>
  <c r="V44" i="4"/>
  <c r="R45" i="4"/>
  <c r="S45" i="4"/>
  <c r="V45" i="4"/>
  <c r="R46" i="4"/>
  <c r="S46" i="4"/>
  <c r="V46" i="4"/>
  <c r="R47" i="4"/>
  <c r="S47" i="4"/>
  <c r="V47" i="4"/>
  <c r="R48" i="4"/>
  <c r="S48" i="4"/>
  <c r="V48" i="4"/>
  <c r="R49" i="4"/>
  <c r="S49" i="4"/>
  <c r="V49" i="4"/>
  <c r="R50" i="4"/>
  <c r="S50" i="4"/>
  <c r="V50" i="4"/>
  <c r="R51" i="4"/>
  <c r="S51" i="4"/>
  <c r="V51" i="4"/>
  <c r="R2" i="4"/>
  <c r="V2" i="4"/>
  <c r="S2" i="4"/>
  <c r="I27" i="3" a="1"/>
  <c r="I21" i="3" a="1"/>
  <c r="I29" i="3" a="1"/>
  <c r="I19" i="3" a="1"/>
  <c r="I13" i="3" a="1"/>
  <c r="I15" i="3" a="1"/>
  <c r="AB156" i="4" a="1"/>
  <c r="AC100" i="1" a="1"/>
  <c r="AC228" i="1" a="1"/>
  <c r="AC227" i="1" a="1"/>
  <c r="AC109" i="1" a="1"/>
  <c r="AC237" i="1" a="1"/>
  <c r="AC14" i="1" a="1"/>
  <c r="AC142" i="1" a="1"/>
  <c r="AC270" i="1" a="1"/>
  <c r="AC71" i="1" a="1"/>
  <c r="AC199" i="1" a="1"/>
  <c r="AC147" i="1" a="1"/>
  <c r="AC72" i="1" a="1"/>
  <c r="AC200" i="1" a="1"/>
  <c r="AC9" i="1" a="1"/>
  <c r="AC137" i="1" a="1"/>
  <c r="AC265" i="1" a="1"/>
  <c r="AC66" i="1" a="1"/>
  <c r="AC194" i="1" a="1"/>
  <c r="AC211" i="1" a="1"/>
  <c r="AC125" i="1" a="1"/>
  <c r="AC286" i="1" a="1"/>
  <c r="AC187" i="1" a="1"/>
  <c r="AC216" i="1" a="1"/>
  <c r="AC153" i="1" a="1"/>
  <c r="AC82" i="1" a="1"/>
  <c r="AC133" i="1" a="1"/>
  <c r="AB104" i="4" a="1"/>
  <c r="AC108" i="1" a="1"/>
  <c r="AC236" i="1" a="1"/>
  <c r="AC275" i="1" a="1"/>
  <c r="AC117" i="1" a="1"/>
  <c r="AC245" i="1" a="1"/>
  <c r="AC22" i="1" a="1"/>
  <c r="AC150" i="1" a="1"/>
  <c r="AC278" i="1" a="1"/>
  <c r="AC79" i="1" a="1"/>
  <c r="AC207" i="1" a="1"/>
  <c r="AC171" i="1" a="1"/>
  <c r="AC80" i="1" a="1"/>
  <c r="AC208" i="1" a="1"/>
  <c r="AC17" i="1" a="1"/>
  <c r="AC145" i="1" a="1"/>
  <c r="AC273" i="1" a="1"/>
  <c r="AC74" i="1" a="1"/>
  <c r="AC202" i="1" a="1"/>
  <c r="AC299" i="1" a="1"/>
  <c r="AC116" i="1" a="1"/>
  <c r="AC75" i="1" a="1"/>
  <c r="AC253" i="1" a="1"/>
  <c r="AC30" i="1" a="1"/>
  <c r="AC158" i="1" a="1"/>
  <c r="AC215" i="1" a="1"/>
  <c r="AC88" i="1" a="1"/>
  <c r="AC281" i="1" a="1"/>
  <c r="AC43" i="1" a="1"/>
  <c r="AB1" i="4" a="1"/>
  <c r="AC124" i="1" a="1"/>
  <c r="AC252" i="1" a="1"/>
  <c r="AC5" i="1" a="1"/>
  <c r="AC261" i="1" a="1"/>
  <c r="AC38" i="1" a="1"/>
  <c r="AC166" i="1" a="1"/>
  <c r="AC294" i="1" a="1"/>
  <c r="AC95" i="1" a="1"/>
  <c r="AC224" i="1" a="1"/>
  <c r="AC291" i="1" a="1"/>
  <c r="AC235" i="1" a="1"/>
  <c r="AB53" i="4" a="1"/>
  <c r="AC244" i="1" a="1"/>
  <c r="AC87" i="1" a="1"/>
  <c r="AC25" i="1" a="1"/>
  <c r="AC210" i="1" a="1"/>
  <c r="AC4" i="1" a="1"/>
  <c r="AC231" i="1" a="1"/>
  <c r="AC226" i="1" a="1"/>
  <c r="AC132" i="1" a="1"/>
  <c r="AC12" i="1" a="1"/>
  <c r="AC140" i="1" a="1"/>
  <c r="AC268" i="1" a="1"/>
  <c r="AC21" i="1" a="1"/>
  <c r="AC149" i="1" a="1"/>
  <c r="AC277" i="1" a="1"/>
  <c r="AC54" i="1" a="1"/>
  <c r="AC182" i="1" a="1"/>
  <c r="AC115" i="1" a="1"/>
  <c r="AC111" i="1" a="1"/>
  <c r="AC239" i="1" a="1"/>
  <c r="AC307" i="1" a="1"/>
  <c r="AC112" i="1" a="1"/>
  <c r="AC240" i="1" a="1"/>
  <c r="AC49" i="1" a="1"/>
  <c r="AC177" i="1" a="1"/>
  <c r="AC305" i="1" a="1"/>
  <c r="AC106" i="1" a="1"/>
  <c r="AC234" i="1" a="1"/>
  <c r="AD104" i="4" a="1"/>
  <c r="AC136" i="1" a="1"/>
  <c r="AC44" i="1" a="1"/>
  <c r="AC214" i="1" a="1"/>
  <c r="AC16" i="1" a="1"/>
  <c r="AC272" i="1" a="1"/>
  <c r="AC209" i="1" a="1"/>
  <c r="AC138" i="1" a="1"/>
  <c r="AD260" i="4" a="1"/>
  <c r="AC84" i="1" a="1"/>
  <c r="AC55" i="1" a="1"/>
  <c r="AC19" i="1" a="1"/>
  <c r="AC178" i="1" a="1"/>
  <c r="AC223" i="1" a="1"/>
  <c r="AC289" i="1" a="1"/>
  <c r="AC302" i="1" a="1"/>
  <c r="AC20" i="1" a="1"/>
  <c r="AC148" i="1" a="1"/>
  <c r="AC276" i="1" a="1"/>
  <c r="AC29" i="1" a="1"/>
  <c r="AC157" i="1" a="1"/>
  <c r="AC285" i="1" a="1"/>
  <c r="AC62" i="1" a="1"/>
  <c r="AC190" i="1" a="1"/>
  <c r="AC83" i="1" a="1"/>
  <c r="AC119" i="1" a="1"/>
  <c r="AC247" i="1" a="1"/>
  <c r="AC35" i="1" a="1"/>
  <c r="AC120" i="1" a="1"/>
  <c r="AC248" i="1" a="1"/>
  <c r="AC57" i="1" a="1"/>
  <c r="AC185" i="1" a="1"/>
  <c r="AC107" i="1" a="1"/>
  <c r="AC114" i="1" a="1"/>
  <c r="AC242" i="1" a="1"/>
  <c r="AD53" i="4" a="1"/>
  <c r="AC128" i="1" a="1"/>
  <c r="AC122" i="1" a="1"/>
  <c r="AD1" i="4" a="1"/>
  <c r="AC36" i="1" a="1"/>
  <c r="AC292" i="1" a="1"/>
  <c r="AC45" i="1" a="1"/>
  <c r="AC301" i="1" a="1"/>
  <c r="AC78" i="1" a="1"/>
  <c r="AC206" i="1" a="1"/>
  <c r="AC7" i="1" a="1"/>
  <c r="AC135" i="1" a="1"/>
  <c r="AC263" i="1" a="1"/>
  <c r="AC8" i="1" a="1"/>
  <c r="AC73" i="1" a="1"/>
  <c r="AC201" i="1" a="1"/>
  <c r="AC99" i="1" a="1"/>
  <c r="AC130" i="1" a="1"/>
  <c r="AC258" i="1" a="1"/>
  <c r="AC300" i="1" a="1"/>
  <c r="AC221" i="1" a="1"/>
  <c r="AC56" i="1" a="1"/>
  <c r="AC249" i="1" a="1"/>
  <c r="AC219" i="1" a="1"/>
  <c r="AC218" i="1" a="1"/>
  <c r="AC28" i="1" a="1"/>
  <c r="AC156" i="1" a="1"/>
  <c r="AC284" i="1" a="1"/>
  <c r="AC37" i="1" a="1"/>
  <c r="AC165" i="1" a="1"/>
  <c r="AC293" i="1" a="1"/>
  <c r="AC70" i="1" a="1"/>
  <c r="AC198" i="1" a="1"/>
  <c r="AC243" i="1" a="1"/>
  <c r="AC127" i="1" a="1"/>
  <c r="AC255" i="1" a="1"/>
  <c r="AC259" i="1" a="1"/>
  <c r="AC256" i="1" a="1"/>
  <c r="AC65" i="1" a="1"/>
  <c r="AC193" i="1" a="1"/>
  <c r="AC267" i="1" a="1"/>
  <c r="AC250" i="1" a="1"/>
  <c r="AC173" i="1" a="1"/>
  <c r="AC172" i="1" a="1"/>
  <c r="AC53" i="1" a="1"/>
  <c r="AC181" i="1" a="1"/>
  <c r="AC67" i="1" a="1"/>
  <c r="AC86" i="1" a="1"/>
  <c r="AC15" i="1" a="1"/>
  <c r="AC143" i="1" a="1"/>
  <c r="AC271" i="1" a="1"/>
  <c r="AC144" i="1" a="1"/>
  <c r="AC81" i="1" a="1"/>
  <c r="AC10" i="1" a="1"/>
  <c r="AC266" i="1" a="1"/>
  <c r="AC304" i="1" a="1"/>
  <c r="AC170" i="1" a="1"/>
  <c r="AC46" i="1" a="1"/>
  <c r="AC164" i="1" a="1"/>
  <c r="AC264" i="1" a="1"/>
  <c r="AD313" i="4" a="1"/>
  <c r="AC254" i="1" a="1"/>
  <c r="AC269" i="1" a="1"/>
  <c r="AC251" i="1" a="1"/>
  <c r="AC13" i="1" a="1"/>
  <c r="AC52" i="1" a="1"/>
  <c r="AC180" i="1" a="1"/>
  <c r="AC51" i="1" a="1"/>
  <c r="AC61" i="1" a="1"/>
  <c r="AC189" i="1" a="1"/>
  <c r="AC195" i="1" a="1"/>
  <c r="AC94" i="1" a="1"/>
  <c r="AC222" i="1" a="1"/>
  <c r="AC23" i="1" a="1"/>
  <c r="AC151" i="1" a="1"/>
  <c r="AC279" i="1" a="1"/>
  <c r="AC24" i="1" a="1"/>
  <c r="AC152" i="1" a="1"/>
  <c r="AC280" i="1" a="1"/>
  <c r="AC89" i="1" a="1"/>
  <c r="AC217" i="1" a="1"/>
  <c r="AC18" i="1" a="1"/>
  <c r="AC146" i="1" a="1"/>
  <c r="AC274" i="1" a="1"/>
  <c r="AD208" i="4" a="1"/>
  <c r="AC69" i="1" a="1"/>
  <c r="AC287" i="1" a="1"/>
  <c r="AC160" i="1" a="1"/>
  <c r="AC225" i="1" a="1"/>
  <c r="AC154" i="1" a="1"/>
  <c r="AD156" i="4" a="1"/>
  <c r="AB313" i="4" a="1"/>
  <c r="AC204" i="1" a="1"/>
  <c r="AC213" i="1" a="1"/>
  <c r="AC163" i="1" a="1"/>
  <c r="AC118" i="1" a="1"/>
  <c r="AC246" i="1" a="1"/>
  <c r="AC47" i="1" a="1"/>
  <c r="AC175" i="1" a="1"/>
  <c r="AC303" i="1" a="1"/>
  <c r="AC48" i="1" a="1"/>
  <c r="AC176" i="1" a="1"/>
  <c r="AC113" i="1" a="1"/>
  <c r="AC42" i="1" a="1"/>
  <c r="AC298" i="1" a="1"/>
  <c r="AB260" i="4" a="1"/>
  <c r="AC232" i="1" a="1"/>
  <c r="AC60" i="1" a="1"/>
  <c r="AC188" i="1" a="1"/>
  <c r="AC123" i="1" a="1"/>
  <c r="AC197" i="1" a="1"/>
  <c r="AC283" i="1" a="1"/>
  <c r="AC102" i="1" a="1"/>
  <c r="AC230" i="1" a="1"/>
  <c r="AC31" i="1" a="1"/>
  <c r="AC159" i="1" a="1"/>
  <c r="AC32" i="1" a="1"/>
  <c r="AC288" i="1" a="1"/>
  <c r="AC97" i="1" a="1"/>
  <c r="AC26" i="1" a="1"/>
  <c r="AC282" i="1" a="1"/>
  <c r="AC196" i="1" a="1"/>
  <c r="AC139" i="1" a="1"/>
  <c r="AC205" i="1" a="1"/>
  <c r="AC11" i="1" a="1"/>
  <c r="AC110" i="1" a="1"/>
  <c r="AC39" i="1" a="1"/>
  <c r="AC167" i="1" a="1"/>
  <c r="AC40" i="1" a="1"/>
  <c r="AC168" i="1" a="1"/>
  <c r="AC105" i="1" a="1"/>
  <c r="AC34" i="1" a="1"/>
  <c r="AC162" i="1" a="1"/>
  <c r="AC76" i="1" a="1"/>
  <c r="AC179" i="1" a="1"/>
  <c r="AC183" i="1" a="1"/>
  <c r="AC121" i="1" a="1"/>
  <c r="AC306" i="1" a="1"/>
  <c r="AC33" i="1" a="1"/>
  <c r="AC260" i="1" a="1"/>
  <c r="AC174" i="1" a="1"/>
  <c r="AC103" i="1" a="1"/>
  <c r="AC104" i="1" a="1"/>
  <c r="AC41" i="1" a="1"/>
  <c r="AC169" i="1" a="1"/>
  <c r="AC98" i="1" a="1"/>
  <c r="AC3" i="1" a="1"/>
  <c r="AC68" i="1" a="1"/>
  <c r="AC77" i="1" a="1"/>
  <c r="AC238" i="1" a="1"/>
  <c r="AC295" i="1" a="1"/>
  <c r="AC296" i="1" a="1"/>
  <c r="AC233" i="1" a="1"/>
  <c r="AC290" i="1" a="1"/>
  <c r="AC155" i="1" a="1"/>
  <c r="AC27" i="1" a="1"/>
  <c r="AC297" i="1" a="1"/>
  <c r="AC85" i="1" a="1"/>
  <c r="AC241" i="1" a="1"/>
  <c r="AC212" i="1" a="1"/>
  <c r="AC126" i="1" a="1"/>
  <c r="AC184" i="1" a="1"/>
  <c r="AC50" i="1" a="1"/>
  <c r="AC96" i="1" a="1"/>
  <c r="AC90" i="1" a="1"/>
  <c r="AC141" i="1" a="1"/>
  <c r="AC93" i="1" a="1"/>
  <c r="AC161" i="1" a="1"/>
  <c r="AB208" i="4" a="1"/>
  <c r="AC92" i="1" a="1"/>
  <c r="AC220" i="1" a="1"/>
  <c r="AC203" i="1" a="1"/>
  <c r="AC101" i="1" a="1"/>
  <c r="AC229" i="1" a="1"/>
  <c r="AC6" i="1" a="1"/>
  <c r="AC134" i="1" a="1"/>
  <c r="AC262" i="1" a="1"/>
  <c r="AC63" i="1" a="1"/>
  <c r="AC191" i="1" a="1"/>
  <c r="AC131" i="1" a="1"/>
  <c r="AC64" i="1" a="1"/>
  <c r="AC192" i="1" a="1"/>
  <c r="AC91" i="1" a="1"/>
  <c r="AC129" i="1" a="1"/>
  <c r="AC257" i="1" a="1"/>
  <c r="AC58" i="1" a="1"/>
  <c r="AC186" i="1" a="1"/>
  <c r="AC59" i="1" a="1"/>
  <c r="I37" i="3" a="1"/>
  <c r="I27" i="3" l="1"/>
  <c r="I21" i="3"/>
  <c r="I29" i="3"/>
  <c r="I19" i="3"/>
  <c r="I13" i="3"/>
  <c r="I15" i="3"/>
  <c r="I37" i="3"/>
  <c r="AB313" i="4"/>
  <c r="AB260" i="4"/>
  <c r="AB208" i="4"/>
  <c r="AB156" i="4"/>
  <c r="AB104" i="4"/>
  <c r="AB53" i="4"/>
  <c r="AB1" i="4"/>
  <c r="AH81" i="1"/>
  <c r="U82" i="4" s="1"/>
  <c r="AG130" i="1"/>
  <c r="T133" i="4" s="1"/>
  <c r="AG306" i="1"/>
  <c r="T317" i="4" s="1"/>
  <c r="AG128" i="1"/>
  <c r="T131" i="4" s="1"/>
  <c r="AG290" i="1"/>
  <c r="T299" i="4" s="1"/>
  <c r="AG114" i="1"/>
  <c r="T117" i="4" s="1"/>
  <c r="AG274" i="1"/>
  <c r="T283" i="4" s="1"/>
  <c r="AG112" i="1"/>
  <c r="T115" i="4" s="1"/>
  <c r="AG258" i="1"/>
  <c r="T267" i="4" s="1"/>
  <c r="AG98" i="1"/>
  <c r="T99" i="4" s="1"/>
  <c r="AG242" i="1"/>
  <c r="T249" i="4" s="1"/>
  <c r="AG96" i="1"/>
  <c r="T97" i="4" s="1"/>
  <c r="AG226" i="1"/>
  <c r="T233" i="4" s="1"/>
  <c r="AG82" i="1"/>
  <c r="T83" i="4" s="1"/>
  <c r="AG210" i="1"/>
  <c r="T217" i="4" s="1"/>
  <c r="AG80" i="1"/>
  <c r="T81" i="4" s="1"/>
  <c r="AG194" i="1"/>
  <c r="T199" i="4" s="1"/>
  <c r="AG66" i="1"/>
  <c r="T67" i="4" s="1"/>
  <c r="AG192" i="1"/>
  <c r="T197" i="4" s="1"/>
  <c r="AG64" i="1"/>
  <c r="T65" i="4" s="1"/>
  <c r="AG178" i="1"/>
  <c r="T183" i="4" s="1"/>
  <c r="AG50" i="1"/>
  <c r="T49" i="4" s="1"/>
  <c r="AH258" i="1"/>
  <c r="U267" i="4" s="1"/>
  <c r="AG176" i="1"/>
  <c r="T181" i="4" s="1"/>
  <c r="AG48" i="1"/>
  <c r="T47" i="4" s="1"/>
  <c r="AH243" i="1"/>
  <c r="U250" i="4" s="1"/>
  <c r="AG162" i="1"/>
  <c r="T167" i="4" s="1"/>
  <c r="AG34" i="1"/>
  <c r="T33" i="4" s="1"/>
  <c r="AH177" i="1"/>
  <c r="U182" i="4" s="1"/>
  <c r="AG160" i="1"/>
  <c r="T165" i="4" s="1"/>
  <c r="AG32" i="1"/>
  <c r="T31" i="4" s="1"/>
  <c r="AH162" i="1"/>
  <c r="U167" i="4" s="1"/>
  <c r="AG146" i="1"/>
  <c r="T149" i="4" s="1"/>
  <c r="AG18" i="1"/>
  <c r="T17" i="4" s="1"/>
  <c r="AH83" i="1"/>
  <c r="U84" i="4" s="1"/>
  <c r="AG144" i="1"/>
  <c r="T147" i="4" s="1"/>
  <c r="AG16" i="1"/>
  <c r="T15" i="4" s="1"/>
  <c r="AH259" i="1"/>
  <c r="U268" i="4" s="1"/>
  <c r="AH178" i="1"/>
  <c r="U183" i="4" s="1"/>
  <c r="AH97" i="1"/>
  <c r="U98" i="4" s="1"/>
  <c r="AG307" i="1"/>
  <c r="T318" i="4" s="1"/>
  <c r="AG291" i="1"/>
  <c r="T300" i="4" s="1"/>
  <c r="AG275" i="1"/>
  <c r="T284" i="4" s="1"/>
  <c r="AG259" i="1"/>
  <c r="T268" i="4" s="1"/>
  <c r="AG243" i="1"/>
  <c r="T250" i="4" s="1"/>
  <c r="AG227" i="1"/>
  <c r="T234" i="4" s="1"/>
  <c r="AG211" i="1"/>
  <c r="T218" i="4" s="1"/>
  <c r="AG195" i="1"/>
  <c r="T200" i="4" s="1"/>
  <c r="AG179" i="1"/>
  <c r="T184" i="4" s="1"/>
  <c r="AG163" i="1"/>
  <c r="T168" i="4" s="1"/>
  <c r="AG147" i="1"/>
  <c r="T150" i="4" s="1"/>
  <c r="AG131" i="1"/>
  <c r="T134" i="4" s="1"/>
  <c r="AG115" i="1"/>
  <c r="T118" i="4" s="1"/>
  <c r="AG99" i="1"/>
  <c r="T100" i="4" s="1"/>
  <c r="AG83" i="1"/>
  <c r="T84" i="4" s="1"/>
  <c r="AG67" i="1"/>
  <c r="T68" i="4" s="1"/>
  <c r="AG51" i="1"/>
  <c r="T50" i="4" s="1"/>
  <c r="AG35" i="1"/>
  <c r="T34" i="4" s="1"/>
  <c r="AG19" i="1"/>
  <c r="T18" i="4" s="1"/>
  <c r="AH257" i="1"/>
  <c r="U266" i="4" s="1"/>
  <c r="AH163" i="1"/>
  <c r="U168" i="4" s="1"/>
  <c r="AH82" i="1"/>
  <c r="U83" i="4" s="1"/>
  <c r="AG305" i="1"/>
  <c r="T316" i="4" s="1"/>
  <c r="AG289" i="1"/>
  <c r="T298" i="4" s="1"/>
  <c r="AG273" i="1"/>
  <c r="T282" i="4" s="1"/>
  <c r="AG257" i="1"/>
  <c r="T266" i="4" s="1"/>
  <c r="AG241" i="1"/>
  <c r="T248" i="4" s="1"/>
  <c r="AG225" i="1"/>
  <c r="T232" i="4" s="1"/>
  <c r="AG209" i="1"/>
  <c r="T216" i="4" s="1"/>
  <c r="AG193" i="1"/>
  <c r="T198" i="4" s="1"/>
  <c r="AG177" i="1"/>
  <c r="T182" i="4" s="1"/>
  <c r="AG161" i="1"/>
  <c r="T166" i="4" s="1"/>
  <c r="AG145" i="1"/>
  <c r="T148" i="4" s="1"/>
  <c r="AG129" i="1"/>
  <c r="T132" i="4" s="1"/>
  <c r="AG113" i="1"/>
  <c r="T116" i="4" s="1"/>
  <c r="AG97" i="1"/>
  <c r="T98" i="4" s="1"/>
  <c r="AG81" i="1"/>
  <c r="T82" i="4" s="1"/>
  <c r="AG65" i="1"/>
  <c r="T66" i="4" s="1"/>
  <c r="AG49" i="1"/>
  <c r="T48" i="4" s="1"/>
  <c r="AG33" i="1"/>
  <c r="T32" i="4" s="1"/>
  <c r="AG17" i="1"/>
  <c r="T16" i="4" s="1"/>
  <c r="AH242" i="1"/>
  <c r="U249" i="4" s="1"/>
  <c r="AH161" i="1"/>
  <c r="U166" i="4" s="1"/>
  <c r="AH67" i="1"/>
  <c r="U68" i="4" s="1"/>
  <c r="AG303" i="1"/>
  <c r="T314" i="4" s="1"/>
  <c r="AG287" i="1"/>
  <c r="T296" i="4" s="1"/>
  <c r="AG271" i="1"/>
  <c r="T280" i="4" s="1"/>
  <c r="AG255" i="1"/>
  <c r="T264" i="4" s="1"/>
  <c r="AG239" i="1"/>
  <c r="T246" i="4" s="1"/>
  <c r="AG223" i="1"/>
  <c r="T230" i="4" s="1"/>
  <c r="AG207" i="1"/>
  <c r="T214" i="4" s="1"/>
  <c r="AG191" i="1"/>
  <c r="T196" i="4" s="1"/>
  <c r="AG175" i="1"/>
  <c r="T180" i="4" s="1"/>
  <c r="AG159" i="1"/>
  <c r="T164" i="4" s="1"/>
  <c r="AG143" i="1"/>
  <c r="T146" i="4" s="1"/>
  <c r="AG127" i="1"/>
  <c r="T130" i="4" s="1"/>
  <c r="AG111" i="1"/>
  <c r="T114" i="4" s="1"/>
  <c r="AG95" i="1"/>
  <c r="T96" i="4" s="1"/>
  <c r="AG79" i="1"/>
  <c r="T80" i="4" s="1"/>
  <c r="AG63" i="1"/>
  <c r="T64" i="4" s="1"/>
  <c r="AG47" i="1"/>
  <c r="T46" i="4" s="1"/>
  <c r="AG31" i="1"/>
  <c r="T30" i="4" s="1"/>
  <c r="AG15" i="1"/>
  <c r="T14" i="4" s="1"/>
  <c r="AG304" i="1"/>
  <c r="T315" i="4" s="1"/>
  <c r="AG272" i="1"/>
  <c r="T281" i="4" s="1"/>
  <c r="AG224" i="1"/>
  <c r="T231" i="4" s="1"/>
  <c r="AH241" i="1"/>
  <c r="U248" i="4" s="1"/>
  <c r="AH147" i="1"/>
  <c r="U150" i="4" s="1"/>
  <c r="AH66" i="1"/>
  <c r="U67" i="4" s="1"/>
  <c r="AG302" i="1"/>
  <c r="T311" i="4" s="1"/>
  <c r="AG286" i="1"/>
  <c r="T295" i="4" s="1"/>
  <c r="AG270" i="1"/>
  <c r="T279" i="4" s="1"/>
  <c r="AG254" i="1"/>
  <c r="T263" i="4" s="1"/>
  <c r="AG238" i="1"/>
  <c r="T245" i="4" s="1"/>
  <c r="AG222" i="1"/>
  <c r="T229" i="4" s="1"/>
  <c r="AG206" i="1"/>
  <c r="T213" i="4" s="1"/>
  <c r="AG190" i="1"/>
  <c r="T195" i="4" s="1"/>
  <c r="AG174" i="1"/>
  <c r="T179" i="4" s="1"/>
  <c r="AG158" i="1"/>
  <c r="T163" i="4" s="1"/>
  <c r="AG142" i="1"/>
  <c r="T145" i="4" s="1"/>
  <c r="AG126" i="1"/>
  <c r="T129" i="4" s="1"/>
  <c r="AG110" i="1"/>
  <c r="T113" i="4" s="1"/>
  <c r="AG94" i="1"/>
  <c r="T95" i="4" s="1"/>
  <c r="AG78" i="1"/>
  <c r="T79" i="4" s="1"/>
  <c r="AG62" i="1"/>
  <c r="T63" i="4" s="1"/>
  <c r="AG46" i="1"/>
  <c r="T45" i="4" s="1"/>
  <c r="AG30" i="1"/>
  <c r="T29" i="4" s="1"/>
  <c r="AG14" i="1"/>
  <c r="T13" i="4" s="1"/>
  <c r="AG288" i="1"/>
  <c r="T297" i="4" s="1"/>
  <c r="AG256" i="1"/>
  <c r="T265" i="4" s="1"/>
  <c r="AG240" i="1"/>
  <c r="T247" i="4" s="1"/>
  <c r="AG208" i="1"/>
  <c r="T215" i="4" s="1"/>
  <c r="AH227" i="1"/>
  <c r="U234" i="4" s="1"/>
  <c r="AH146" i="1"/>
  <c r="U149" i="4" s="1"/>
  <c r="AH65" i="1"/>
  <c r="U66" i="4" s="1"/>
  <c r="AG301" i="1"/>
  <c r="T310" i="4" s="1"/>
  <c r="AG285" i="1"/>
  <c r="T294" i="4" s="1"/>
  <c r="AG269" i="1"/>
  <c r="T278" i="4" s="1"/>
  <c r="AG253" i="1"/>
  <c r="T262" i="4" s="1"/>
  <c r="AG237" i="1"/>
  <c r="T244" i="4" s="1"/>
  <c r="AG221" i="1"/>
  <c r="T228" i="4" s="1"/>
  <c r="AG205" i="1"/>
  <c r="T212" i="4" s="1"/>
  <c r="AG189" i="1"/>
  <c r="T194" i="4" s="1"/>
  <c r="AG173" i="1"/>
  <c r="T178" i="4" s="1"/>
  <c r="AG157" i="1"/>
  <c r="T162" i="4" s="1"/>
  <c r="AG141" i="1"/>
  <c r="T144" i="4" s="1"/>
  <c r="AG125" i="1"/>
  <c r="T128" i="4" s="1"/>
  <c r="AG109" i="1"/>
  <c r="T112" i="4" s="1"/>
  <c r="AG93" i="1"/>
  <c r="T94" i="4" s="1"/>
  <c r="AG77" i="1"/>
  <c r="T78" i="4" s="1"/>
  <c r="AG61" i="1"/>
  <c r="T62" i="4" s="1"/>
  <c r="AG45" i="1"/>
  <c r="T44" i="4" s="1"/>
  <c r="AG29" i="1"/>
  <c r="T28" i="4" s="1"/>
  <c r="AG13" i="1"/>
  <c r="T12" i="4" s="1"/>
  <c r="AH307" i="1"/>
  <c r="U318" i="4" s="1"/>
  <c r="AH226" i="1"/>
  <c r="U233" i="4" s="1"/>
  <c r="AH145" i="1"/>
  <c r="U148" i="4" s="1"/>
  <c r="AH51" i="1"/>
  <c r="U50" i="4" s="1"/>
  <c r="AG300" i="1"/>
  <c r="T309" i="4" s="1"/>
  <c r="AG284" i="1"/>
  <c r="T293" i="4" s="1"/>
  <c r="AG268" i="1"/>
  <c r="T277" i="4" s="1"/>
  <c r="AG252" i="1"/>
  <c r="T261" i="4" s="1"/>
  <c r="AG236" i="1"/>
  <c r="T243" i="4" s="1"/>
  <c r="AG220" i="1"/>
  <c r="T227" i="4" s="1"/>
  <c r="AG204" i="1"/>
  <c r="T211" i="4" s="1"/>
  <c r="AG188" i="1"/>
  <c r="T193" i="4" s="1"/>
  <c r="AG172" i="1"/>
  <c r="T177" i="4" s="1"/>
  <c r="AG156" i="1"/>
  <c r="T161" i="4" s="1"/>
  <c r="AG140" i="1"/>
  <c r="T143" i="4" s="1"/>
  <c r="AG124" i="1"/>
  <c r="T127" i="4" s="1"/>
  <c r="AG108" i="1"/>
  <c r="T111" i="4" s="1"/>
  <c r="AG92" i="1"/>
  <c r="T93" i="4" s="1"/>
  <c r="AG76" i="1"/>
  <c r="T77" i="4" s="1"/>
  <c r="AG60" i="1"/>
  <c r="T61" i="4" s="1"/>
  <c r="AG44" i="1"/>
  <c r="T43" i="4" s="1"/>
  <c r="AG28" i="1"/>
  <c r="T27" i="4" s="1"/>
  <c r="AG12" i="1"/>
  <c r="T11" i="4" s="1"/>
  <c r="AH306" i="1"/>
  <c r="U317" i="4" s="1"/>
  <c r="AH225" i="1"/>
  <c r="U232" i="4" s="1"/>
  <c r="AH131" i="1"/>
  <c r="U134" i="4" s="1"/>
  <c r="AH50" i="1"/>
  <c r="U49" i="4" s="1"/>
  <c r="AG299" i="1"/>
  <c r="T308" i="4" s="1"/>
  <c r="AG283" i="1"/>
  <c r="T292" i="4" s="1"/>
  <c r="AG267" i="1"/>
  <c r="T276" i="4" s="1"/>
  <c r="AG251" i="1"/>
  <c r="T258" i="4" s="1"/>
  <c r="AG235" i="1"/>
  <c r="T242" i="4" s="1"/>
  <c r="AG219" i="1"/>
  <c r="T226" i="4" s="1"/>
  <c r="AG203" i="1"/>
  <c r="T210" i="4" s="1"/>
  <c r="AG187" i="1"/>
  <c r="T192" i="4" s="1"/>
  <c r="AG171" i="1"/>
  <c r="T176" i="4" s="1"/>
  <c r="AG155" i="1"/>
  <c r="T160" i="4" s="1"/>
  <c r="AG139" i="1"/>
  <c r="T142" i="4" s="1"/>
  <c r="AG123" i="1"/>
  <c r="T126" i="4" s="1"/>
  <c r="AG107" i="1"/>
  <c r="T110" i="4" s="1"/>
  <c r="AG91" i="1"/>
  <c r="T92" i="4" s="1"/>
  <c r="AG75" i="1"/>
  <c r="T76" i="4" s="1"/>
  <c r="AG59" i="1"/>
  <c r="T60" i="4" s="1"/>
  <c r="AG43" i="1"/>
  <c r="T42" i="4" s="1"/>
  <c r="AG27" i="1"/>
  <c r="T26" i="4" s="1"/>
  <c r="AG11" i="1"/>
  <c r="T10" i="4" s="1"/>
  <c r="AH305" i="1"/>
  <c r="U316" i="4" s="1"/>
  <c r="AH211" i="1"/>
  <c r="U218" i="4" s="1"/>
  <c r="AH130" i="1"/>
  <c r="U133" i="4" s="1"/>
  <c r="AH49" i="1"/>
  <c r="U48" i="4" s="1"/>
  <c r="AG298" i="1"/>
  <c r="T307" i="4" s="1"/>
  <c r="AG282" i="1"/>
  <c r="T291" i="4" s="1"/>
  <c r="AG266" i="1"/>
  <c r="T275" i="4" s="1"/>
  <c r="AG250" i="1"/>
  <c r="T257" i="4" s="1"/>
  <c r="AG234" i="1"/>
  <c r="T241" i="4" s="1"/>
  <c r="AG218" i="1"/>
  <c r="T225" i="4" s="1"/>
  <c r="AG202" i="1"/>
  <c r="T209" i="4" s="1"/>
  <c r="AG186" i="1"/>
  <c r="T191" i="4" s="1"/>
  <c r="AG170" i="1"/>
  <c r="T175" i="4" s="1"/>
  <c r="AG154" i="1"/>
  <c r="T159" i="4" s="1"/>
  <c r="AG138" i="1"/>
  <c r="T141" i="4" s="1"/>
  <c r="AG122" i="1"/>
  <c r="T125" i="4" s="1"/>
  <c r="AG106" i="1"/>
  <c r="T109" i="4" s="1"/>
  <c r="AG90" i="1"/>
  <c r="T91" i="4" s="1"/>
  <c r="AG74" i="1"/>
  <c r="T75" i="4" s="1"/>
  <c r="AG58" i="1"/>
  <c r="T59" i="4" s="1"/>
  <c r="AG42" i="1"/>
  <c r="T41" i="4" s="1"/>
  <c r="AG26" i="1"/>
  <c r="T25" i="4" s="1"/>
  <c r="AG10" i="1"/>
  <c r="T9" i="4" s="1"/>
  <c r="AH291" i="1"/>
  <c r="U300" i="4" s="1"/>
  <c r="AH210" i="1"/>
  <c r="U217" i="4" s="1"/>
  <c r="AH129" i="1"/>
  <c r="U132" i="4" s="1"/>
  <c r="AH35" i="1"/>
  <c r="U34" i="4" s="1"/>
  <c r="AG297" i="1"/>
  <c r="T306" i="4" s="1"/>
  <c r="AG281" i="1"/>
  <c r="T290" i="4" s="1"/>
  <c r="AG265" i="1"/>
  <c r="T274" i="4" s="1"/>
  <c r="AG249" i="1"/>
  <c r="T256" i="4" s="1"/>
  <c r="AG233" i="1"/>
  <c r="T240" i="4" s="1"/>
  <c r="AG217" i="1"/>
  <c r="T224" i="4" s="1"/>
  <c r="AG201" i="1"/>
  <c r="T206" i="4" s="1"/>
  <c r="AG185" i="1"/>
  <c r="T190" i="4" s="1"/>
  <c r="AG169" i="1"/>
  <c r="T174" i="4" s="1"/>
  <c r="AG153" i="1"/>
  <c r="T158" i="4" s="1"/>
  <c r="AG137" i="1"/>
  <c r="T140" i="4" s="1"/>
  <c r="AG121" i="1"/>
  <c r="T124" i="4" s="1"/>
  <c r="AG105" i="1"/>
  <c r="T108" i="4" s="1"/>
  <c r="AG89" i="1"/>
  <c r="T90" i="4" s="1"/>
  <c r="AG73" i="1"/>
  <c r="T74" i="4" s="1"/>
  <c r="AG57" i="1"/>
  <c r="T58" i="4" s="1"/>
  <c r="AG41" i="1"/>
  <c r="T40" i="4" s="1"/>
  <c r="AG25" i="1"/>
  <c r="T24" i="4" s="1"/>
  <c r="AG9" i="1"/>
  <c r="T8" i="4" s="1"/>
  <c r="AH290" i="1"/>
  <c r="U299" i="4" s="1"/>
  <c r="AH209" i="1"/>
  <c r="U216" i="4" s="1"/>
  <c r="AH115" i="1"/>
  <c r="U118" i="4" s="1"/>
  <c r="AH34" i="1"/>
  <c r="U33" i="4" s="1"/>
  <c r="AG296" i="1"/>
  <c r="T305" i="4" s="1"/>
  <c r="AG280" i="1"/>
  <c r="T289" i="4" s="1"/>
  <c r="AG264" i="1"/>
  <c r="T273" i="4" s="1"/>
  <c r="AG248" i="1"/>
  <c r="T255" i="4" s="1"/>
  <c r="AG232" i="1"/>
  <c r="T239" i="4" s="1"/>
  <c r="AG216" i="1"/>
  <c r="T223" i="4" s="1"/>
  <c r="AG200" i="1"/>
  <c r="T205" i="4" s="1"/>
  <c r="AG184" i="1"/>
  <c r="T189" i="4" s="1"/>
  <c r="AG168" i="1"/>
  <c r="T173" i="4" s="1"/>
  <c r="AG152" i="1"/>
  <c r="T157" i="4" s="1"/>
  <c r="AG136" i="1"/>
  <c r="T139" i="4" s="1"/>
  <c r="AG120" i="1"/>
  <c r="T123" i="4" s="1"/>
  <c r="AG104" i="1"/>
  <c r="T107" i="4" s="1"/>
  <c r="AG88" i="1"/>
  <c r="T89" i="4" s="1"/>
  <c r="AG72" i="1"/>
  <c r="T73" i="4" s="1"/>
  <c r="AG56" i="1"/>
  <c r="T57" i="4" s="1"/>
  <c r="AG40" i="1"/>
  <c r="T39" i="4" s="1"/>
  <c r="AG24" i="1"/>
  <c r="T23" i="4" s="1"/>
  <c r="AG8" i="1"/>
  <c r="T7" i="4" s="1"/>
  <c r="AH289" i="1"/>
  <c r="U298" i="4" s="1"/>
  <c r="AH195" i="1"/>
  <c r="U200" i="4" s="1"/>
  <c r="AH114" i="1"/>
  <c r="U117" i="4" s="1"/>
  <c r="AH33" i="1"/>
  <c r="U32" i="4" s="1"/>
  <c r="AG295" i="1"/>
  <c r="T304" i="4" s="1"/>
  <c r="AG279" i="1"/>
  <c r="T288" i="4" s="1"/>
  <c r="AG263" i="1"/>
  <c r="T272" i="4" s="1"/>
  <c r="AG247" i="1"/>
  <c r="T254" i="4" s="1"/>
  <c r="AG231" i="1"/>
  <c r="T238" i="4" s="1"/>
  <c r="AG215" i="1"/>
  <c r="T222" i="4" s="1"/>
  <c r="AG199" i="1"/>
  <c r="T204" i="4" s="1"/>
  <c r="AG183" i="1"/>
  <c r="T188" i="4" s="1"/>
  <c r="AG167" i="1"/>
  <c r="T172" i="4" s="1"/>
  <c r="AG151" i="1"/>
  <c r="T154" i="4" s="1"/>
  <c r="AG135" i="1"/>
  <c r="T138" i="4" s="1"/>
  <c r="AG119" i="1"/>
  <c r="T122" i="4" s="1"/>
  <c r="AG103" i="1"/>
  <c r="T106" i="4" s="1"/>
  <c r="AG87" i="1"/>
  <c r="T88" i="4" s="1"/>
  <c r="AG71" i="1"/>
  <c r="T72" i="4" s="1"/>
  <c r="AG55" i="1"/>
  <c r="T56" i="4" s="1"/>
  <c r="AG39" i="1"/>
  <c r="T38" i="4" s="1"/>
  <c r="AG23" i="1"/>
  <c r="T22" i="4" s="1"/>
  <c r="AG7" i="1"/>
  <c r="T6" i="4" s="1"/>
  <c r="AH275" i="1"/>
  <c r="U284" i="4" s="1"/>
  <c r="AH194" i="1"/>
  <c r="U199" i="4" s="1"/>
  <c r="AH113" i="1"/>
  <c r="U116" i="4" s="1"/>
  <c r="AH19" i="1"/>
  <c r="U18" i="4" s="1"/>
  <c r="AG294" i="1"/>
  <c r="T303" i="4" s="1"/>
  <c r="AG278" i="1"/>
  <c r="T287" i="4" s="1"/>
  <c r="AG262" i="1"/>
  <c r="T271" i="4" s="1"/>
  <c r="AG246" i="1"/>
  <c r="T253" i="4" s="1"/>
  <c r="AG230" i="1"/>
  <c r="T237" i="4" s="1"/>
  <c r="AG214" i="1"/>
  <c r="T221" i="4" s="1"/>
  <c r="AG198" i="1"/>
  <c r="T203" i="4" s="1"/>
  <c r="AG182" i="1"/>
  <c r="T187" i="4" s="1"/>
  <c r="AG166" i="1"/>
  <c r="T171" i="4" s="1"/>
  <c r="AG150" i="1"/>
  <c r="T153" i="4" s="1"/>
  <c r="AG134" i="1"/>
  <c r="T137" i="4" s="1"/>
  <c r="AG118" i="1"/>
  <c r="T121" i="4" s="1"/>
  <c r="AG102" i="1"/>
  <c r="AG86" i="1"/>
  <c r="T87" i="4" s="1"/>
  <c r="AG70" i="1"/>
  <c r="T71" i="4" s="1"/>
  <c r="AG54" i="1"/>
  <c r="T55" i="4" s="1"/>
  <c r="AG38" i="1"/>
  <c r="T37" i="4" s="1"/>
  <c r="AG22" i="1"/>
  <c r="T21" i="4" s="1"/>
  <c r="AG6" i="1"/>
  <c r="T5" i="4" s="1"/>
  <c r="AH274" i="1"/>
  <c r="U283" i="4" s="1"/>
  <c r="AH193" i="1"/>
  <c r="U198" i="4" s="1"/>
  <c r="AH99" i="1"/>
  <c r="U100" i="4" s="1"/>
  <c r="U17" i="4"/>
  <c r="AG293" i="1"/>
  <c r="T302" i="4" s="1"/>
  <c r="AG277" i="1"/>
  <c r="T286" i="4" s="1"/>
  <c r="AG261" i="1"/>
  <c r="T270" i="4" s="1"/>
  <c r="AG245" i="1"/>
  <c r="T252" i="4" s="1"/>
  <c r="AG229" i="1"/>
  <c r="T236" i="4" s="1"/>
  <c r="AG213" i="1"/>
  <c r="T220" i="4" s="1"/>
  <c r="AG197" i="1"/>
  <c r="T202" i="4" s="1"/>
  <c r="AG181" i="1"/>
  <c r="T186" i="4" s="1"/>
  <c r="AG165" i="1"/>
  <c r="T170" i="4" s="1"/>
  <c r="AG149" i="1"/>
  <c r="T152" i="4" s="1"/>
  <c r="AG133" i="1"/>
  <c r="T136" i="4" s="1"/>
  <c r="AG117" i="1"/>
  <c r="T120" i="4" s="1"/>
  <c r="AG101" i="1"/>
  <c r="T102" i="4" s="1"/>
  <c r="AG85" i="1"/>
  <c r="T86" i="4" s="1"/>
  <c r="AG69" i="1"/>
  <c r="T70" i="4" s="1"/>
  <c r="AG53" i="1"/>
  <c r="T54" i="4" s="1"/>
  <c r="AG37" i="1"/>
  <c r="T36" i="4" s="1"/>
  <c r="AG21" i="1"/>
  <c r="T20" i="4" s="1"/>
  <c r="AG5" i="1"/>
  <c r="T4" i="4" s="1"/>
  <c r="AH273" i="1"/>
  <c r="U282" i="4" s="1"/>
  <c r="AH179" i="1"/>
  <c r="U184" i="4" s="1"/>
  <c r="AH98" i="1"/>
  <c r="U99" i="4" s="1"/>
  <c r="AH17" i="1"/>
  <c r="U16" i="4" s="1"/>
  <c r="AG292" i="1"/>
  <c r="T301" i="4" s="1"/>
  <c r="AG276" i="1"/>
  <c r="T285" i="4" s="1"/>
  <c r="AG260" i="1"/>
  <c r="T269" i="4" s="1"/>
  <c r="AG244" i="1"/>
  <c r="T251" i="4" s="1"/>
  <c r="AG228" i="1"/>
  <c r="T235" i="4" s="1"/>
  <c r="AG212" i="1"/>
  <c r="T219" i="4" s="1"/>
  <c r="AG196" i="1"/>
  <c r="T201" i="4" s="1"/>
  <c r="AG180" i="1"/>
  <c r="T185" i="4" s="1"/>
  <c r="AG164" i="1"/>
  <c r="T169" i="4" s="1"/>
  <c r="AG148" i="1"/>
  <c r="T151" i="4" s="1"/>
  <c r="AG132" i="1"/>
  <c r="T135" i="4" s="1"/>
  <c r="AG116" i="1"/>
  <c r="T119" i="4" s="1"/>
  <c r="AG100" i="1"/>
  <c r="T101" i="4" s="1"/>
  <c r="AG84" i="1"/>
  <c r="T85" i="4" s="1"/>
  <c r="AG68" i="1"/>
  <c r="T69" i="4" s="1"/>
  <c r="AG52" i="1"/>
  <c r="T51" i="4" s="1"/>
  <c r="AG36" i="1"/>
  <c r="T35" i="4" s="1"/>
  <c r="AG20" i="1"/>
  <c r="T19" i="4" s="1"/>
  <c r="AG4" i="1"/>
  <c r="T3" i="4" s="1"/>
  <c r="AH176" i="1"/>
  <c r="U181" i="4" s="1"/>
  <c r="AH303" i="1"/>
  <c r="U314" i="4" s="1"/>
  <c r="AH287" i="1"/>
  <c r="U296" i="4" s="1"/>
  <c r="AH271" i="1"/>
  <c r="U280" i="4" s="1"/>
  <c r="AH255" i="1"/>
  <c r="U264" i="4" s="1"/>
  <c r="AH239" i="1"/>
  <c r="U246" i="4" s="1"/>
  <c r="AH223" i="1"/>
  <c r="U230" i="4" s="1"/>
  <c r="AH207" i="1"/>
  <c r="U214" i="4" s="1"/>
  <c r="AH191" i="1"/>
  <c r="U196" i="4" s="1"/>
  <c r="AH175" i="1"/>
  <c r="U180" i="4" s="1"/>
  <c r="AH159" i="1"/>
  <c r="U164" i="4" s="1"/>
  <c r="AH143" i="1"/>
  <c r="U146" i="4" s="1"/>
  <c r="AH127" i="1"/>
  <c r="U130" i="4" s="1"/>
  <c r="AH111" i="1"/>
  <c r="U114" i="4" s="1"/>
  <c r="AH95" i="1"/>
  <c r="U96" i="4" s="1"/>
  <c r="AH79" i="1"/>
  <c r="U80" i="4" s="1"/>
  <c r="AH63" i="1"/>
  <c r="U64" i="4" s="1"/>
  <c r="AH47" i="1"/>
  <c r="U46" i="4" s="1"/>
  <c r="AH31" i="1"/>
  <c r="U30" i="4" s="1"/>
  <c r="AH15" i="1"/>
  <c r="U14" i="4" s="1"/>
  <c r="AH272" i="1"/>
  <c r="U281" i="4" s="1"/>
  <c r="AH128" i="1"/>
  <c r="U131" i="4" s="1"/>
  <c r="AH302" i="1"/>
  <c r="U311" i="4" s="1"/>
  <c r="AH286" i="1"/>
  <c r="U295" i="4" s="1"/>
  <c r="AH270" i="1"/>
  <c r="U279" i="4" s="1"/>
  <c r="AH254" i="1"/>
  <c r="U263" i="4" s="1"/>
  <c r="AH238" i="1"/>
  <c r="U245" i="4" s="1"/>
  <c r="AH222" i="1"/>
  <c r="U229" i="4" s="1"/>
  <c r="AH206" i="1"/>
  <c r="U213" i="4" s="1"/>
  <c r="AH190" i="1"/>
  <c r="U195" i="4" s="1"/>
  <c r="AH174" i="1"/>
  <c r="U179" i="4" s="1"/>
  <c r="AH158" i="1"/>
  <c r="U163" i="4" s="1"/>
  <c r="AH142" i="1"/>
  <c r="U145" i="4" s="1"/>
  <c r="AH126" i="1"/>
  <c r="U129" i="4" s="1"/>
  <c r="AH110" i="1"/>
  <c r="U113" i="4" s="1"/>
  <c r="AH94" i="1"/>
  <c r="U95" i="4" s="1"/>
  <c r="AH78" i="1"/>
  <c r="U79" i="4" s="1"/>
  <c r="AH62" i="1"/>
  <c r="U63" i="4" s="1"/>
  <c r="AH46" i="1"/>
  <c r="U45" i="4" s="1"/>
  <c r="AH30" i="1"/>
  <c r="U29" i="4" s="1"/>
  <c r="AH14" i="1"/>
  <c r="U13" i="4" s="1"/>
  <c r="AH160" i="1"/>
  <c r="U165" i="4" s="1"/>
  <c r="AH301" i="1"/>
  <c r="U310" i="4" s="1"/>
  <c r="AH285" i="1"/>
  <c r="U294" i="4" s="1"/>
  <c r="AH269" i="1"/>
  <c r="U278" i="4" s="1"/>
  <c r="AH253" i="1"/>
  <c r="U262" i="4" s="1"/>
  <c r="AH237" i="1"/>
  <c r="U244" i="4" s="1"/>
  <c r="AH221" i="1"/>
  <c r="U228" i="4" s="1"/>
  <c r="AH205" i="1"/>
  <c r="U212" i="4" s="1"/>
  <c r="AH189" i="1"/>
  <c r="U194" i="4" s="1"/>
  <c r="AH173" i="1"/>
  <c r="U178" i="4" s="1"/>
  <c r="AH157" i="1"/>
  <c r="U162" i="4" s="1"/>
  <c r="AH141" i="1"/>
  <c r="U144" i="4" s="1"/>
  <c r="AH125" i="1"/>
  <c r="U128" i="4" s="1"/>
  <c r="AH109" i="1"/>
  <c r="U112" i="4" s="1"/>
  <c r="AH93" i="1"/>
  <c r="U94" i="4" s="1"/>
  <c r="AH77" i="1"/>
  <c r="U78" i="4" s="1"/>
  <c r="AH61" i="1"/>
  <c r="U62" i="4" s="1"/>
  <c r="AH45" i="1"/>
  <c r="U44" i="4" s="1"/>
  <c r="AH29" i="1"/>
  <c r="U28" i="4" s="1"/>
  <c r="AH13" i="1"/>
  <c r="U12" i="4" s="1"/>
  <c r="AH300" i="1"/>
  <c r="U309" i="4" s="1"/>
  <c r="AH284" i="1"/>
  <c r="U293" i="4" s="1"/>
  <c r="AH268" i="1"/>
  <c r="U277" i="4" s="1"/>
  <c r="AH252" i="1"/>
  <c r="U261" i="4" s="1"/>
  <c r="AH236" i="1"/>
  <c r="U243" i="4" s="1"/>
  <c r="AH220" i="1"/>
  <c r="U227" i="4" s="1"/>
  <c r="AH204" i="1"/>
  <c r="U211" i="4" s="1"/>
  <c r="AH188" i="1"/>
  <c r="U193" i="4" s="1"/>
  <c r="AH172" i="1"/>
  <c r="U177" i="4" s="1"/>
  <c r="AH156" i="1"/>
  <c r="U161" i="4" s="1"/>
  <c r="AH140" i="1"/>
  <c r="U143" i="4" s="1"/>
  <c r="AH124" i="1"/>
  <c r="U127" i="4" s="1"/>
  <c r="AH108" i="1"/>
  <c r="U111" i="4" s="1"/>
  <c r="AH92" i="1"/>
  <c r="U93" i="4" s="1"/>
  <c r="AH76" i="1"/>
  <c r="U77" i="4" s="1"/>
  <c r="AH60" i="1"/>
  <c r="U61" i="4" s="1"/>
  <c r="AH44" i="1"/>
  <c r="U43" i="4" s="1"/>
  <c r="AH28" i="1"/>
  <c r="U27" i="4" s="1"/>
  <c r="AH12" i="1"/>
  <c r="U11" i="4" s="1"/>
  <c r="AH144" i="1"/>
  <c r="U147" i="4" s="1"/>
  <c r="AH299" i="1"/>
  <c r="U308" i="4" s="1"/>
  <c r="AH283" i="1"/>
  <c r="U292" i="4" s="1"/>
  <c r="AH267" i="1"/>
  <c r="U276" i="4" s="1"/>
  <c r="AH251" i="1"/>
  <c r="U258" i="4" s="1"/>
  <c r="AH235" i="1"/>
  <c r="U242" i="4" s="1"/>
  <c r="AH219" i="1"/>
  <c r="U226" i="4" s="1"/>
  <c r="AH203" i="1"/>
  <c r="U210" i="4" s="1"/>
  <c r="AH187" i="1"/>
  <c r="U192" i="4" s="1"/>
  <c r="AH171" i="1"/>
  <c r="U176" i="4" s="1"/>
  <c r="AH155" i="1"/>
  <c r="U160" i="4" s="1"/>
  <c r="AH139" i="1"/>
  <c r="U142" i="4" s="1"/>
  <c r="AH123" i="1"/>
  <c r="U126" i="4" s="1"/>
  <c r="AH107" i="1"/>
  <c r="U110" i="4" s="1"/>
  <c r="AH91" i="1"/>
  <c r="U92" i="4" s="1"/>
  <c r="AH75" i="1"/>
  <c r="U76" i="4" s="1"/>
  <c r="AH59" i="1"/>
  <c r="U60" i="4" s="1"/>
  <c r="AH43" i="1"/>
  <c r="U42" i="4" s="1"/>
  <c r="AH27" i="1"/>
  <c r="U26" i="4" s="1"/>
  <c r="AH11" i="1"/>
  <c r="U10" i="4" s="1"/>
  <c r="AH240" i="1"/>
  <c r="U247" i="4" s="1"/>
  <c r="AH64" i="1"/>
  <c r="U65" i="4" s="1"/>
  <c r="AH298" i="1"/>
  <c r="U307" i="4" s="1"/>
  <c r="AH282" i="1"/>
  <c r="U291" i="4" s="1"/>
  <c r="AH266" i="1"/>
  <c r="U275" i="4" s="1"/>
  <c r="AH250" i="1"/>
  <c r="U257" i="4" s="1"/>
  <c r="AH234" i="1"/>
  <c r="U241" i="4" s="1"/>
  <c r="AH218" i="1"/>
  <c r="U225" i="4" s="1"/>
  <c r="AH202" i="1"/>
  <c r="U209" i="4" s="1"/>
  <c r="AH186" i="1"/>
  <c r="U191" i="4" s="1"/>
  <c r="AH170" i="1"/>
  <c r="U175" i="4" s="1"/>
  <c r="AH154" i="1"/>
  <c r="U159" i="4" s="1"/>
  <c r="AH138" i="1"/>
  <c r="U141" i="4" s="1"/>
  <c r="AH122" i="1"/>
  <c r="U125" i="4" s="1"/>
  <c r="AH106" i="1"/>
  <c r="U109" i="4" s="1"/>
  <c r="AH90" i="1"/>
  <c r="U91" i="4" s="1"/>
  <c r="AH74" i="1"/>
  <c r="U75" i="4" s="1"/>
  <c r="AH58" i="1"/>
  <c r="U59" i="4" s="1"/>
  <c r="AH42" i="1"/>
  <c r="U41" i="4" s="1"/>
  <c r="AH26" i="1"/>
  <c r="U25" i="4" s="1"/>
  <c r="AH10" i="1"/>
  <c r="U9" i="4" s="1"/>
  <c r="AH256" i="1"/>
  <c r="U265" i="4" s="1"/>
  <c r="AH48" i="1"/>
  <c r="U47" i="4" s="1"/>
  <c r="AH297" i="1"/>
  <c r="U306" i="4" s="1"/>
  <c r="AH281" i="1"/>
  <c r="U290" i="4" s="1"/>
  <c r="AH265" i="1"/>
  <c r="U274" i="4" s="1"/>
  <c r="AH249" i="1"/>
  <c r="U256" i="4" s="1"/>
  <c r="AH233" i="1"/>
  <c r="U240" i="4" s="1"/>
  <c r="AH217" i="1"/>
  <c r="U224" i="4" s="1"/>
  <c r="AH201" i="1"/>
  <c r="U206" i="4" s="1"/>
  <c r="AH185" i="1"/>
  <c r="U190" i="4" s="1"/>
  <c r="AH169" i="1"/>
  <c r="U174" i="4" s="1"/>
  <c r="AH153" i="1"/>
  <c r="U158" i="4" s="1"/>
  <c r="AH137" i="1"/>
  <c r="U140" i="4" s="1"/>
  <c r="AH121" i="1"/>
  <c r="U124" i="4" s="1"/>
  <c r="AH105" i="1"/>
  <c r="U108" i="4" s="1"/>
  <c r="AH89" i="1"/>
  <c r="U90" i="4" s="1"/>
  <c r="AH73" i="1"/>
  <c r="U74" i="4" s="1"/>
  <c r="AH57" i="1"/>
  <c r="U58" i="4" s="1"/>
  <c r="AH41" i="1"/>
  <c r="U40" i="4" s="1"/>
  <c r="AH25" i="1"/>
  <c r="U24" i="4" s="1"/>
  <c r="AH9" i="1"/>
  <c r="U8" i="4" s="1"/>
  <c r="AH288" i="1"/>
  <c r="U297" i="4" s="1"/>
  <c r="AH16" i="1"/>
  <c r="U15" i="4" s="1"/>
  <c r="AH296" i="1"/>
  <c r="U305" i="4" s="1"/>
  <c r="AH280" i="1"/>
  <c r="U289" i="4" s="1"/>
  <c r="AH264" i="1"/>
  <c r="U273" i="4" s="1"/>
  <c r="AH248" i="1"/>
  <c r="U255" i="4" s="1"/>
  <c r="AH232" i="1"/>
  <c r="U239" i="4" s="1"/>
  <c r="AH216" i="1"/>
  <c r="U223" i="4" s="1"/>
  <c r="AH200" i="1"/>
  <c r="U205" i="4" s="1"/>
  <c r="AH184" i="1"/>
  <c r="U189" i="4" s="1"/>
  <c r="AH168" i="1"/>
  <c r="U173" i="4" s="1"/>
  <c r="AH152" i="1"/>
  <c r="U157" i="4" s="1"/>
  <c r="AH136" i="1"/>
  <c r="U139" i="4" s="1"/>
  <c r="AH120" i="1"/>
  <c r="U123" i="4" s="1"/>
  <c r="AH104" i="1"/>
  <c r="U107" i="4" s="1"/>
  <c r="AH88" i="1"/>
  <c r="U89" i="4" s="1"/>
  <c r="AH72" i="1"/>
  <c r="U73" i="4" s="1"/>
  <c r="AH56" i="1"/>
  <c r="U57" i="4" s="1"/>
  <c r="AH40" i="1"/>
  <c r="U39" i="4" s="1"/>
  <c r="AH24" i="1"/>
  <c r="U23" i="4" s="1"/>
  <c r="AH8" i="1"/>
  <c r="U7" i="4" s="1"/>
  <c r="AH192" i="1"/>
  <c r="U197" i="4" s="1"/>
  <c r="AH96" i="1"/>
  <c r="U97" i="4" s="1"/>
  <c r="AH295" i="1"/>
  <c r="U304" i="4" s="1"/>
  <c r="AH279" i="1"/>
  <c r="U288" i="4" s="1"/>
  <c r="AH263" i="1"/>
  <c r="U272" i="4" s="1"/>
  <c r="AH247" i="1"/>
  <c r="U254" i="4" s="1"/>
  <c r="AH231" i="1"/>
  <c r="U238" i="4" s="1"/>
  <c r="AH215" i="1"/>
  <c r="U222" i="4" s="1"/>
  <c r="AH199" i="1"/>
  <c r="U204" i="4" s="1"/>
  <c r="AH183" i="1"/>
  <c r="U188" i="4" s="1"/>
  <c r="AH167" i="1"/>
  <c r="U172" i="4" s="1"/>
  <c r="AH151" i="1"/>
  <c r="U154" i="4" s="1"/>
  <c r="AH135" i="1"/>
  <c r="U138" i="4" s="1"/>
  <c r="AH119" i="1"/>
  <c r="U122" i="4" s="1"/>
  <c r="AH103" i="1"/>
  <c r="U106" i="4" s="1"/>
  <c r="AH87" i="1"/>
  <c r="U88" i="4" s="1"/>
  <c r="AH71" i="1"/>
  <c r="U72" i="4" s="1"/>
  <c r="AH55" i="1"/>
  <c r="U56" i="4" s="1"/>
  <c r="AH39" i="1"/>
  <c r="U38" i="4" s="1"/>
  <c r="AH23" i="1"/>
  <c r="U22" i="4" s="1"/>
  <c r="AH7" i="1"/>
  <c r="U6" i="4" s="1"/>
  <c r="AH224" i="1"/>
  <c r="U231" i="4" s="1"/>
  <c r="AH80" i="1"/>
  <c r="U81" i="4" s="1"/>
  <c r="AH294" i="1"/>
  <c r="U303" i="4" s="1"/>
  <c r="AH278" i="1"/>
  <c r="U287" i="4" s="1"/>
  <c r="AH262" i="1"/>
  <c r="U271" i="4" s="1"/>
  <c r="AH246" i="1"/>
  <c r="U253" i="4" s="1"/>
  <c r="AH230" i="1"/>
  <c r="U237" i="4" s="1"/>
  <c r="AH214" i="1"/>
  <c r="U221" i="4" s="1"/>
  <c r="AH198" i="1"/>
  <c r="U203" i="4" s="1"/>
  <c r="AH182" i="1"/>
  <c r="U187" i="4" s="1"/>
  <c r="AH166" i="1"/>
  <c r="U171" i="4" s="1"/>
  <c r="AH150" i="1"/>
  <c r="U153" i="4" s="1"/>
  <c r="AH134" i="1"/>
  <c r="U137" i="4" s="1"/>
  <c r="AH118" i="1"/>
  <c r="U121" i="4" s="1"/>
  <c r="AH102" i="1"/>
  <c r="AH86" i="1"/>
  <c r="U87" i="4" s="1"/>
  <c r="AH70" i="1"/>
  <c r="U71" i="4" s="1"/>
  <c r="AH54" i="1"/>
  <c r="U55" i="4" s="1"/>
  <c r="AH38" i="1"/>
  <c r="U37" i="4" s="1"/>
  <c r="AH22" i="1"/>
  <c r="U21" i="4" s="1"/>
  <c r="AH6" i="1"/>
  <c r="U5" i="4" s="1"/>
  <c r="AH304" i="1"/>
  <c r="U315" i="4" s="1"/>
  <c r="AH32" i="1"/>
  <c r="U31" i="4" s="1"/>
  <c r="AH293" i="1"/>
  <c r="U302" i="4" s="1"/>
  <c r="AH277" i="1"/>
  <c r="U286" i="4" s="1"/>
  <c r="AH261" i="1"/>
  <c r="U270" i="4" s="1"/>
  <c r="AH245" i="1"/>
  <c r="U252" i="4" s="1"/>
  <c r="AH229" i="1"/>
  <c r="U236" i="4" s="1"/>
  <c r="AH213" i="1"/>
  <c r="U220" i="4" s="1"/>
  <c r="AH197" i="1"/>
  <c r="U202" i="4" s="1"/>
  <c r="AH181" i="1"/>
  <c r="U186" i="4" s="1"/>
  <c r="AH165" i="1"/>
  <c r="U170" i="4" s="1"/>
  <c r="AH149" i="1"/>
  <c r="U152" i="4" s="1"/>
  <c r="AH133" i="1"/>
  <c r="U136" i="4" s="1"/>
  <c r="AH117" i="1"/>
  <c r="U120" i="4" s="1"/>
  <c r="AH101" i="1"/>
  <c r="U102" i="4" s="1"/>
  <c r="AH85" i="1"/>
  <c r="U86" i="4" s="1"/>
  <c r="AH69" i="1"/>
  <c r="U70" i="4" s="1"/>
  <c r="AH53" i="1"/>
  <c r="AH37" i="1"/>
  <c r="U36" i="4" s="1"/>
  <c r="AH21" i="1"/>
  <c r="U20" i="4" s="1"/>
  <c r="AH5" i="1"/>
  <c r="U4" i="4" s="1"/>
  <c r="AH208" i="1"/>
  <c r="U215" i="4" s="1"/>
  <c r="AH112" i="1"/>
  <c r="U115" i="4" s="1"/>
  <c r="AH292" i="1"/>
  <c r="U301" i="4" s="1"/>
  <c r="AH276" i="1"/>
  <c r="U285" i="4" s="1"/>
  <c r="AH260" i="1"/>
  <c r="U269" i="4" s="1"/>
  <c r="AH244" i="1"/>
  <c r="U251" i="4" s="1"/>
  <c r="AH228" i="1"/>
  <c r="U235" i="4" s="1"/>
  <c r="AH212" i="1"/>
  <c r="U219" i="4" s="1"/>
  <c r="AH196" i="1"/>
  <c r="U201" i="4" s="1"/>
  <c r="AH180" i="1"/>
  <c r="U185" i="4" s="1"/>
  <c r="AH164" i="1"/>
  <c r="U169" i="4" s="1"/>
  <c r="AH148" i="1"/>
  <c r="U151" i="4" s="1"/>
  <c r="AH132" i="1"/>
  <c r="U135" i="4" s="1"/>
  <c r="AH116" i="1"/>
  <c r="U119" i="4" s="1"/>
  <c r="AH100" i="1"/>
  <c r="U101" i="4" s="1"/>
  <c r="AH84" i="1"/>
  <c r="U85" i="4" s="1"/>
  <c r="AH68" i="1"/>
  <c r="U69" i="4" s="1"/>
  <c r="AH52" i="1"/>
  <c r="U51" i="4" s="1"/>
  <c r="AH36" i="1"/>
  <c r="U35" i="4" s="1"/>
  <c r="AH20" i="1"/>
  <c r="U19" i="4" s="1"/>
  <c r="AH4" i="1"/>
  <c r="U3" i="4" s="1"/>
  <c r="AH3" i="1"/>
  <c r="AG3" i="1"/>
  <c r="T2" i="4" s="1"/>
  <c r="AC291" i="1"/>
  <c r="O300" i="4" s="1"/>
  <c r="AC43" i="1"/>
  <c r="O42" i="4" s="1"/>
  <c r="AC299" i="1"/>
  <c r="O308" i="4" s="1"/>
  <c r="AC211" i="1"/>
  <c r="O218" i="4" s="1"/>
  <c r="AC59" i="1"/>
  <c r="O60" i="4" s="1"/>
  <c r="AC306" i="1"/>
  <c r="O317" i="4" s="1"/>
  <c r="AC298" i="1"/>
  <c r="O307" i="4" s="1"/>
  <c r="AC290" i="1"/>
  <c r="O299" i="4" s="1"/>
  <c r="AC282" i="1"/>
  <c r="O291" i="4" s="1"/>
  <c r="AC274" i="1"/>
  <c r="O283" i="4" s="1"/>
  <c r="AC266" i="1"/>
  <c r="O275" i="4" s="1"/>
  <c r="AC258" i="1"/>
  <c r="O267" i="4" s="1"/>
  <c r="AC250" i="1"/>
  <c r="O257" i="4" s="1"/>
  <c r="AC242" i="1"/>
  <c r="O249" i="4" s="1"/>
  <c r="AC234" i="1"/>
  <c r="O241" i="4" s="1"/>
  <c r="AC226" i="1"/>
  <c r="O233" i="4" s="1"/>
  <c r="AC218" i="1"/>
  <c r="O225" i="4" s="1"/>
  <c r="AC210" i="1"/>
  <c r="O217" i="4" s="1"/>
  <c r="AC202" i="1"/>
  <c r="O209" i="4" s="1"/>
  <c r="AC194" i="1"/>
  <c r="O199" i="4" s="1"/>
  <c r="AC186" i="1"/>
  <c r="O191" i="4" s="1"/>
  <c r="AC178" i="1"/>
  <c r="O183" i="4" s="1"/>
  <c r="AC170" i="1"/>
  <c r="O175" i="4" s="1"/>
  <c r="AC162" i="1"/>
  <c r="O167" i="4" s="1"/>
  <c r="AC154" i="1"/>
  <c r="O159" i="4" s="1"/>
  <c r="AC146" i="1"/>
  <c r="O149" i="4" s="1"/>
  <c r="AC138" i="1"/>
  <c r="O141" i="4" s="1"/>
  <c r="AC130" i="1"/>
  <c r="O133" i="4" s="1"/>
  <c r="AC122" i="1"/>
  <c r="O125" i="4" s="1"/>
  <c r="AC114" i="1"/>
  <c r="O117" i="4" s="1"/>
  <c r="AC106" i="1"/>
  <c r="O109" i="4" s="1"/>
  <c r="AC98" i="1"/>
  <c r="O99" i="4" s="1"/>
  <c r="AC90" i="1"/>
  <c r="O91" i="4" s="1"/>
  <c r="AC82" i="1"/>
  <c r="O83" i="4" s="1"/>
  <c r="AC74" i="1"/>
  <c r="O75" i="4" s="1"/>
  <c r="AC66" i="1"/>
  <c r="O67" i="4" s="1"/>
  <c r="AC58" i="1"/>
  <c r="O59" i="4" s="1"/>
  <c r="AC50" i="1"/>
  <c r="O49" i="4" s="1"/>
  <c r="AC42" i="1"/>
  <c r="O41" i="4" s="1"/>
  <c r="AC34" i="1"/>
  <c r="O33" i="4" s="1"/>
  <c r="AC26" i="1"/>
  <c r="O25" i="4" s="1"/>
  <c r="AC18" i="1"/>
  <c r="O17" i="4" s="1"/>
  <c r="AC10" i="1"/>
  <c r="O9" i="4" s="1"/>
  <c r="AC99" i="1"/>
  <c r="O100" i="4" s="1"/>
  <c r="AC267" i="1"/>
  <c r="O276" i="4" s="1"/>
  <c r="AC107" i="1"/>
  <c r="O110" i="4" s="1"/>
  <c r="AC305" i="1"/>
  <c r="O316" i="4" s="1"/>
  <c r="AC297" i="1"/>
  <c r="O306" i="4" s="1"/>
  <c r="AC289" i="1"/>
  <c r="O298" i="4" s="1"/>
  <c r="AC281" i="1"/>
  <c r="O290" i="4" s="1"/>
  <c r="AC273" i="1"/>
  <c r="O282" i="4" s="1"/>
  <c r="AC265" i="1"/>
  <c r="O274" i="4" s="1"/>
  <c r="AC257" i="1"/>
  <c r="O266" i="4" s="1"/>
  <c r="AC249" i="1"/>
  <c r="O256" i="4" s="1"/>
  <c r="AC241" i="1"/>
  <c r="O248" i="4" s="1"/>
  <c r="AC233" i="1"/>
  <c r="O240" i="4" s="1"/>
  <c r="AC225" i="1"/>
  <c r="O232" i="4" s="1"/>
  <c r="AC217" i="1"/>
  <c r="O224" i="4" s="1"/>
  <c r="AC209" i="1"/>
  <c r="O216" i="4" s="1"/>
  <c r="AC201" i="1"/>
  <c r="O206" i="4" s="1"/>
  <c r="AC193" i="1"/>
  <c r="O198" i="4" s="1"/>
  <c r="AC185" i="1"/>
  <c r="O190" i="4" s="1"/>
  <c r="AC177" i="1"/>
  <c r="O182" i="4" s="1"/>
  <c r="AC169" i="1"/>
  <c r="O174" i="4" s="1"/>
  <c r="AC161" i="1"/>
  <c r="O166" i="4" s="1"/>
  <c r="AC153" i="1"/>
  <c r="O158" i="4" s="1"/>
  <c r="AC145" i="1"/>
  <c r="O148" i="4" s="1"/>
  <c r="AC137" i="1"/>
  <c r="O140" i="4" s="1"/>
  <c r="AC129" i="1"/>
  <c r="O132" i="4" s="1"/>
  <c r="AC121" i="1"/>
  <c r="O124" i="4" s="1"/>
  <c r="AC113" i="1"/>
  <c r="O116" i="4" s="1"/>
  <c r="AC105" i="1"/>
  <c r="O108" i="4" s="1"/>
  <c r="AC97" i="1"/>
  <c r="O98" i="4" s="1"/>
  <c r="AC89" i="1"/>
  <c r="O90" i="4" s="1"/>
  <c r="AC81" i="1"/>
  <c r="O82" i="4" s="1"/>
  <c r="AC73" i="1"/>
  <c r="O74" i="4" s="1"/>
  <c r="AC65" i="1"/>
  <c r="O66" i="4" s="1"/>
  <c r="AC57" i="1"/>
  <c r="O58" i="4" s="1"/>
  <c r="AC49" i="1"/>
  <c r="O48" i="4" s="1"/>
  <c r="AC41" i="1"/>
  <c r="O40" i="4" s="1"/>
  <c r="AC33" i="1"/>
  <c r="O32" i="4" s="1"/>
  <c r="AC25" i="1"/>
  <c r="O24" i="4" s="1"/>
  <c r="AC17" i="1"/>
  <c r="O16" i="4" s="1"/>
  <c r="AC9" i="1"/>
  <c r="O8" i="4" s="1"/>
  <c r="AC91" i="1"/>
  <c r="O92" i="4" s="1"/>
  <c r="AC19" i="1"/>
  <c r="O18" i="4" s="1"/>
  <c r="AC304" i="1"/>
  <c r="O315" i="4" s="1"/>
  <c r="AC296" i="1"/>
  <c r="O305" i="4" s="1"/>
  <c r="AC288" i="1"/>
  <c r="O297" i="4" s="1"/>
  <c r="AC280" i="1"/>
  <c r="O289" i="4" s="1"/>
  <c r="AC272" i="1"/>
  <c r="O281" i="4" s="1"/>
  <c r="AC264" i="1"/>
  <c r="O273" i="4" s="1"/>
  <c r="AC256" i="1"/>
  <c r="O265" i="4" s="1"/>
  <c r="AC248" i="1"/>
  <c r="O255" i="4" s="1"/>
  <c r="AC240" i="1"/>
  <c r="O247" i="4" s="1"/>
  <c r="AC232" i="1"/>
  <c r="O239" i="4" s="1"/>
  <c r="AC224" i="1"/>
  <c r="O231" i="4" s="1"/>
  <c r="AC216" i="1"/>
  <c r="O223" i="4" s="1"/>
  <c r="AC208" i="1"/>
  <c r="O215" i="4" s="1"/>
  <c r="AC200" i="1"/>
  <c r="O205" i="4" s="1"/>
  <c r="AC192" i="1"/>
  <c r="O197" i="4" s="1"/>
  <c r="AC184" i="1"/>
  <c r="O189" i="4" s="1"/>
  <c r="AC176" i="1"/>
  <c r="O181" i="4" s="1"/>
  <c r="AC168" i="1"/>
  <c r="O173" i="4" s="1"/>
  <c r="AC160" i="1"/>
  <c r="O165" i="4" s="1"/>
  <c r="AC152" i="1"/>
  <c r="O157" i="4" s="1"/>
  <c r="AC144" i="1"/>
  <c r="O147" i="4" s="1"/>
  <c r="AC136" i="1"/>
  <c r="O139" i="4" s="1"/>
  <c r="AC128" i="1"/>
  <c r="O131" i="4" s="1"/>
  <c r="AC120" i="1"/>
  <c r="O123" i="4" s="1"/>
  <c r="AC112" i="1"/>
  <c r="O115" i="4" s="1"/>
  <c r="AC104" i="1"/>
  <c r="O107" i="4" s="1"/>
  <c r="AC96" i="1"/>
  <c r="O97" i="4" s="1"/>
  <c r="AC88" i="1"/>
  <c r="O89" i="4" s="1"/>
  <c r="AC80" i="1"/>
  <c r="O81" i="4" s="1"/>
  <c r="AC72" i="1"/>
  <c r="O73" i="4" s="1"/>
  <c r="AC64" i="1"/>
  <c r="O65" i="4" s="1"/>
  <c r="AC56" i="1"/>
  <c r="O57" i="4" s="1"/>
  <c r="AC48" i="1"/>
  <c r="O47" i="4" s="1"/>
  <c r="AC40" i="1"/>
  <c r="O39" i="4" s="1"/>
  <c r="AC32" i="1"/>
  <c r="O31" i="4" s="1"/>
  <c r="AC24" i="1"/>
  <c r="O23" i="4" s="1"/>
  <c r="AC16" i="1"/>
  <c r="O15" i="4" s="1"/>
  <c r="AC8" i="1"/>
  <c r="O7" i="4" s="1"/>
  <c r="AC259" i="1"/>
  <c r="O268" i="4" s="1"/>
  <c r="AC35" i="1"/>
  <c r="O34" i="4" s="1"/>
  <c r="AC307" i="1"/>
  <c r="O318" i="4" s="1"/>
  <c r="AC235" i="1"/>
  <c r="O242" i="4" s="1"/>
  <c r="AC219" i="1"/>
  <c r="O226" i="4" s="1"/>
  <c r="AC187" i="1"/>
  <c r="O192" i="4" s="1"/>
  <c r="AC171" i="1"/>
  <c r="O176" i="4" s="1"/>
  <c r="AC147" i="1"/>
  <c r="O150" i="4" s="1"/>
  <c r="AC131" i="1"/>
  <c r="O134" i="4" s="1"/>
  <c r="AC27" i="1"/>
  <c r="O26" i="4" s="1"/>
  <c r="AC303" i="1"/>
  <c r="O314" i="4" s="1"/>
  <c r="AC295" i="1"/>
  <c r="O304" i="4" s="1"/>
  <c r="AC287" i="1"/>
  <c r="O296" i="4" s="1"/>
  <c r="AC279" i="1"/>
  <c r="O288" i="4" s="1"/>
  <c r="AC271" i="1"/>
  <c r="O280" i="4" s="1"/>
  <c r="AC263" i="1"/>
  <c r="O272" i="4" s="1"/>
  <c r="AC255" i="1"/>
  <c r="O264" i="4" s="1"/>
  <c r="AC247" i="1"/>
  <c r="O254" i="4" s="1"/>
  <c r="AC239" i="1"/>
  <c r="O246" i="4" s="1"/>
  <c r="AC231" i="1"/>
  <c r="O238" i="4" s="1"/>
  <c r="AC223" i="1"/>
  <c r="O230" i="4" s="1"/>
  <c r="AC215" i="1"/>
  <c r="O222" i="4" s="1"/>
  <c r="AC207" i="1"/>
  <c r="O214" i="4" s="1"/>
  <c r="AC199" i="1"/>
  <c r="O204" i="4" s="1"/>
  <c r="AC191" i="1"/>
  <c r="O196" i="4" s="1"/>
  <c r="AC183" i="1"/>
  <c r="O188" i="4" s="1"/>
  <c r="AC175" i="1"/>
  <c r="O180" i="4" s="1"/>
  <c r="AC167" i="1"/>
  <c r="O172" i="4" s="1"/>
  <c r="AC159" i="1"/>
  <c r="O164" i="4" s="1"/>
  <c r="AC151" i="1"/>
  <c r="O154" i="4" s="1"/>
  <c r="AC143" i="1"/>
  <c r="O146" i="4" s="1"/>
  <c r="AC135" i="1"/>
  <c r="O138" i="4" s="1"/>
  <c r="AC127" i="1"/>
  <c r="O130" i="4" s="1"/>
  <c r="AC119" i="1"/>
  <c r="O122" i="4" s="1"/>
  <c r="AC111" i="1"/>
  <c r="O114" i="4" s="1"/>
  <c r="AC103" i="1"/>
  <c r="O106" i="4" s="1"/>
  <c r="AC95" i="1"/>
  <c r="O96" i="4" s="1"/>
  <c r="AC87" i="1"/>
  <c r="O88" i="4" s="1"/>
  <c r="AC79" i="1"/>
  <c r="O80" i="4" s="1"/>
  <c r="AC71" i="1"/>
  <c r="O72" i="4" s="1"/>
  <c r="AC63" i="1"/>
  <c r="O64" i="4" s="1"/>
  <c r="AC55" i="1"/>
  <c r="O56" i="4" s="1"/>
  <c r="AC47" i="1"/>
  <c r="O46" i="4" s="1"/>
  <c r="AC39" i="1"/>
  <c r="O38" i="4" s="1"/>
  <c r="AC31" i="1"/>
  <c r="O30" i="4" s="1"/>
  <c r="AC23" i="1"/>
  <c r="O22" i="4" s="1"/>
  <c r="AC15" i="1"/>
  <c r="O14" i="4" s="1"/>
  <c r="AC7" i="1"/>
  <c r="O6" i="4" s="1"/>
  <c r="AC243" i="1"/>
  <c r="O250" i="4" s="1"/>
  <c r="AC83" i="1"/>
  <c r="O84" i="4" s="1"/>
  <c r="AC115" i="1"/>
  <c r="O118" i="4" s="1"/>
  <c r="AC302" i="1"/>
  <c r="O311" i="4" s="1"/>
  <c r="AC294" i="1"/>
  <c r="O303" i="4" s="1"/>
  <c r="AC286" i="1"/>
  <c r="O295" i="4" s="1"/>
  <c r="AC278" i="1"/>
  <c r="O287" i="4" s="1"/>
  <c r="AC270" i="1"/>
  <c r="O279" i="4" s="1"/>
  <c r="AC262" i="1"/>
  <c r="O271" i="4" s="1"/>
  <c r="AC254" i="1"/>
  <c r="O263" i="4" s="1"/>
  <c r="AC246" i="1"/>
  <c r="O253" i="4" s="1"/>
  <c r="AC238" i="1"/>
  <c r="O245" i="4" s="1"/>
  <c r="AC230" i="1"/>
  <c r="O237" i="4" s="1"/>
  <c r="AC222" i="1"/>
  <c r="O229" i="4" s="1"/>
  <c r="AC214" i="1"/>
  <c r="O221" i="4" s="1"/>
  <c r="AC206" i="1"/>
  <c r="O213" i="4" s="1"/>
  <c r="AC198" i="1"/>
  <c r="O203" i="4" s="1"/>
  <c r="AC190" i="1"/>
  <c r="O195" i="4" s="1"/>
  <c r="AC182" i="1"/>
  <c r="O187" i="4" s="1"/>
  <c r="AC174" i="1"/>
  <c r="O179" i="4" s="1"/>
  <c r="AC166" i="1"/>
  <c r="O171" i="4" s="1"/>
  <c r="AC158" i="1"/>
  <c r="O163" i="4" s="1"/>
  <c r="AC150" i="1"/>
  <c r="O153" i="4" s="1"/>
  <c r="AC142" i="1"/>
  <c r="O145" i="4" s="1"/>
  <c r="AC134" i="1"/>
  <c r="O137" i="4" s="1"/>
  <c r="AC126" i="1"/>
  <c r="O129" i="4" s="1"/>
  <c r="AC118" i="1"/>
  <c r="O121" i="4" s="1"/>
  <c r="AC110" i="1"/>
  <c r="O113" i="4" s="1"/>
  <c r="AC102" i="1"/>
  <c r="O105" i="4" s="1"/>
  <c r="AC94" i="1"/>
  <c r="O95" i="4" s="1"/>
  <c r="AC86" i="1"/>
  <c r="O87" i="4" s="1"/>
  <c r="AC78" i="1"/>
  <c r="O79" i="4" s="1"/>
  <c r="AC70" i="1"/>
  <c r="O71" i="4" s="1"/>
  <c r="AC62" i="1"/>
  <c r="O63" i="4" s="1"/>
  <c r="AC54" i="1"/>
  <c r="O55" i="4" s="1"/>
  <c r="AC46" i="1"/>
  <c r="O45" i="4" s="1"/>
  <c r="AC38" i="1"/>
  <c r="O37" i="4" s="1"/>
  <c r="AC30" i="1"/>
  <c r="O29" i="4" s="1"/>
  <c r="AC22" i="1"/>
  <c r="O21" i="4" s="1"/>
  <c r="AC14" i="1"/>
  <c r="O13" i="4" s="1"/>
  <c r="AC6" i="1"/>
  <c r="O5" i="4" s="1"/>
  <c r="AC251" i="1"/>
  <c r="O258" i="4" s="1"/>
  <c r="AC163" i="1"/>
  <c r="O168" i="4" s="1"/>
  <c r="AC11" i="1"/>
  <c r="O10" i="4" s="1"/>
  <c r="AC283" i="1"/>
  <c r="O292" i="4" s="1"/>
  <c r="AC195" i="1"/>
  <c r="O200" i="4" s="1"/>
  <c r="AC67" i="1"/>
  <c r="O68" i="4" s="1"/>
  <c r="AC301" i="1"/>
  <c r="O310" i="4" s="1"/>
  <c r="AC293" i="1"/>
  <c r="O302" i="4" s="1"/>
  <c r="AC285" i="1"/>
  <c r="O294" i="4" s="1"/>
  <c r="AC277" i="1"/>
  <c r="O286" i="4" s="1"/>
  <c r="AC269" i="1"/>
  <c r="O278" i="4" s="1"/>
  <c r="AC261" i="1"/>
  <c r="O270" i="4" s="1"/>
  <c r="AC253" i="1"/>
  <c r="O262" i="4" s="1"/>
  <c r="AC245" i="1"/>
  <c r="O252" i="4" s="1"/>
  <c r="AC237" i="1"/>
  <c r="O244" i="4" s="1"/>
  <c r="AC229" i="1"/>
  <c r="O236" i="4" s="1"/>
  <c r="AC221" i="1"/>
  <c r="O228" i="4" s="1"/>
  <c r="AC213" i="1"/>
  <c r="O220" i="4" s="1"/>
  <c r="AC205" i="1"/>
  <c r="O212" i="4" s="1"/>
  <c r="AC197" i="1"/>
  <c r="O202" i="4" s="1"/>
  <c r="AC189" i="1"/>
  <c r="O194" i="4" s="1"/>
  <c r="AC181" i="1"/>
  <c r="O186" i="4" s="1"/>
  <c r="AC173" i="1"/>
  <c r="O178" i="4" s="1"/>
  <c r="AC165" i="1"/>
  <c r="O170" i="4" s="1"/>
  <c r="AC157" i="1"/>
  <c r="O162" i="4" s="1"/>
  <c r="AC149" i="1"/>
  <c r="O152" i="4" s="1"/>
  <c r="AC141" i="1"/>
  <c r="O144" i="4" s="1"/>
  <c r="AC133" i="1"/>
  <c r="O136" i="4" s="1"/>
  <c r="AC125" i="1"/>
  <c r="O128" i="4" s="1"/>
  <c r="AC117" i="1"/>
  <c r="O120" i="4" s="1"/>
  <c r="AC109" i="1"/>
  <c r="O112" i="4" s="1"/>
  <c r="AC101" i="1"/>
  <c r="O102" i="4" s="1"/>
  <c r="AC93" i="1"/>
  <c r="O94" i="4" s="1"/>
  <c r="AC85" i="1"/>
  <c r="O86" i="4" s="1"/>
  <c r="AC77" i="1"/>
  <c r="O78" i="4" s="1"/>
  <c r="AC69" i="1"/>
  <c r="O70" i="4" s="1"/>
  <c r="AC61" i="1"/>
  <c r="O62" i="4" s="1"/>
  <c r="AC53" i="1"/>
  <c r="O54" i="4" s="1"/>
  <c r="AC45" i="1"/>
  <c r="O44" i="4" s="1"/>
  <c r="AC37" i="1"/>
  <c r="O36" i="4" s="1"/>
  <c r="AC29" i="1"/>
  <c r="O28" i="4" s="1"/>
  <c r="AC21" i="1"/>
  <c r="O20" i="4" s="1"/>
  <c r="AC13" i="1"/>
  <c r="O12" i="4" s="1"/>
  <c r="AC5" i="1"/>
  <c r="O4" i="4" s="1"/>
  <c r="AC75" i="1"/>
  <c r="O76" i="4" s="1"/>
  <c r="AC275" i="1"/>
  <c r="O284" i="4" s="1"/>
  <c r="AC227" i="1"/>
  <c r="O234" i="4" s="1"/>
  <c r="AC203" i="1"/>
  <c r="O210" i="4" s="1"/>
  <c r="AC179" i="1"/>
  <c r="O184" i="4" s="1"/>
  <c r="AC155" i="1"/>
  <c r="O160" i="4" s="1"/>
  <c r="AC139" i="1"/>
  <c r="O142" i="4" s="1"/>
  <c r="AC123" i="1"/>
  <c r="O126" i="4" s="1"/>
  <c r="AC51" i="1"/>
  <c r="O50" i="4" s="1"/>
  <c r="AC300" i="1"/>
  <c r="O309" i="4" s="1"/>
  <c r="AC292" i="1"/>
  <c r="O301" i="4" s="1"/>
  <c r="AC284" i="1"/>
  <c r="O293" i="4" s="1"/>
  <c r="AC276" i="1"/>
  <c r="O285" i="4" s="1"/>
  <c r="AC268" i="1"/>
  <c r="O277" i="4" s="1"/>
  <c r="AC260" i="1"/>
  <c r="O269" i="4" s="1"/>
  <c r="AC252" i="1"/>
  <c r="O261" i="4" s="1"/>
  <c r="AC244" i="1"/>
  <c r="O251" i="4" s="1"/>
  <c r="AC236" i="1"/>
  <c r="O243" i="4" s="1"/>
  <c r="AC228" i="1"/>
  <c r="O235" i="4" s="1"/>
  <c r="AC220" i="1"/>
  <c r="O227" i="4" s="1"/>
  <c r="AC212" i="1"/>
  <c r="O219" i="4" s="1"/>
  <c r="AC204" i="1"/>
  <c r="O211" i="4" s="1"/>
  <c r="AC196" i="1"/>
  <c r="O201" i="4" s="1"/>
  <c r="AC188" i="1"/>
  <c r="O193" i="4" s="1"/>
  <c r="AC180" i="1"/>
  <c r="O185" i="4" s="1"/>
  <c r="AC172" i="1"/>
  <c r="O177" i="4" s="1"/>
  <c r="AC164" i="1"/>
  <c r="O169" i="4" s="1"/>
  <c r="AC156" i="1"/>
  <c r="O161" i="4" s="1"/>
  <c r="AC148" i="1"/>
  <c r="O151" i="4" s="1"/>
  <c r="AC140" i="1"/>
  <c r="O143" i="4" s="1"/>
  <c r="AC132" i="1"/>
  <c r="O135" i="4" s="1"/>
  <c r="AC124" i="1"/>
  <c r="O127" i="4" s="1"/>
  <c r="AC116" i="1"/>
  <c r="O119" i="4" s="1"/>
  <c r="AC108" i="1"/>
  <c r="O111" i="4" s="1"/>
  <c r="AC100" i="1"/>
  <c r="O101" i="4" s="1"/>
  <c r="AC92" i="1"/>
  <c r="O93" i="4" s="1"/>
  <c r="AC84" i="1"/>
  <c r="O85" i="4" s="1"/>
  <c r="AC76" i="1"/>
  <c r="O77" i="4" s="1"/>
  <c r="AC68" i="1"/>
  <c r="O69" i="4" s="1"/>
  <c r="AC60" i="1"/>
  <c r="O61" i="4" s="1"/>
  <c r="AC52" i="1"/>
  <c r="O51" i="4" s="1"/>
  <c r="AC44" i="1"/>
  <c r="O43" i="4" s="1"/>
  <c r="AC36" i="1"/>
  <c r="O35" i="4" s="1"/>
  <c r="AC28" i="1"/>
  <c r="O27" i="4" s="1"/>
  <c r="AC20" i="1"/>
  <c r="O19" i="4" s="1"/>
  <c r="AC12" i="1"/>
  <c r="O11" i="4" s="1"/>
  <c r="AC4" i="1"/>
  <c r="O3" i="4" s="1"/>
  <c r="AC3" i="1"/>
  <c r="O2" i="4" s="1"/>
  <c r="AA257" i="1"/>
  <c r="M266" i="4" s="1"/>
  <c r="AA129" i="1"/>
  <c r="M132" i="4" s="1"/>
  <c r="AA242" i="1"/>
  <c r="M249" i="4" s="1"/>
  <c r="AA114" i="1"/>
  <c r="M117" i="4" s="1"/>
  <c r="AA241" i="1"/>
  <c r="M248" i="4" s="1"/>
  <c r="AA113" i="1"/>
  <c r="M116" i="4" s="1"/>
  <c r="AA226" i="1"/>
  <c r="M233" i="4" s="1"/>
  <c r="AA98" i="1"/>
  <c r="M99" i="4" s="1"/>
  <c r="AA225" i="1"/>
  <c r="M232" i="4" s="1"/>
  <c r="AA97" i="1"/>
  <c r="M98" i="4" s="1"/>
  <c r="AA210" i="1"/>
  <c r="M217" i="4" s="1"/>
  <c r="AA82" i="1"/>
  <c r="M83" i="4" s="1"/>
  <c r="AA209" i="1"/>
  <c r="M216" i="4" s="1"/>
  <c r="AA81" i="1"/>
  <c r="M82" i="4" s="1"/>
  <c r="AA194" i="1"/>
  <c r="M199" i="4" s="1"/>
  <c r="AA66" i="1"/>
  <c r="M67" i="4" s="1"/>
  <c r="AA193" i="1"/>
  <c r="M198" i="4" s="1"/>
  <c r="AA65" i="1"/>
  <c r="M66" i="4" s="1"/>
  <c r="AA306" i="1"/>
  <c r="M317" i="4" s="1"/>
  <c r="AA178" i="1"/>
  <c r="M183" i="4" s="1"/>
  <c r="AA50" i="1"/>
  <c r="M49" i="4" s="1"/>
  <c r="AA305" i="1"/>
  <c r="M316" i="4" s="1"/>
  <c r="AA177" i="1"/>
  <c r="M182" i="4" s="1"/>
  <c r="AA49" i="1"/>
  <c r="M48" i="4" s="1"/>
  <c r="AA290" i="1"/>
  <c r="M299" i="4" s="1"/>
  <c r="AA162" i="1"/>
  <c r="M167" i="4" s="1"/>
  <c r="AA34" i="1"/>
  <c r="M33" i="4" s="1"/>
  <c r="AA289" i="1"/>
  <c r="M298" i="4" s="1"/>
  <c r="AA161" i="1"/>
  <c r="M166" i="4" s="1"/>
  <c r="AA33" i="1"/>
  <c r="M32" i="4" s="1"/>
  <c r="AA274" i="1"/>
  <c r="M283" i="4" s="1"/>
  <c r="AA146" i="1"/>
  <c r="M149" i="4" s="1"/>
  <c r="AA19" i="1"/>
  <c r="M18" i="4" s="1"/>
  <c r="AA273" i="1"/>
  <c r="M282" i="4" s="1"/>
  <c r="AA145" i="1"/>
  <c r="M148" i="4" s="1"/>
  <c r="AA18" i="1"/>
  <c r="M17" i="4" s="1"/>
  <c r="AA258" i="1"/>
  <c r="M267" i="4" s="1"/>
  <c r="AA130" i="1"/>
  <c r="M133" i="4" s="1"/>
  <c r="AA17" i="1"/>
  <c r="M16" i="4" s="1"/>
  <c r="AA307" i="1"/>
  <c r="M318" i="4" s="1"/>
  <c r="AA291" i="1"/>
  <c r="M300" i="4" s="1"/>
  <c r="AA275" i="1"/>
  <c r="M284" i="4" s="1"/>
  <c r="AA259" i="1"/>
  <c r="M268" i="4" s="1"/>
  <c r="AA243" i="1"/>
  <c r="M250" i="4" s="1"/>
  <c r="AA227" i="1"/>
  <c r="M234" i="4" s="1"/>
  <c r="AA211" i="1"/>
  <c r="M218" i="4" s="1"/>
  <c r="AA195" i="1"/>
  <c r="M200" i="4" s="1"/>
  <c r="AA179" i="1"/>
  <c r="M184" i="4" s="1"/>
  <c r="AA163" i="1"/>
  <c r="M168" i="4" s="1"/>
  <c r="AA147" i="1"/>
  <c r="M150" i="4" s="1"/>
  <c r="AA131" i="1"/>
  <c r="M134" i="4" s="1"/>
  <c r="AA115" i="1"/>
  <c r="M118" i="4" s="1"/>
  <c r="AA99" i="1"/>
  <c r="M100" i="4" s="1"/>
  <c r="AA83" i="1"/>
  <c r="M84" i="4" s="1"/>
  <c r="AA67" i="1"/>
  <c r="M68" i="4" s="1"/>
  <c r="AA51" i="1"/>
  <c r="M50" i="4" s="1"/>
  <c r="AA35" i="1"/>
  <c r="M34" i="4" s="1"/>
  <c r="AA304" i="1"/>
  <c r="M315" i="4" s="1"/>
  <c r="AA288" i="1"/>
  <c r="M297" i="4" s="1"/>
  <c r="AA272" i="1"/>
  <c r="M281" i="4" s="1"/>
  <c r="AA256" i="1"/>
  <c r="M265" i="4" s="1"/>
  <c r="AA240" i="1"/>
  <c r="M247" i="4" s="1"/>
  <c r="AA224" i="1"/>
  <c r="M231" i="4" s="1"/>
  <c r="AA208" i="1"/>
  <c r="M215" i="4" s="1"/>
  <c r="AA192" i="1"/>
  <c r="M197" i="4" s="1"/>
  <c r="AA176" i="1"/>
  <c r="M181" i="4" s="1"/>
  <c r="AA160" i="1"/>
  <c r="M165" i="4" s="1"/>
  <c r="AA144" i="1"/>
  <c r="M147" i="4" s="1"/>
  <c r="AA128" i="1"/>
  <c r="M131" i="4" s="1"/>
  <c r="AA112" i="1"/>
  <c r="M115" i="4" s="1"/>
  <c r="AA96" i="1"/>
  <c r="M97" i="4" s="1"/>
  <c r="AA80" i="1"/>
  <c r="M81" i="4" s="1"/>
  <c r="AA64" i="1"/>
  <c r="M65" i="4" s="1"/>
  <c r="AA48" i="1"/>
  <c r="M47" i="4" s="1"/>
  <c r="AA32" i="1"/>
  <c r="M31" i="4" s="1"/>
  <c r="AA16" i="1"/>
  <c r="M15" i="4" s="1"/>
  <c r="AA303" i="1"/>
  <c r="M314" i="4" s="1"/>
  <c r="AA287" i="1"/>
  <c r="M296" i="4" s="1"/>
  <c r="AA271" i="1"/>
  <c r="M280" i="4" s="1"/>
  <c r="AA255" i="1"/>
  <c r="M264" i="4" s="1"/>
  <c r="AA239" i="1"/>
  <c r="M246" i="4" s="1"/>
  <c r="AA223" i="1"/>
  <c r="M230" i="4" s="1"/>
  <c r="AA207" i="1"/>
  <c r="M214" i="4" s="1"/>
  <c r="AA191" i="1"/>
  <c r="M196" i="4" s="1"/>
  <c r="AA175" i="1"/>
  <c r="M180" i="4" s="1"/>
  <c r="AA159" i="1"/>
  <c r="M164" i="4" s="1"/>
  <c r="AA143" i="1"/>
  <c r="M146" i="4" s="1"/>
  <c r="AA127" i="1"/>
  <c r="M130" i="4" s="1"/>
  <c r="AA111" i="1"/>
  <c r="M114" i="4" s="1"/>
  <c r="AA95" i="1"/>
  <c r="M96" i="4" s="1"/>
  <c r="AA79" i="1"/>
  <c r="M80" i="4" s="1"/>
  <c r="AA63" i="1"/>
  <c r="M64" i="4" s="1"/>
  <c r="AA47" i="1"/>
  <c r="M46" i="4" s="1"/>
  <c r="AA31" i="1"/>
  <c r="M30" i="4" s="1"/>
  <c r="AA15" i="1"/>
  <c r="M14" i="4" s="1"/>
  <c r="AA302" i="1"/>
  <c r="M311" i="4" s="1"/>
  <c r="AA286" i="1"/>
  <c r="M295" i="4" s="1"/>
  <c r="AA270" i="1"/>
  <c r="M279" i="4" s="1"/>
  <c r="AA254" i="1"/>
  <c r="M263" i="4" s="1"/>
  <c r="AA238" i="1"/>
  <c r="M245" i="4" s="1"/>
  <c r="AA222" i="1"/>
  <c r="M229" i="4" s="1"/>
  <c r="AA206" i="1"/>
  <c r="M213" i="4" s="1"/>
  <c r="AA190" i="1"/>
  <c r="M195" i="4" s="1"/>
  <c r="AA174" i="1"/>
  <c r="M179" i="4" s="1"/>
  <c r="AA158" i="1"/>
  <c r="M163" i="4" s="1"/>
  <c r="AA142" i="1"/>
  <c r="M145" i="4" s="1"/>
  <c r="AA126" i="1"/>
  <c r="M129" i="4" s="1"/>
  <c r="AA110" i="1"/>
  <c r="M113" i="4" s="1"/>
  <c r="AA94" i="1"/>
  <c r="M95" i="4" s="1"/>
  <c r="AA78" i="1"/>
  <c r="M79" i="4" s="1"/>
  <c r="AA62" i="1"/>
  <c r="M63" i="4" s="1"/>
  <c r="AA46" i="1"/>
  <c r="M45" i="4" s="1"/>
  <c r="AA30" i="1"/>
  <c r="M29" i="4" s="1"/>
  <c r="AA14" i="1"/>
  <c r="M13" i="4" s="1"/>
  <c r="AA301" i="1"/>
  <c r="M310" i="4" s="1"/>
  <c r="AA285" i="1"/>
  <c r="M294" i="4" s="1"/>
  <c r="AA269" i="1"/>
  <c r="M278" i="4" s="1"/>
  <c r="AA253" i="1"/>
  <c r="M262" i="4" s="1"/>
  <c r="AA237" i="1"/>
  <c r="M244" i="4" s="1"/>
  <c r="AA221" i="1"/>
  <c r="M228" i="4" s="1"/>
  <c r="AA205" i="1"/>
  <c r="M212" i="4" s="1"/>
  <c r="AA189" i="1"/>
  <c r="M194" i="4" s="1"/>
  <c r="AA173" i="1"/>
  <c r="M178" i="4" s="1"/>
  <c r="AA157" i="1"/>
  <c r="M162" i="4" s="1"/>
  <c r="AA141" i="1"/>
  <c r="M144" i="4" s="1"/>
  <c r="AA125" i="1"/>
  <c r="M128" i="4" s="1"/>
  <c r="AA109" i="1"/>
  <c r="M112" i="4" s="1"/>
  <c r="AA93" i="1"/>
  <c r="M94" i="4" s="1"/>
  <c r="AA77" i="1"/>
  <c r="M78" i="4" s="1"/>
  <c r="AA61" i="1"/>
  <c r="M62" i="4" s="1"/>
  <c r="AA45" i="1"/>
  <c r="M44" i="4" s="1"/>
  <c r="AA29" i="1"/>
  <c r="M28" i="4" s="1"/>
  <c r="AA13" i="1"/>
  <c r="M12" i="4" s="1"/>
  <c r="AA300" i="1"/>
  <c r="M309" i="4" s="1"/>
  <c r="AA284" i="1"/>
  <c r="M293" i="4" s="1"/>
  <c r="AA268" i="1"/>
  <c r="M277" i="4" s="1"/>
  <c r="AA252" i="1"/>
  <c r="M261" i="4" s="1"/>
  <c r="AA236" i="1"/>
  <c r="M243" i="4" s="1"/>
  <c r="AA220" i="1"/>
  <c r="M227" i="4" s="1"/>
  <c r="AA204" i="1"/>
  <c r="M211" i="4" s="1"/>
  <c r="AA188" i="1"/>
  <c r="M193" i="4" s="1"/>
  <c r="AA172" i="1"/>
  <c r="M177" i="4" s="1"/>
  <c r="AA156" i="1"/>
  <c r="M161" i="4" s="1"/>
  <c r="AA140" i="1"/>
  <c r="M143" i="4" s="1"/>
  <c r="AA124" i="1"/>
  <c r="M127" i="4" s="1"/>
  <c r="AA108" i="1"/>
  <c r="M111" i="4" s="1"/>
  <c r="AA92" i="1"/>
  <c r="M93" i="4" s="1"/>
  <c r="AA76" i="1"/>
  <c r="M77" i="4" s="1"/>
  <c r="AA60" i="1"/>
  <c r="M61" i="4" s="1"/>
  <c r="AA44" i="1"/>
  <c r="M43" i="4" s="1"/>
  <c r="AA28" i="1"/>
  <c r="M27" i="4" s="1"/>
  <c r="AA12" i="1"/>
  <c r="M11" i="4" s="1"/>
  <c r="AA299" i="1"/>
  <c r="M308" i="4" s="1"/>
  <c r="AA283" i="1"/>
  <c r="M292" i="4" s="1"/>
  <c r="AA267" i="1"/>
  <c r="M276" i="4" s="1"/>
  <c r="AA251" i="1"/>
  <c r="M258" i="4" s="1"/>
  <c r="AA235" i="1"/>
  <c r="M242" i="4" s="1"/>
  <c r="AA219" i="1"/>
  <c r="M226" i="4" s="1"/>
  <c r="AA203" i="1"/>
  <c r="M210" i="4" s="1"/>
  <c r="AA187" i="1"/>
  <c r="M192" i="4" s="1"/>
  <c r="AA171" i="1"/>
  <c r="M176" i="4" s="1"/>
  <c r="AA155" i="1"/>
  <c r="M160" i="4" s="1"/>
  <c r="AA139" i="1"/>
  <c r="M142" i="4" s="1"/>
  <c r="AA123" i="1"/>
  <c r="M126" i="4" s="1"/>
  <c r="AA107" i="1"/>
  <c r="M110" i="4" s="1"/>
  <c r="AA91" i="1"/>
  <c r="M92" i="4" s="1"/>
  <c r="AA75" i="1"/>
  <c r="M76" i="4" s="1"/>
  <c r="AA59" i="1"/>
  <c r="M60" i="4" s="1"/>
  <c r="AA43" i="1"/>
  <c r="M42" i="4" s="1"/>
  <c r="AA27" i="1"/>
  <c r="M26" i="4" s="1"/>
  <c r="AA11" i="1"/>
  <c r="M10" i="4" s="1"/>
  <c r="AA298" i="1"/>
  <c r="M307" i="4" s="1"/>
  <c r="AA282" i="1"/>
  <c r="M291" i="4" s="1"/>
  <c r="AA266" i="1"/>
  <c r="M275" i="4" s="1"/>
  <c r="AA250" i="1"/>
  <c r="M257" i="4" s="1"/>
  <c r="AA234" i="1"/>
  <c r="M241" i="4" s="1"/>
  <c r="AA218" i="1"/>
  <c r="M225" i="4" s="1"/>
  <c r="AA202" i="1"/>
  <c r="M209" i="4" s="1"/>
  <c r="AA186" i="1"/>
  <c r="M191" i="4" s="1"/>
  <c r="AA170" i="1"/>
  <c r="M175" i="4" s="1"/>
  <c r="AA154" i="1"/>
  <c r="M159" i="4" s="1"/>
  <c r="AA138" i="1"/>
  <c r="M141" i="4" s="1"/>
  <c r="AA122" i="1"/>
  <c r="M125" i="4" s="1"/>
  <c r="AA106" i="1"/>
  <c r="M109" i="4" s="1"/>
  <c r="AA90" i="1"/>
  <c r="M91" i="4" s="1"/>
  <c r="AA74" i="1"/>
  <c r="M75" i="4" s="1"/>
  <c r="AA58" i="1"/>
  <c r="M59" i="4" s="1"/>
  <c r="AA42" i="1"/>
  <c r="M41" i="4" s="1"/>
  <c r="AA26" i="1"/>
  <c r="M25" i="4" s="1"/>
  <c r="AA10" i="1"/>
  <c r="M9" i="4" s="1"/>
  <c r="AA297" i="1"/>
  <c r="M306" i="4" s="1"/>
  <c r="AA281" i="1"/>
  <c r="M290" i="4" s="1"/>
  <c r="AA265" i="1"/>
  <c r="M274" i="4" s="1"/>
  <c r="AA249" i="1"/>
  <c r="M256" i="4" s="1"/>
  <c r="AA233" i="1"/>
  <c r="M240" i="4" s="1"/>
  <c r="AA217" i="1"/>
  <c r="M224" i="4" s="1"/>
  <c r="AA201" i="1"/>
  <c r="M206" i="4" s="1"/>
  <c r="AA185" i="1"/>
  <c r="M190" i="4" s="1"/>
  <c r="AA169" i="1"/>
  <c r="M174" i="4" s="1"/>
  <c r="AA153" i="1"/>
  <c r="M158" i="4" s="1"/>
  <c r="AA137" i="1"/>
  <c r="M140" i="4" s="1"/>
  <c r="AA121" i="1"/>
  <c r="M124" i="4" s="1"/>
  <c r="AA105" i="1"/>
  <c r="M108" i="4" s="1"/>
  <c r="AA89" i="1"/>
  <c r="M90" i="4" s="1"/>
  <c r="AA73" i="1"/>
  <c r="M74" i="4" s="1"/>
  <c r="AA57" i="1"/>
  <c r="M58" i="4" s="1"/>
  <c r="AA41" i="1"/>
  <c r="M40" i="4" s="1"/>
  <c r="AA25" i="1"/>
  <c r="M24" i="4" s="1"/>
  <c r="AA9" i="1"/>
  <c r="M8" i="4" s="1"/>
  <c r="AA296" i="1"/>
  <c r="M305" i="4" s="1"/>
  <c r="AA280" i="1"/>
  <c r="M289" i="4" s="1"/>
  <c r="AA264" i="1"/>
  <c r="M273" i="4" s="1"/>
  <c r="AA248" i="1"/>
  <c r="M255" i="4" s="1"/>
  <c r="AA232" i="1"/>
  <c r="M239" i="4" s="1"/>
  <c r="AA216" i="1"/>
  <c r="M223" i="4" s="1"/>
  <c r="AA200" i="1"/>
  <c r="M205" i="4" s="1"/>
  <c r="AA184" i="1"/>
  <c r="M189" i="4" s="1"/>
  <c r="AA168" i="1"/>
  <c r="M173" i="4" s="1"/>
  <c r="AA152" i="1"/>
  <c r="M157" i="4" s="1"/>
  <c r="AA136" i="1"/>
  <c r="M139" i="4" s="1"/>
  <c r="AA120" i="1"/>
  <c r="M123" i="4" s="1"/>
  <c r="AA104" i="1"/>
  <c r="M107" i="4" s="1"/>
  <c r="AA88" i="1"/>
  <c r="M89" i="4" s="1"/>
  <c r="AA72" i="1"/>
  <c r="M73" i="4" s="1"/>
  <c r="AA56" i="1"/>
  <c r="M57" i="4" s="1"/>
  <c r="AA40" i="1"/>
  <c r="M39" i="4" s="1"/>
  <c r="AA24" i="1"/>
  <c r="M23" i="4" s="1"/>
  <c r="AA8" i="1"/>
  <c r="M7" i="4" s="1"/>
  <c r="AA295" i="1"/>
  <c r="M304" i="4" s="1"/>
  <c r="AA279" i="1"/>
  <c r="M288" i="4" s="1"/>
  <c r="AA263" i="1"/>
  <c r="M272" i="4" s="1"/>
  <c r="AA247" i="1"/>
  <c r="M254" i="4" s="1"/>
  <c r="AA231" i="1"/>
  <c r="M238" i="4" s="1"/>
  <c r="AA215" i="1"/>
  <c r="M222" i="4" s="1"/>
  <c r="AA199" i="1"/>
  <c r="M204" i="4" s="1"/>
  <c r="AA183" i="1"/>
  <c r="M188" i="4" s="1"/>
  <c r="AA167" i="1"/>
  <c r="M172" i="4" s="1"/>
  <c r="AA151" i="1"/>
  <c r="M154" i="4" s="1"/>
  <c r="AA135" i="1"/>
  <c r="M138" i="4" s="1"/>
  <c r="AA119" i="1"/>
  <c r="M122" i="4" s="1"/>
  <c r="AA103" i="1"/>
  <c r="M106" i="4" s="1"/>
  <c r="AA87" i="1"/>
  <c r="M88" i="4" s="1"/>
  <c r="AA71" i="1"/>
  <c r="M72" i="4" s="1"/>
  <c r="AA55" i="1"/>
  <c r="M56" i="4" s="1"/>
  <c r="AA39" i="1"/>
  <c r="M38" i="4" s="1"/>
  <c r="AA23" i="1"/>
  <c r="M22" i="4" s="1"/>
  <c r="AA7" i="1"/>
  <c r="M6" i="4" s="1"/>
  <c r="AA294" i="1"/>
  <c r="M303" i="4" s="1"/>
  <c r="AA278" i="1"/>
  <c r="M287" i="4" s="1"/>
  <c r="AA262" i="1"/>
  <c r="M271" i="4" s="1"/>
  <c r="AA246" i="1"/>
  <c r="M253" i="4" s="1"/>
  <c r="AA230" i="1"/>
  <c r="M237" i="4" s="1"/>
  <c r="AA214" i="1"/>
  <c r="M221" i="4" s="1"/>
  <c r="AA198" i="1"/>
  <c r="M203" i="4" s="1"/>
  <c r="AA182" i="1"/>
  <c r="M187" i="4" s="1"/>
  <c r="AA166" i="1"/>
  <c r="M171" i="4" s="1"/>
  <c r="AA150" i="1"/>
  <c r="M153" i="4" s="1"/>
  <c r="AA134" i="1"/>
  <c r="M137" i="4" s="1"/>
  <c r="AA118" i="1"/>
  <c r="M121" i="4" s="1"/>
  <c r="AA102" i="1"/>
  <c r="M105" i="4" s="1"/>
  <c r="AA86" i="1"/>
  <c r="M87" i="4" s="1"/>
  <c r="AA70" i="1"/>
  <c r="M71" i="4" s="1"/>
  <c r="AA54" i="1"/>
  <c r="M55" i="4" s="1"/>
  <c r="AA38" i="1"/>
  <c r="M37" i="4" s="1"/>
  <c r="AA22" i="1"/>
  <c r="M21" i="4" s="1"/>
  <c r="AA6" i="1"/>
  <c r="M5" i="4" s="1"/>
  <c r="AA293" i="1"/>
  <c r="M302" i="4" s="1"/>
  <c r="AA277" i="1"/>
  <c r="M286" i="4" s="1"/>
  <c r="AA261" i="1"/>
  <c r="M270" i="4" s="1"/>
  <c r="AA245" i="1"/>
  <c r="M252" i="4" s="1"/>
  <c r="AA229" i="1"/>
  <c r="M236" i="4" s="1"/>
  <c r="AA213" i="1"/>
  <c r="M220" i="4" s="1"/>
  <c r="AA197" i="1"/>
  <c r="M202" i="4" s="1"/>
  <c r="AA181" i="1"/>
  <c r="M186" i="4" s="1"/>
  <c r="AA165" i="1"/>
  <c r="M170" i="4" s="1"/>
  <c r="AA149" i="1"/>
  <c r="M152" i="4" s="1"/>
  <c r="AA133" i="1"/>
  <c r="M136" i="4" s="1"/>
  <c r="AA117" i="1"/>
  <c r="M120" i="4" s="1"/>
  <c r="AA101" i="1"/>
  <c r="M102" i="4" s="1"/>
  <c r="AA85" i="1"/>
  <c r="M86" i="4" s="1"/>
  <c r="AA69" i="1"/>
  <c r="M70" i="4" s="1"/>
  <c r="AA53" i="1"/>
  <c r="M54" i="4" s="1"/>
  <c r="AA37" i="1"/>
  <c r="M36" i="4" s="1"/>
  <c r="AA21" i="1"/>
  <c r="M20" i="4" s="1"/>
  <c r="AA5" i="1"/>
  <c r="M4" i="4" s="1"/>
  <c r="AA292" i="1"/>
  <c r="M301" i="4" s="1"/>
  <c r="AA276" i="1"/>
  <c r="M285" i="4" s="1"/>
  <c r="AA260" i="1"/>
  <c r="M269" i="4" s="1"/>
  <c r="AA244" i="1"/>
  <c r="M251" i="4" s="1"/>
  <c r="AA228" i="1"/>
  <c r="M235" i="4" s="1"/>
  <c r="AA212" i="1"/>
  <c r="M219" i="4" s="1"/>
  <c r="AA196" i="1"/>
  <c r="M201" i="4" s="1"/>
  <c r="AA180" i="1"/>
  <c r="M185" i="4" s="1"/>
  <c r="AA164" i="1"/>
  <c r="M169" i="4" s="1"/>
  <c r="AA148" i="1"/>
  <c r="M151" i="4" s="1"/>
  <c r="AA132" i="1"/>
  <c r="M135" i="4" s="1"/>
  <c r="AA116" i="1"/>
  <c r="M119" i="4" s="1"/>
  <c r="AA100" i="1"/>
  <c r="M101" i="4" s="1"/>
  <c r="AA84" i="1"/>
  <c r="M85" i="4" s="1"/>
  <c r="AA68" i="1"/>
  <c r="M69" i="4" s="1"/>
  <c r="AA52" i="1"/>
  <c r="M51" i="4" s="1"/>
  <c r="AA36" i="1"/>
  <c r="M35" i="4" s="1"/>
  <c r="AA20" i="1"/>
  <c r="M19" i="4" s="1"/>
  <c r="AA4" i="1"/>
  <c r="M3" i="4" s="1"/>
  <c r="AA3" i="1"/>
  <c r="M2" i="4" s="1"/>
  <c r="AD313" i="4"/>
  <c r="AD260" i="4"/>
  <c r="AD208" i="4"/>
  <c r="AD156" i="4"/>
  <c r="AD104" i="4"/>
  <c r="AD53" i="4"/>
  <c r="AD1" i="4"/>
  <c r="I26" i="3" a="1"/>
  <c r="I18" i="3" a="1"/>
  <c r="I12" i="3" a="1"/>
  <c r="I36" i="3" a="1"/>
  <c r="AB102" i="4" a="1"/>
  <c r="AB154" i="4" a="1"/>
  <c r="AD318" i="4" a="1"/>
  <c r="AD206" i="4" a="1"/>
  <c r="AB51" i="4" a="1"/>
  <c r="AB311" i="4" a="1"/>
  <c r="AB206" i="4" a="1"/>
  <c r="AD311" i="4" a="1"/>
  <c r="AD154" i="4" a="1"/>
  <c r="AB258" i="4" a="1"/>
  <c r="AB318" i="4" a="1"/>
  <c r="AD102" i="4" a="1"/>
  <c r="AD258" i="4" a="1"/>
  <c r="I26" i="3" l="1"/>
  <c r="I18" i="3"/>
  <c r="I12" i="3"/>
  <c r="I36" i="3"/>
  <c r="AB154" i="4"/>
  <c r="AB258" i="4"/>
  <c r="AB311" i="4"/>
  <c r="AB318" i="4"/>
  <c r="AB51" i="4"/>
  <c r="AB102" i="4"/>
  <c r="AB206" i="4"/>
  <c r="AD318" i="4"/>
  <c r="AD311" i="4"/>
  <c r="AD258" i="4"/>
  <c r="AD206" i="4"/>
  <c r="AD154" i="4"/>
  <c r="AD102" i="4"/>
  <c r="T105" i="4"/>
  <c r="U54" i="4"/>
  <c r="U2" i="4"/>
  <c r="U105" i="4"/>
  <c r="R21" i="1"/>
  <c r="R27" i="1"/>
  <c r="I25" i="3" a="1"/>
  <c r="I17" i="3" a="1"/>
  <c r="I11" i="3" a="1"/>
  <c r="I35" i="3" a="1"/>
  <c r="AB153" i="4" a="1"/>
  <c r="AD51" i="4" a="1"/>
  <c r="AB101" i="4" a="1"/>
  <c r="AD310" i="4" a="1"/>
  <c r="AD205" i="4" a="1"/>
  <c r="AD153" i="4" a="1"/>
  <c r="AB310" i="4" a="1"/>
  <c r="AB50" i="4" a="1"/>
  <c r="AD317" i="4" a="1"/>
  <c r="AB257" i="4" a="1"/>
  <c r="AD257" i="4" a="1"/>
  <c r="AB317" i="4" a="1"/>
  <c r="AB205" i="4" a="1"/>
  <c r="AD101" i="4" a="1"/>
  <c r="I25" i="3" l="1"/>
  <c r="I17" i="3"/>
  <c r="I11" i="3"/>
  <c r="I35" i="3"/>
  <c r="AB205" i="4"/>
  <c r="AB257" i="4"/>
  <c r="AB101" i="4"/>
  <c r="AB50" i="4"/>
  <c r="AB317" i="4"/>
  <c r="AB310" i="4"/>
  <c r="AB153" i="4"/>
  <c r="AD317" i="4"/>
  <c r="AD310" i="4"/>
  <c r="AD257" i="4"/>
  <c r="AD205" i="4"/>
  <c r="AD153" i="4"/>
  <c r="AD101" i="4"/>
  <c r="AD51" i="4"/>
  <c r="R207" i="1"/>
  <c r="R178" i="1"/>
  <c r="R172" i="1"/>
  <c r="R130" i="1"/>
  <c r="R105" i="1"/>
  <c r="R87" i="1"/>
  <c r="R84" i="1"/>
  <c r="R71" i="1"/>
  <c r="R62" i="1"/>
  <c r="R51" i="1"/>
  <c r="R45" i="1"/>
  <c r="P4" i="1"/>
  <c r="Q4" i="1" s="1"/>
  <c r="P5" i="1"/>
  <c r="Q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32" i="1"/>
  <c r="Q32" i="1" s="1"/>
  <c r="P33" i="1"/>
  <c r="Q33" i="1" s="1"/>
  <c r="P34" i="1"/>
  <c r="Q34" i="1" s="1"/>
  <c r="P35" i="1"/>
  <c r="Q35" i="1" s="1"/>
  <c r="P36" i="1"/>
  <c r="Q36" i="1" s="1"/>
  <c r="P37" i="1"/>
  <c r="Q37" i="1" s="1"/>
  <c r="P38" i="1"/>
  <c r="Q38" i="1" s="1"/>
  <c r="P39" i="1"/>
  <c r="Q39" i="1" s="1"/>
  <c r="P40" i="1"/>
  <c r="Q40" i="1" s="1"/>
  <c r="P41" i="1"/>
  <c r="Q41" i="1" s="1"/>
  <c r="P42" i="1"/>
  <c r="Q42" i="1" s="1"/>
  <c r="P43" i="1"/>
  <c r="Q43" i="1" s="1"/>
  <c r="P44" i="1"/>
  <c r="Q44" i="1" s="1"/>
  <c r="P45" i="1"/>
  <c r="Q45" i="1" s="1"/>
  <c r="P46" i="1"/>
  <c r="Q46" i="1" s="1"/>
  <c r="P47" i="1"/>
  <c r="Q47" i="1" s="1"/>
  <c r="P48" i="1"/>
  <c r="Q48" i="1" s="1"/>
  <c r="P49" i="1"/>
  <c r="Q49" i="1" s="1"/>
  <c r="P50" i="1"/>
  <c r="Q50" i="1" s="1"/>
  <c r="P51" i="1"/>
  <c r="Q51" i="1" s="1"/>
  <c r="P52" i="1"/>
  <c r="Q52" i="1" s="1"/>
  <c r="P53" i="1"/>
  <c r="Q53" i="1" s="1"/>
  <c r="P54" i="1"/>
  <c r="Q54" i="1" s="1"/>
  <c r="P55" i="1"/>
  <c r="Q55" i="1" s="1"/>
  <c r="P56" i="1"/>
  <c r="Q56" i="1" s="1"/>
  <c r="P57" i="1"/>
  <c r="Q57" i="1" s="1"/>
  <c r="P58" i="1"/>
  <c r="Q58" i="1" s="1"/>
  <c r="P59" i="1"/>
  <c r="Q59" i="1" s="1"/>
  <c r="P60" i="1"/>
  <c r="Q60" i="1" s="1"/>
  <c r="P61" i="1"/>
  <c r="Q61" i="1" s="1"/>
  <c r="P62" i="1"/>
  <c r="Q62" i="1" s="1"/>
  <c r="P63" i="1"/>
  <c r="Q63" i="1" s="1"/>
  <c r="P64" i="1"/>
  <c r="Q64" i="1" s="1"/>
  <c r="P65" i="1"/>
  <c r="Q65" i="1" s="1"/>
  <c r="P66" i="1"/>
  <c r="Q66" i="1" s="1"/>
  <c r="P67" i="1"/>
  <c r="Q67" i="1" s="1"/>
  <c r="P68" i="1"/>
  <c r="Q68" i="1" s="1"/>
  <c r="P69" i="1"/>
  <c r="Q69" i="1" s="1"/>
  <c r="P70" i="1"/>
  <c r="Q70" i="1" s="1"/>
  <c r="P71" i="1"/>
  <c r="Q71" i="1" s="1"/>
  <c r="P72" i="1"/>
  <c r="Q72" i="1" s="1"/>
  <c r="P73" i="1"/>
  <c r="Q73" i="1" s="1"/>
  <c r="P74" i="1"/>
  <c r="Q74" i="1" s="1"/>
  <c r="P75" i="1"/>
  <c r="Q75" i="1" s="1"/>
  <c r="P76" i="1"/>
  <c r="Q76" i="1" s="1"/>
  <c r="P77" i="1"/>
  <c r="Q77" i="1" s="1"/>
  <c r="P78" i="1"/>
  <c r="Q78" i="1" s="1"/>
  <c r="P79" i="1"/>
  <c r="Q79" i="1" s="1"/>
  <c r="P80" i="1"/>
  <c r="Q80" i="1" s="1"/>
  <c r="P81" i="1"/>
  <c r="Q81" i="1" s="1"/>
  <c r="P82" i="1"/>
  <c r="Q82" i="1" s="1"/>
  <c r="P83" i="1"/>
  <c r="Q83" i="1" s="1"/>
  <c r="P84" i="1"/>
  <c r="Q84" i="1" s="1"/>
  <c r="P85" i="1"/>
  <c r="Q85" i="1" s="1"/>
  <c r="P86" i="1"/>
  <c r="Q86" i="1" s="1"/>
  <c r="P87" i="1"/>
  <c r="Q87" i="1" s="1"/>
  <c r="P88" i="1"/>
  <c r="Q88" i="1" s="1"/>
  <c r="P89" i="1"/>
  <c r="Q89" i="1" s="1"/>
  <c r="P90" i="1"/>
  <c r="Q90" i="1" s="1"/>
  <c r="P91" i="1"/>
  <c r="Q91" i="1" s="1"/>
  <c r="P92" i="1"/>
  <c r="Q92" i="1" s="1"/>
  <c r="P93" i="1"/>
  <c r="Q93" i="1" s="1"/>
  <c r="P94" i="1"/>
  <c r="Q94" i="1" s="1"/>
  <c r="P95" i="1"/>
  <c r="Q95" i="1" s="1"/>
  <c r="P96" i="1"/>
  <c r="Q96" i="1" s="1"/>
  <c r="P97" i="1"/>
  <c r="Q97" i="1" s="1"/>
  <c r="P98" i="1"/>
  <c r="Q98" i="1" s="1"/>
  <c r="P99" i="1"/>
  <c r="Q99" i="1" s="1"/>
  <c r="P100" i="1"/>
  <c r="Q100" i="1" s="1"/>
  <c r="P101" i="1"/>
  <c r="Q101" i="1" s="1"/>
  <c r="P102" i="1"/>
  <c r="Q102" i="1" s="1"/>
  <c r="P103" i="1"/>
  <c r="Q103" i="1" s="1"/>
  <c r="P104" i="1"/>
  <c r="Q104" i="1" s="1"/>
  <c r="P105" i="1"/>
  <c r="Q105" i="1" s="1"/>
  <c r="P106" i="1"/>
  <c r="Q106" i="1" s="1"/>
  <c r="P107" i="1"/>
  <c r="Q107" i="1" s="1"/>
  <c r="P108" i="1"/>
  <c r="Q108" i="1" s="1"/>
  <c r="P109" i="1"/>
  <c r="Q109" i="1" s="1"/>
  <c r="P110" i="1"/>
  <c r="Q110" i="1" s="1"/>
  <c r="P111" i="1"/>
  <c r="Q111" i="1" s="1"/>
  <c r="P112" i="1"/>
  <c r="Q112" i="1" s="1"/>
  <c r="P113" i="1"/>
  <c r="Q113" i="1" s="1"/>
  <c r="P114" i="1"/>
  <c r="Q114" i="1" s="1"/>
  <c r="P115" i="1"/>
  <c r="Q115" i="1" s="1"/>
  <c r="P116" i="1"/>
  <c r="Q116" i="1" s="1"/>
  <c r="P117" i="1"/>
  <c r="Q117" i="1" s="1"/>
  <c r="P118" i="1"/>
  <c r="Q118" i="1" s="1"/>
  <c r="P119" i="1"/>
  <c r="Q119" i="1" s="1"/>
  <c r="P120" i="1"/>
  <c r="Q120" i="1" s="1"/>
  <c r="P121" i="1"/>
  <c r="Q121" i="1" s="1"/>
  <c r="P122" i="1"/>
  <c r="Q122" i="1" s="1"/>
  <c r="P123" i="1"/>
  <c r="Q123" i="1" s="1"/>
  <c r="P124" i="1"/>
  <c r="Q124" i="1" s="1"/>
  <c r="P125" i="1"/>
  <c r="Q125" i="1" s="1"/>
  <c r="P126" i="1"/>
  <c r="Q126" i="1" s="1"/>
  <c r="P127" i="1"/>
  <c r="Q127" i="1" s="1"/>
  <c r="P128" i="1"/>
  <c r="Q128" i="1" s="1"/>
  <c r="P129" i="1"/>
  <c r="Q129" i="1" s="1"/>
  <c r="P130" i="1"/>
  <c r="Q130" i="1" s="1"/>
  <c r="P131" i="1"/>
  <c r="Q131" i="1" s="1"/>
  <c r="P132" i="1"/>
  <c r="Q132" i="1" s="1"/>
  <c r="P133" i="1"/>
  <c r="Q133" i="1" s="1"/>
  <c r="P134" i="1"/>
  <c r="Q134" i="1" s="1"/>
  <c r="P135" i="1"/>
  <c r="Q135" i="1" s="1"/>
  <c r="P136" i="1"/>
  <c r="Q136" i="1" s="1"/>
  <c r="P137" i="1"/>
  <c r="Q137" i="1" s="1"/>
  <c r="P138" i="1"/>
  <c r="Q138" i="1" s="1"/>
  <c r="P139" i="1"/>
  <c r="Q139" i="1" s="1"/>
  <c r="P140" i="1"/>
  <c r="Q140" i="1" s="1"/>
  <c r="P141" i="1"/>
  <c r="Q141" i="1" s="1"/>
  <c r="P142" i="1"/>
  <c r="Q142" i="1" s="1"/>
  <c r="P143" i="1"/>
  <c r="Q143" i="1" s="1"/>
  <c r="P144" i="1"/>
  <c r="Q144" i="1" s="1"/>
  <c r="P145" i="1"/>
  <c r="Q145" i="1" s="1"/>
  <c r="P146" i="1"/>
  <c r="Q146" i="1" s="1"/>
  <c r="P147" i="1"/>
  <c r="Q147" i="1" s="1"/>
  <c r="P148" i="1"/>
  <c r="Q148" i="1" s="1"/>
  <c r="P149" i="1"/>
  <c r="Q149" i="1" s="1"/>
  <c r="P150" i="1"/>
  <c r="Q150" i="1" s="1"/>
  <c r="P151" i="1"/>
  <c r="Q151" i="1" s="1"/>
  <c r="P152" i="1"/>
  <c r="Q152" i="1" s="1"/>
  <c r="P153" i="1"/>
  <c r="Q153" i="1" s="1"/>
  <c r="P154" i="1"/>
  <c r="Q154" i="1" s="1"/>
  <c r="P155" i="1"/>
  <c r="Q155" i="1" s="1"/>
  <c r="P156" i="1"/>
  <c r="Q156" i="1" s="1"/>
  <c r="P157" i="1"/>
  <c r="Q157" i="1" s="1"/>
  <c r="P158" i="1"/>
  <c r="Q158" i="1" s="1"/>
  <c r="P159" i="1"/>
  <c r="Q159" i="1" s="1"/>
  <c r="P160" i="1"/>
  <c r="Q160" i="1" s="1"/>
  <c r="P161" i="1"/>
  <c r="Q161" i="1" s="1"/>
  <c r="P162" i="1"/>
  <c r="Q162" i="1" s="1"/>
  <c r="P163" i="1"/>
  <c r="Q163" i="1" s="1"/>
  <c r="P164" i="1"/>
  <c r="Q164" i="1" s="1"/>
  <c r="P165" i="1"/>
  <c r="Q165" i="1" s="1"/>
  <c r="P166" i="1"/>
  <c r="Q166" i="1" s="1"/>
  <c r="P167" i="1"/>
  <c r="Q167" i="1" s="1"/>
  <c r="P168" i="1"/>
  <c r="Q168" i="1" s="1"/>
  <c r="P169" i="1"/>
  <c r="Q169" i="1" s="1"/>
  <c r="P170" i="1"/>
  <c r="Q170" i="1" s="1"/>
  <c r="P171" i="1"/>
  <c r="Q171" i="1" s="1"/>
  <c r="P172" i="1"/>
  <c r="Q172" i="1" s="1"/>
  <c r="P173" i="1"/>
  <c r="Q173" i="1" s="1"/>
  <c r="P174" i="1"/>
  <c r="Q174" i="1" s="1"/>
  <c r="P175" i="1"/>
  <c r="Q175" i="1" s="1"/>
  <c r="P176" i="1"/>
  <c r="Q176" i="1" s="1"/>
  <c r="P177" i="1"/>
  <c r="Q177" i="1" s="1"/>
  <c r="P178" i="1"/>
  <c r="Q178" i="1" s="1"/>
  <c r="P179" i="1"/>
  <c r="Q179" i="1" s="1"/>
  <c r="P180" i="1"/>
  <c r="Q180" i="1" s="1"/>
  <c r="P181" i="1"/>
  <c r="Q181" i="1" s="1"/>
  <c r="P182" i="1"/>
  <c r="Q182" i="1" s="1"/>
  <c r="P183" i="1"/>
  <c r="Q183" i="1" s="1"/>
  <c r="P184" i="1"/>
  <c r="Q184" i="1" s="1"/>
  <c r="P185" i="1"/>
  <c r="Q185" i="1" s="1"/>
  <c r="P186" i="1"/>
  <c r="Q186" i="1" s="1"/>
  <c r="P187" i="1"/>
  <c r="Q187" i="1" s="1"/>
  <c r="P188" i="1"/>
  <c r="Q188" i="1" s="1"/>
  <c r="P189" i="1"/>
  <c r="Q189" i="1" s="1"/>
  <c r="P190" i="1"/>
  <c r="Q190" i="1" s="1"/>
  <c r="P191" i="1"/>
  <c r="Q191" i="1" s="1"/>
  <c r="P192" i="1"/>
  <c r="Q192" i="1" s="1"/>
  <c r="P193" i="1"/>
  <c r="Q193" i="1" s="1"/>
  <c r="P194" i="1"/>
  <c r="Q194" i="1" s="1"/>
  <c r="P195" i="1"/>
  <c r="Q195" i="1" s="1"/>
  <c r="P196" i="1"/>
  <c r="Q196" i="1" s="1"/>
  <c r="P197" i="1"/>
  <c r="Q197" i="1" s="1"/>
  <c r="P198" i="1"/>
  <c r="Q198" i="1" s="1"/>
  <c r="P199" i="1"/>
  <c r="Q199" i="1" s="1"/>
  <c r="P200" i="1"/>
  <c r="Q200" i="1" s="1"/>
  <c r="P201" i="1"/>
  <c r="Q201" i="1" s="1"/>
  <c r="P202" i="1"/>
  <c r="Q202" i="1" s="1"/>
  <c r="P203" i="1"/>
  <c r="Q203" i="1" s="1"/>
  <c r="P204" i="1"/>
  <c r="Q204" i="1" s="1"/>
  <c r="P205" i="1"/>
  <c r="Q205" i="1" s="1"/>
  <c r="P206" i="1"/>
  <c r="Q206" i="1" s="1"/>
  <c r="P207" i="1"/>
  <c r="Q207" i="1" s="1"/>
  <c r="P208" i="1"/>
  <c r="Q208" i="1" s="1"/>
  <c r="P209" i="1"/>
  <c r="Q209" i="1" s="1"/>
  <c r="P210" i="1"/>
  <c r="Q210" i="1" s="1"/>
  <c r="P211" i="1"/>
  <c r="Q211" i="1" s="1"/>
  <c r="P212" i="1"/>
  <c r="Q212" i="1" s="1"/>
  <c r="P213" i="1"/>
  <c r="Q213" i="1" s="1"/>
  <c r="P214" i="1"/>
  <c r="Q214" i="1" s="1"/>
  <c r="P215" i="1"/>
  <c r="Q215" i="1" s="1"/>
  <c r="P216" i="1"/>
  <c r="Q216" i="1" s="1"/>
  <c r="P217" i="1"/>
  <c r="Q217" i="1" s="1"/>
  <c r="P218" i="1"/>
  <c r="Q218" i="1" s="1"/>
  <c r="P219" i="1"/>
  <c r="Q219" i="1" s="1"/>
  <c r="P220" i="1"/>
  <c r="Q220" i="1" s="1"/>
  <c r="P221" i="1"/>
  <c r="Q221" i="1" s="1"/>
  <c r="P222" i="1"/>
  <c r="Q222" i="1" s="1"/>
  <c r="P223" i="1"/>
  <c r="Q223" i="1" s="1"/>
  <c r="P224" i="1"/>
  <c r="Q224" i="1" s="1"/>
  <c r="P225" i="1"/>
  <c r="Q225" i="1" s="1"/>
  <c r="P226" i="1"/>
  <c r="Q226" i="1" s="1"/>
  <c r="P227" i="1"/>
  <c r="Q227" i="1" s="1"/>
  <c r="P228" i="1"/>
  <c r="Q228" i="1" s="1"/>
  <c r="P229" i="1"/>
  <c r="Q229" i="1" s="1"/>
  <c r="P230" i="1"/>
  <c r="Q230" i="1" s="1"/>
  <c r="P231" i="1"/>
  <c r="Q231" i="1" s="1"/>
  <c r="P232" i="1"/>
  <c r="Q232" i="1" s="1"/>
  <c r="P233" i="1"/>
  <c r="Q233" i="1" s="1"/>
  <c r="P234" i="1"/>
  <c r="Q234" i="1" s="1"/>
  <c r="P235" i="1"/>
  <c r="Q235" i="1" s="1"/>
  <c r="P236" i="1"/>
  <c r="Q236" i="1" s="1"/>
  <c r="P237" i="1"/>
  <c r="Q237" i="1" s="1"/>
  <c r="P238" i="1"/>
  <c r="Q238" i="1" s="1"/>
  <c r="P239" i="1"/>
  <c r="Q239" i="1" s="1"/>
  <c r="P240" i="1"/>
  <c r="Q240" i="1" s="1"/>
  <c r="P241" i="1"/>
  <c r="Q241" i="1" s="1"/>
  <c r="P242" i="1"/>
  <c r="Q242" i="1" s="1"/>
  <c r="P243" i="1"/>
  <c r="Q243" i="1" s="1"/>
  <c r="P244" i="1"/>
  <c r="Q244" i="1" s="1"/>
  <c r="P245" i="1"/>
  <c r="Q245" i="1" s="1"/>
  <c r="P246" i="1"/>
  <c r="Q246" i="1" s="1"/>
  <c r="P247" i="1"/>
  <c r="Q247" i="1" s="1"/>
  <c r="P248" i="1"/>
  <c r="Q248" i="1" s="1"/>
  <c r="P249" i="1"/>
  <c r="Q249" i="1" s="1"/>
  <c r="P250" i="1"/>
  <c r="Q250" i="1" s="1"/>
  <c r="P251" i="1"/>
  <c r="Q251" i="1" s="1"/>
  <c r="P252" i="1"/>
  <c r="Q252" i="1" s="1"/>
  <c r="P253" i="1"/>
  <c r="Q253" i="1" s="1"/>
  <c r="P254" i="1"/>
  <c r="Q254" i="1" s="1"/>
  <c r="P255" i="1"/>
  <c r="Q255" i="1" s="1"/>
  <c r="P256" i="1"/>
  <c r="Q256" i="1" s="1"/>
  <c r="P257" i="1"/>
  <c r="Q257" i="1" s="1"/>
  <c r="P258" i="1"/>
  <c r="Q258" i="1" s="1"/>
  <c r="P259" i="1"/>
  <c r="Q259" i="1" s="1"/>
  <c r="P260" i="1"/>
  <c r="Q260" i="1" s="1"/>
  <c r="P261" i="1"/>
  <c r="Q261" i="1" s="1"/>
  <c r="P262" i="1"/>
  <c r="Q262" i="1" s="1"/>
  <c r="P263" i="1"/>
  <c r="Q263" i="1" s="1"/>
  <c r="P264" i="1"/>
  <c r="Q264" i="1" s="1"/>
  <c r="P265" i="1"/>
  <c r="Q265" i="1" s="1"/>
  <c r="P266" i="1"/>
  <c r="Q266" i="1" s="1"/>
  <c r="P267" i="1"/>
  <c r="Q267" i="1" s="1"/>
  <c r="P268" i="1"/>
  <c r="Q268" i="1" s="1"/>
  <c r="P269" i="1"/>
  <c r="Q269" i="1" s="1"/>
  <c r="P270" i="1"/>
  <c r="Q270" i="1" s="1"/>
  <c r="P271" i="1"/>
  <c r="Q271" i="1" s="1"/>
  <c r="P272" i="1"/>
  <c r="Q272" i="1" s="1"/>
  <c r="P273" i="1"/>
  <c r="Q273" i="1" s="1"/>
  <c r="P274" i="1"/>
  <c r="Q274" i="1" s="1"/>
  <c r="P275" i="1"/>
  <c r="Q275" i="1" s="1"/>
  <c r="P276" i="1"/>
  <c r="Q276" i="1" s="1"/>
  <c r="P277" i="1"/>
  <c r="Q277" i="1" s="1"/>
  <c r="P278" i="1"/>
  <c r="Q278" i="1" s="1"/>
  <c r="P279" i="1"/>
  <c r="Q279" i="1" s="1"/>
  <c r="P280" i="1"/>
  <c r="Q280" i="1" s="1"/>
  <c r="P281" i="1"/>
  <c r="Q281" i="1" s="1"/>
  <c r="P282" i="1"/>
  <c r="Q282" i="1" s="1"/>
  <c r="P283" i="1"/>
  <c r="Q283" i="1" s="1"/>
  <c r="P284" i="1"/>
  <c r="Q284" i="1" s="1"/>
  <c r="P285" i="1"/>
  <c r="Q285" i="1" s="1"/>
  <c r="P286" i="1"/>
  <c r="Q286" i="1" s="1"/>
  <c r="P287" i="1"/>
  <c r="Q287" i="1" s="1"/>
  <c r="P288" i="1"/>
  <c r="Q288" i="1" s="1"/>
  <c r="P289" i="1"/>
  <c r="Q289" i="1" s="1"/>
  <c r="P290" i="1"/>
  <c r="Q290" i="1" s="1"/>
  <c r="P291" i="1"/>
  <c r="Q291" i="1" s="1"/>
  <c r="P292" i="1"/>
  <c r="Q292" i="1" s="1"/>
  <c r="P293" i="1"/>
  <c r="Q293" i="1" s="1"/>
  <c r="P294" i="1"/>
  <c r="Q294" i="1" s="1"/>
  <c r="P295" i="1"/>
  <c r="Q295" i="1" s="1"/>
  <c r="P296" i="1"/>
  <c r="Q296" i="1" s="1"/>
  <c r="P297" i="1"/>
  <c r="Q297" i="1" s="1"/>
  <c r="P298" i="1"/>
  <c r="Q298" i="1" s="1"/>
  <c r="P299" i="1"/>
  <c r="Q299" i="1" s="1"/>
  <c r="P300" i="1"/>
  <c r="Q300" i="1" s="1"/>
  <c r="P301" i="1"/>
  <c r="Q301" i="1" s="1"/>
  <c r="P302" i="1"/>
  <c r="Q302" i="1" s="1"/>
  <c r="P303" i="1"/>
  <c r="Q303" i="1" s="1"/>
  <c r="P304" i="1"/>
  <c r="Q304" i="1" s="1"/>
  <c r="P305" i="1"/>
  <c r="Q305" i="1" s="1"/>
  <c r="P306" i="1"/>
  <c r="Q306" i="1" s="1"/>
  <c r="P307" i="1"/>
  <c r="Q307" i="1" s="1"/>
  <c r="P3" i="1"/>
  <c r="Q3" i="1" s="1"/>
  <c r="R246" i="1"/>
  <c r="R284" i="1"/>
  <c r="R302" i="1"/>
  <c r="R256" i="1"/>
  <c r="R272" i="1"/>
  <c r="R275" i="1"/>
  <c r="R225" i="1"/>
  <c r="R227" i="1"/>
  <c r="R230" i="1"/>
  <c r="R233" i="1"/>
  <c r="R236" i="1"/>
  <c r="R237" i="1"/>
  <c r="R243" i="1"/>
  <c r="R252" i="1"/>
  <c r="R193" i="1"/>
  <c r="R196" i="1"/>
  <c r="R203" i="1"/>
  <c r="R211" i="1"/>
  <c r="R212" i="1"/>
  <c r="R161" i="1"/>
  <c r="R170" i="1"/>
  <c r="R173" i="1"/>
  <c r="R175" i="1"/>
  <c r="R176" i="1"/>
  <c r="R180" i="1"/>
  <c r="R184" i="1"/>
  <c r="R137" i="1"/>
  <c r="R145" i="1"/>
  <c r="R155" i="1"/>
  <c r="R129" i="1"/>
  <c r="R125" i="1"/>
  <c r="R108" i="1"/>
  <c r="R97" i="1"/>
  <c r="R89" i="1"/>
  <c r="R74" i="1"/>
  <c r="R59" i="1"/>
  <c r="R58" i="1"/>
  <c r="R55" i="1"/>
  <c r="R54" i="1"/>
  <c r="R53" i="1"/>
  <c r="R44" i="1"/>
  <c r="R28" i="1"/>
  <c r="R26" i="1"/>
  <c r="R16" i="1"/>
  <c r="R7" i="1"/>
  <c r="F315" i="4"/>
  <c r="F316" i="4"/>
  <c r="F317" i="4"/>
  <c r="F318" i="4"/>
  <c r="F314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261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09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157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05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54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2" i="4"/>
  <c r="G296" i="4"/>
  <c r="G295" i="4"/>
  <c r="G294" i="4"/>
  <c r="G293" i="4"/>
  <c r="G291" i="4"/>
  <c r="G283" i="4"/>
  <c r="G284" i="4"/>
  <c r="G285" i="4"/>
  <c r="G288" i="4"/>
  <c r="G280" i="4"/>
  <c r="G273" i="4"/>
  <c r="G276" i="4"/>
  <c r="G277" i="4"/>
  <c r="G271" i="4"/>
  <c r="G270" i="4"/>
  <c r="G268" i="4"/>
  <c r="G266" i="4"/>
  <c r="G265" i="4"/>
  <c r="G258" i="4"/>
  <c r="G254" i="4"/>
  <c r="G252" i="4"/>
  <c r="G250" i="4"/>
  <c r="G249" i="4"/>
  <c r="G237" i="4"/>
  <c r="G239" i="4"/>
  <c r="G244" i="4"/>
  <c r="G232" i="4"/>
  <c r="G230" i="4"/>
  <c r="G227" i="4"/>
  <c r="G228" i="4"/>
  <c r="G224" i="4"/>
  <c r="G225" i="4"/>
  <c r="G220" i="4"/>
  <c r="G222" i="4"/>
  <c r="G218" i="4"/>
  <c r="G221" i="4"/>
  <c r="G216" i="4"/>
  <c r="G214" i="4"/>
  <c r="G213" i="4"/>
  <c r="G210" i="4"/>
  <c r="G201" i="4"/>
  <c r="G205" i="4"/>
  <c r="G203" i="4"/>
  <c r="G199" i="4"/>
  <c r="G196" i="4"/>
  <c r="G195" i="4"/>
  <c r="G193" i="4"/>
  <c r="G190" i="4"/>
  <c r="G189" i="4"/>
  <c r="G185" i="4"/>
  <c r="G184" i="4"/>
  <c r="G183" i="4"/>
  <c r="G178" i="4"/>
  <c r="G177" i="4"/>
  <c r="G176" i="4"/>
  <c r="G173" i="4"/>
  <c r="G172" i="4"/>
  <c r="G171" i="4"/>
  <c r="G169" i="4"/>
  <c r="G167" i="4"/>
  <c r="G165" i="4"/>
  <c r="G163" i="4"/>
  <c r="G162" i="4"/>
  <c r="G160" i="4"/>
  <c r="G157" i="4"/>
  <c r="G153" i="4"/>
  <c r="G152" i="4"/>
  <c r="G149" i="4"/>
  <c r="G145" i="4"/>
  <c r="G144" i="4"/>
  <c r="G143" i="4"/>
  <c r="G142" i="4"/>
  <c r="G138" i="4"/>
  <c r="G137" i="4"/>
  <c r="G133" i="4"/>
  <c r="G132" i="4"/>
  <c r="G128" i="4"/>
  <c r="G127" i="4"/>
  <c r="G124" i="4"/>
  <c r="G123" i="4"/>
  <c r="G122" i="4"/>
  <c r="G81" i="4"/>
  <c r="G80" i="4"/>
  <c r="G70" i="4"/>
  <c r="G67" i="4"/>
  <c r="G66" i="4"/>
  <c r="G64" i="4"/>
  <c r="G61" i="4"/>
  <c r="G60" i="4"/>
  <c r="G57" i="4"/>
  <c r="G120" i="4"/>
  <c r="G110" i="4"/>
  <c r="G112" i="4"/>
  <c r="G113" i="4"/>
  <c r="G114" i="4"/>
  <c r="G117" i="4"/>
  <c r="G108" i="4"/>
  <c r="G107" i="4"/>
  <c r="G105" i="4"/>
  <c r="G100" i="4"/>
  <c r="G99" i="4"/>
  <c r="G98" i="4"/>
  <c r="G95" i="4"/>
  <c r="G92" i="4"/>
  <c r="G91" i="4"/>
  <c r="G89" i="4"/>
  <c r="G86" i="4"/>
  <c r="G82" i="4"/>
  <c r="G79" i="4"/>
  <c r="G77" i="4"/>
  <c r="G73" i="4"/>
  <c r="G12" i="4"/>
  <c r="G8" i="4"/>
  <c r="G3" i="4"/>
  <c r="B315" i="4"/>
  <c r="C315" i="4"/>
  <c r="D315" i="4"/>
  <c r="E315" i="4"/>
  <c r="G315" i="4"/>
  <c r="H315" i="4"/>
  <c r="B316" i="4"/>
  <c r="C316" i="4"/>
  <c r="D316" i="4"/>
  <c r="E316" i="4"/>
  <c r="H316" i="4"/>
  <c r="B317" i="4"/>
  <c r="C317" i="4"/>
  <c r="D317" i="4"/>
  <c r="E317" i="4"/>
  <c r="G317" i="4"/>
  <c r="H317" i="4"/>
  <c r="B318" i="4"/>
  <c r="C318" i="4"/>
  <c r="D318" i="4"/>
  <c r="E318" i="4"/>
  <c r="G318" i="4"/>
  <c r="H318" i="4"/>
  <c r="H307" i="1"/>
  <c r="H306" i="1"/>
  <c r="H305" i="1"/>
  <c r="H304" i="1"/>
  <c r="G4" i="4"/>
  <c r="G5" i="4"/>
  <c r="G6" i="4"/>
  <c r="G7" i="4"/>
  <c r="G9" i="4"/>
  <c r="G10" i="4"/>
  <c r="G13" i="4"/>
  <c r="G16" i="4"/>
  <c r="G17" i="4"/>
  <c r="G21" i="4"/>
  <c r="G22" i="4"/>
  <c r="G26" i="4"/>
  <c r="G27" i="4"/>
  <c r="G28" i="4"/>
  <c r="G32" i="4"/>
  <c r="G34" i="4"/>
  <c r="G37" i="4"/>
  <c r="G40" i="4"/>
  <c r="G41" i="4"/>
  <c r="G47" i="4"/>
  <c r="G51" i="4"/>
  <c r="G62" i="4"/>
  <c r="G65" i="4"/>
  <c r="G69" i="4"/>
  <c r="G71" i="4"/>
  <c r="G72" i="4"/>
  <c r="G78" i="4"/>
  <c r="G84" i="4"/>
  <c r="G85" i="4"/>
  <c r="G88" i="4"/>
  <c r="G90" i="4"/>
  <c r="G93" i="4"/>
  <c r="G96" i="4"/>
  <c r="G97" i="4"/>
  <c r="G101" i="4"/>
  <c r="G106" i="4"/>
  <c r="G109" i="4"/>
  <c r="G111" i="4"/>
  <c r="G115" i="4"/>
  <c r="G116" i="4"/>
  <c r="G121" i="4"/>
  <c r="G126" i="4"/>
  <c r="G129" i="4"/>
  <c r="G134" i="4"/>
  <c r="G141" i="4"/>
  <c r="G146" i="4"/>
  <c r="G151" i="4"/>
  <c r="G154" i="4"/>
  <c r="G158" i="4"/>
  <c r="G159" i="4"/>
  <c r="G161" i="4"/>
  <c r="G164" i="4"/>
  <c r="G168" i="4"/>
  <c r="G170" i="4"/>
  <c r="G174" i="4"/>
  <c r="G179" i="4"/>
  <c r="G182" i="4"/>
  <c r="G188" i="4"/>
  <c r="G192" i="4"/>
  <c r="G194" i="4"/>
  <c r="G197" i="4"/>
  <c r="G200" i="4"/>
  <c r="G204" i="4"/>
  <c r="G206" i="4"/>
  <c r="G209" i="4"/>
  <c r="G211" i="4"/>
  <c r="G212" i="4"/>
  <c r="G215" i="4"/>
  <c r="G217" i="4"/>
  <c r="G219" i="4"/>
  <c r="G223" i="4"/>
  <c r="G226" i="4"/>
  <c r="G229" i="4"/>
  <c r="G231" i="4"/>
  <c r="G233" i="4"/>
  <c r="G234" i="4"/>
  <c r="G235" i="4"/>
  <c r="G236" i="4"/>
  <c r="G238" i="4"/>
  <c r="G240" i="4"/>
  <c r="G241" i="4"/>
  <c r="G242" i="4"/>
  <c r="G243" i="4"/>
  <c r="G245" i="4"/>
  <c r="G246" i="4"/>
  <c r="G247" i="4"/>
  <c r="G248" i="4"/>
  <c r="G251" i="4"/>
  <c r="G253" i="4"/>
  <c r="G255" i="4"/>
  <c r="G256" i="4"/>
  <c r="G257" i="4"/>
  <c r="G261" i="4"/>
  <c r="G262" i="4"/>
  <c r="G263" i="4"/>
  <c r="G264" i="4"/>
  <c r="G267" i="4"/>
  <c r="G269" i="4"/>
  <c r="G272" i="4"/>
  <c r="G274" i="4"/>
  <c r="G275" i="4"/>
  <c r="G278" i="4"/>
  <c r="G279" i="4"/>
  <c r="G282" i="4"/>
  <c r="G286" i="4"/>
  <c r="G287" i="4"/>
  <c r="G289" i="4"/>
  <c r="G290" i="4"/>
  <c r="G292" i="4"/>
  <c r="G298" i="4"/>
  <c r="G300" i="4"/>
  <c r="G302" i="4"/>
  <c r="G304" i="4"/>
  <c r="G306" i="4"/>
  <c r="G308" i="4"/>
  <c r="G310" i="4"/>
  <c r="H112" i="1"/>
  <c r="H115" i="1"/>
  <c r="H127" i="4"/>
  <c r="H125" i="1"/>
  <c r="H129" i="4"/>
  <c r="H128" i="1"/>
  <c r="H129" i="1"/>
  <c r="H130" i="1"/>
  <c r="H134" i="4"/>
  <c r="H146" i="1"/>
  <c r="H147" i="1"/>
  <c r="H165" i="4"/>
  <c r="H161" i="1"/>
  <c r="H162" i="1"/>
  <c r="H168" i="4"/>
  <c r="H179" i="4"/>
  <c r="H180" i="4"/>
  <c r="H176" i="1"/>
  <c r="H177" i="1"/>
  <c r="H183" i="4"/>
  <c r="H184" i="4"/>
  <c r="H192" i="1"/>
  <c r="H194" i="1"/>
  <c r="H200" i="4"/>
  <c r="H214" i="4"/>
  <c r="H208" i="1"/>
  <c r="H209" i="1"/>
  <c r="H217" i="4"/>
  <c r="H218" i="4"/>
  <c r="H224" i="1"/>
  <c r="H225" i="1"/>
  <c r="H226" i="1"/>
  <c r="H227" i="1"/>
  <c r="H264" i="4"/>
  <c r="H256" i="1"/>
  <c r="H257" i="1"/>
  <c r="H258" i="1"/>
  <c r="H259" i="1"/>
  <c r="H281" i="4"/>
  <c r="H282" i="4"/>
  <c r="H283" i="4"/>
  <c r="H275" i="1"/>
  <c r="H297" i="4"/>
  <c r="H290" i="1"/>
  <c r="H300" i="4"/>
  <c r="H112" i="4"/>
  <c r="H113" i="4"/>
  <c r="H116" i="4"/>
  <c r="H117" i="4"/>
  <c r="H144" i="4"/>
  <c r="H145" i="4"/>
  <c r="H146" i="4"/>
  <c r="H148" i="4"/>
  <c r="H162" i="4"/>
  <c r="H163" i="4"/>
  <c r="H159" i="1"/>
  <c r="H195" i="4"/>
  <c r="H191" i="1"/>
  <c r="H193" i="1"/>
  <c r="H213" i="4"/>
  <c r="H229" i="4"/>
  <c r="H230" i="4"/>
  <c r="H246" i="4"/>
  <c r="H240" i="1"/>
  <c r="H241" i="1"/>
  <c r="H249" i="4"/>
  <c r="H250" i="4"/>
  <c r="H280" i="4"/>
  <c r="H296" i="4"/>
  <c r="H289" i="1"/>
  <c r="H314" i="4"/>
  <c r="H111" i="1"/>
  <c r="H116" i="1"/>
  <c r="H120" i="4"/>
  <c r="H118" i="1"/>
  <c r="H119" i="1"/>
  <c r="H120" i="1"/>
  <c r="H124" i="4"/>
  <c r="H125" i="4"/>
  <c r="H126" i="4"/>
  <c r="H130" i="4"/>
  <c r="H132" i="1"/>
  <c r="H136" i="4"/>
  <c r="H134" i="1"/>
  <c r="H135" i="1"/>
  <c r="H136" i="1"/>
  <c r="H140" i="4"/>
  <c r="H141" i="4"/>
  <c r="H142" i="4"/>
  <c r="H143" i="4"/>
  <c r="H147" i="4"/>
  <c r="H148" i="1"/>
  <c r="H152" i="4"/>
  <c r="H150" i="1"/>
  <c r="H151" i="1"/>
  <c r="H152" i="1"/>
  <c r="H158" i="4"/>
  <c r="H159" i="4"/>
  <c r="H160" i="4"/>
  <c r="H161" i="4"/>
  <c r="H164" i="1"/>
  <c r="H170" i="4"/>
  <c r="H171" i="4"/>
  <c r="H167" i="1"/>
  <c r="H168" i="1"/>
  <c r="H174" i="4"/>
  <c r="H175" i="4"/>
  <c r="H176" i="4"/>
  <c r="H177" i="4"/>
  <c r="H173" i="1"/>
  <c r="H180" i="1"/>
  <c r="H186" i="4"/>
  <c r="H187" i="4"/>
  <c r="H183" i="1"/>
  <c r="H184" i="1"/>
  <c r="H190" i="4"/>
  <c r="H191" i="4"/>
  <c r="H192" i="4"/>
  <c r="H193" i="4"/>
  <c r="H194" i="4"/>
  <c r="H196" i="1"/>
  <c r="H202" i="4"/>
  <c r="H198" i="1"/>
  <c r="H199" i="1"/>
  <c r="H200" i="1"/>
  <c r="H206" i="4"/>
  <c r="H209" i="4"/>
  <c r="H210" i="4"/>
  <c r="H211" i="4"/>
  <c r="H212" i="4"/>
  <c r="H212" i="1"/>
  <c r="H220" i="4"/>
  <c r="H214" i="1"/>
  <c r="H215" i="1"/>
  <c r="H216" i="1"/>
  <c r="H224" i="4"/>
  <c r="H225" i="4"/>
  <c r="H226" i="4"/>
  <c r="H227" i="4"/>
  <c r="H221" i="1"/>
  <c r="H228" i="1"/>
  <c r="H236" i="4"/>
  <c r="H230" i="1"/>
  <c r="H231" i="1"/>
  <c r="H232" i="1"/>
  <c r="H240" i="4"/>
  <c r="H241" i="4"/>
  <c r="H242" i="4"/>
  <c r="H243" i="4"/>
  <c r="H244" i="4"/>
  <c r="H238" i="1"/>
  <c r="H244" i="1"/>
  <c r="H252" i="4"/>
  <c r="H253" i="4"/>
  <c r="H247" i="1"/>
  <c r="H248" i="1"/>
  <c r="H256" i="4"/>
  <c r="H257" i="4"/>
  <c r="H258" i="4"/>
  <c r="H261" i="4"/>
  <c r="H262" i="4"/>
  <c r="H263" i="4"/>
  <c r="H260" i="1"/>
  <c r="H270" i="4"/>
  <c r="H271" i="4"/>
  <c r="H263" i="1"/>
  <c r="H264" i="1"/>
  <c r="H274" i="4"/>
  <c r="H275" i="4"/>
  <c r="H276" i="4"/>
  <c r="H277" i="4"/>
  <c r="H269" i="1"/>
  <c r="H279" i="4"/>
  <c r="H285" i="4"/>
  <c r="H286" i="4"/>
  <c r="H287" i="4"/>
  <c r="H288" i="4"/>
  <c r="H289" i="4"/>
  <c r="H290" i="4"/>
  <c r="H291" i="4"/>
  <c r="H292" i="4"/>
  <c r="H293" i="4"/>
  <c r="H285" i="1"/>
  <c r="H295" i="4"/>
  <c r="H301" i="4"/>
  <c r="H302" i="4"/>
  <c r="H303" i="4"/>
  <c r="H304" i="4"/>
  <c r="H305" i="4"/>
  <c r="H306" i="4"/>
  <c r="H307" i="4"/>
  <c r="H308" i="4"/>
  <c r="H309" i="4"/>
  <c r="H310" i="4"/>
  <c r="H311" i="4"/>
  <c r="B276" i="4"/>
  <c r="C276" i="4"/>
  <c r="D276" i="4"/>
  <c r="E276" i="4"/>
  <c r="B277" i="4"/>
  <c r="C277" i="4"/>
  <c r="D277" i="4"/>
  <c r="E277" i="4"/>
  <c r="B278" i="4"/>
  <c r="C278" i="4"/>
  <c r="D278" i="4"/>
  <c r="E278" i="4"/>
  <c r="B279" i="4"/>
  <c r="C279" i="4"/>
  <c r="D279" i="4"/>
  <c r="E279" i="4"/>
  <c r="B280" i="4"/>
  <c r="C280" i="4"/>
  <c r="D280" i="4"/>
  <c r="E280" i="4"/>
  <c r="B281" i="4"/>
  <c r="C281" i="4"/>
  <c r="D281" i="4"/>
  <c r="E281" i="4"/>
  <c r="B282" i="4"/>
  <c r="C282" i="4"/>
  <c r="D282" i="4"/>
  <c r="E282" i="4"/>
  <c r="B283" i="4"/>
  <c r="C283" i="4"/>
  <c r="D283" i="4"/>
  <c r="E283" i="4"/>
  <c r="B284" i="4"/>
  <c r="C284" i="4"/>
  <c r="D284" i="4"/>
  <c r="E284" i="4"/>
  <c r="B285" i="4"/>
  <c r="C285" i="4"/>
  <c r="D285" i="4"/>
  <c r="E285" i="4"/>
  <c r="B286" i="4"/>
  <c r="C286" i="4"/>
  <c r="D286" i="4"/>
  <c r="E286" i="4"/>
  <c r="B287" i="4"/>
  <c r="C287" i="4"/>
  <c r="D287" i="4"/>
  <c r="E287" i="4"/>
  <c r="B288" i="4"/>
  <c r="C288" i="4"/>
  <c r="D288" i="4"/>
  <c r="E288" i="4"/>
  <c r="B289" i="4"/>
  <c r="C289" i="4"/>
  <c r="D289" i="4"/>
  <c r="E289" i="4"/>
  <c r="B290" i="4"/>
  <c r="C290" i="4"/>
  <c r="D290" i="4"/>
  <c r="E290" i="4"/>
  <c r="B291" i="4"/>
  <c r="C291" i="4"/>
  <c r="D291" i="4"/>
  <c r="E291" i="4"/>
  <c r="B292" i="4"/>
  <c r="C292" i="4"/>
  <c r="D292" i="4"/>
  <c r="E292" i="4"/>
  <c r="B293" i="4"/>
  <c r="C293" i="4"/>
  <c r="D293" i="4"/>
  <c r="E293" i="4"/>
  <c r="B294" i="4"/>
  <c r="C294" i="4"/>
  <c r="D294" i="4"/>
  <c r="E294" i="4"/>
  <c r="H294" i="4"/>
  <c r="B295" i="4"/>
  <c r="C295" i="4"/>
  <c r="D295" i="4"/>
  <c r="E295" i="4"/>
  <c r="B296" i="4"/>
  <c r="C296" i="4"/>
  <c r="D296" i="4"/>
  <c r="E296" i="4"/>
  <c r="B297" i="4"/>
  <c r="C297" i="4"/>
  <c r="D297" i="4"/>
  <c r="E297" i="4"/>
  <c r="B298" i="4"/>
  <c r="C298" i="4"/>
  <c r="D298" i="4"/>
  <c r="E298" i="4"/>
  <c r="H298" i="4"/>
  <c r="B299" i="4"/>
  <c r="C299" i="4"/>
  <c r="D299" i="4"/>
  <c r="E299" i="4"/>
  <c r="B300" i="4"/>
  <c r="C300" i="4"/>
  <c r="D300" i="4"/>
  <c r="E300" i="4"/>
  <c r="B301" i="4"/>
  <c r="C301" i="4"/>
  <c r="D301" i="4"/>
  <c r="E301" i="4"/>
  <c r="B302" i="4"/>
  <c r="C302" i="4"/>
  <c r="D302" i="4"/>
  <c r="E302" i="4"/>
  <c r="B303" i="4"/>
  <c r="C303" i="4"/>
  <c r="D303" i="4"/>
  <c r="E303" i="4"/>
  <c r="B304" i="4"/>
  <c r="C304" i="4"/>
  <c r="D304" i="4"/>
  <c r="E304" i="4"/>
  <c r="B305" i="4"/>
  <c r="C305" i="4"/>
  <c r="D305" i="4"/>
  <c r="E305" i="4"/>
  <c r="B306" i="4"/>
  <c r="C306" i="4"/>
  <c r="D306" i="4"/>
  <c r="E306" i="4"/>
  <c r="B307" i="4"/>
  <c r="C307" i="4"/>
  <c r="D307" i="4"/>
  <c r="E307" i="4"/>
  <c r="B308" i="4"/>
  <c r="C308" i="4"/>
  <c r="D308" i="4"/>
  <c r="E308" i="4"/>
  <c r="B309" i="4"/>
  <c r="C309" i="4"/>
  <c r="D309" i="4"/>
  <c r="E309" i="4"/>
  <c r="B310" i="4"/>
  <c r="C310" i="4"/>
  <c r="D310" i="4"/>
  <c r="E310" i="4"/>
  <c r="B311" i="4"/>
  <c r="C311" i="4"/>
  <c r="D311" i="4"/>
  <c r="E311" i="4"/>
  <c r="B314" i="4"/>
  <c r="C314" i="4"/>
  <c r="D314" i="4"/>
  <c r="E314" i="4"/>
  <c r="B3" i="4"/>
  <c r="C3" i="4"/>
  <c r="D3" i="4"/>
  <c r="E3" i="4"/>
  <c r="B4" i="4"/>
  <c r="C4" i="4"/>
  <c r="D4" i="4"/>
  <c r="E4" i="4"/>
  <c r="B5" i="4"/>
  <c r="C5" i="4"/>
  <c r="D5" i="4"/>
  <c r="E5" i="4"/>
  <c r="B6" i="4"/>
  <c r="C6" i="4"/>
  <c r="D6" i="4"/>
  <c r="E6" i="4"/>
  <c r="B7" i="4"/>
  <c r="C7" i="4"/>
  <c r="D7" i="4"/>
  <c r="E7" i="4"/>
  <c r="B8" i="4"/>
  <c r="C8" i="4"/>
  <c r="D8" i="4"/>
  <c r="E8" i="4"/>
  <c r="B9" i="4"/>
  <c r="C9" i="4"/>
  <c r="D9" i="4"/>
  <c r="E9" i="4"/>
  <c r="B10" i="4"/>
  <c r="C10" i="4"/>
  <c r="D10" i="4"/>
  <c r="E10" i="4"/>
  <c r="B11" i="4"/>
  <c r="C11" i="4"/>
  <c r="D11" i="4"/>
  <c r="E11" i="4"/>
  <c r="B12" i="4"/>
  <c r="C12" i="4"/>
  <c r="D12" i="4"/>
  <c r="E12" i="4"/>
  <c r="B13" i="4"/>
  <c r="C13" i="4"/>
  <c r="D13" i="4"/>
  <c r="E13" i="4"/>
  <c r="B14" i="4"/>
  <c r="C14" i="4"/>
  <c r="D14" i="4"/>
  <c r="E14" i="4"/>
  <c r="B15" i="4"/>
  <c r="C15" i="4"/>
  <c r="D15" i="4"/>
  <c r="E15" i="4"/>
  <c r="B16" i="4"/>
  <c r="C16" i="4"/>
  <c r="D16" i="4"/>
  <c r="E16" i="4"/>
  <c r="B17" i="4"/>
  <c r="C17" i="4"/>
  <c r="D17" i="4"/>
  <c r="E17" i="4"/>
  <c r="B18" i="4"/>
  <c r="C18" i="4"/>
  <c r="D18" i="4"/>
  <c r="E18" i="4"/>
  <c r="B19" i="4"/>
  <c r="C19" i="4"/>
  <c r="D19" i="4"/>
  <c r="E19" i="4"/>
  <c r="B20" i="4"/>
  <c r="C20" i="4"/>
  <c r="D20" i="4"/>
  <c r="E20" i="4"/>
  <c r="B21" i="4"/>
  <c r="C21" i="4"/>
  <c r="D21" i="4"/>
  <c r="E21" i="4"/>
  <c r="B22" i="4"/>
  <c r="C22" i="4"/>
  <c r="D22" i="4"/>
  <c r="E22" i="4"/>
  <c r="B23" i="4"/>
  <c r="C23" i="4"/>
  <c r="D23" i="4"/>
  <c r="E23" i="4"/>
  <c r="B24" i="4"/>
  <c r="C24" i="4"/>
  <c r="D24" i="4"/>
  <c r="E24" i="4"/>
  <c r="B25" i="4"/>
  <c r="C25" i="4"/>
  <c r="D25" i="4"/>
  <c r="E25" i="4"/>
  <c r="B26" i="4"/>
  <c r="C26" i="4"/>
  <c r="D26" i="4"/>
  <c r="E26" i="4"/>
  <c r="B27" i="4"/>
  <c r="C27" i="4"/>
  <c r="D27" i="4"/>
  <c r="E27" i="4"/>
  <c r="B28" i="4"/>
  <c r="C28" i="4"/>
  <c r="D28" i="4"/>
  <c r="E28" i="4"/>
  <c r="B29" i="4"/>
  <c r="C29" i="4"/>
  <c r="D29" i="4"/>
  <c r="E29" i="4"/>
  <c r="B30" i="4"/>
  <c r="C30" i="4"/>
  <c r="D30" i="4"/>
  <c r="E30" i="4"/>
  <c r="B31" i="4"/>
  <c r="C31" i="4"/>
  <c r="D31" i="4"/>
  <c r="E31" i="4"/>
  <c r="B32" i="4"/>
  <c r="C32" i="4"/>
  <c r="D32" i="4"/>
  <c r="E32" i="4"/>
  <c r="B33" i="4"/>
  <c r="C33" i="4"/>
  <c r="D33" i="4"/>
  <c r="E33" i="4"/>
  <c r="B34" i="4"/>
  <c r="C34" i="4"/>
  <c r="D34" i="4"/>
  <c r="E34" i="4"/>
  <c r="B35" i="4"/>
  <c r="C35" i="4"/>
  <c r="D35" i="4"/>
  <c r="E35" i="4"/>
  <c r="B36" i="4"/>
  <c r="C36" i="4"/>
  <c r="D36" i="4"/>
  <c r="E36" i="4"/>
  <c r="B37" i="4"/>
  <c r="C37" i="4"/>
  <c r="D37" i="4"/>
  <c r="E37" i="4"/>
  <c r="B38" i="4"/>
  <c r="C38" i="4"/>
  <c r="D38" i="4"/>
  <c r="E38" i="4"/>
  <c r="B39" i="4"/>
  <c r="C39" i="4"/>
  <c r="D39" i="4"/>
  <c r="E39" i="4"/>
  <c r="B40" i="4"/>
  <c r="C40" i="4"/>
  <c r="D40" i="4"/>
  <c r="E40" i="4"/>
  <c r="B41" i="4"/>
  <c r="C41" i="4"/>
  <c r="D41" i="4"/>
  <c r="E41" i="4"/>
  <c r="B42" i="4"/>
  <c r="C42" i="4"/>
  <c r="D42" i="4"/>
  <c r="E42" i="4"/>
  <c r="B43" i="4"/>
  <c r="C43" i="4"/>
  <c r="D43" i="4"/>
  <c r="E43" i="4"/>
  <c r="B44" i="4"/>
  <c r="C44" i="4"/>
  <c r="D44" i="4"/>
  <c r="E44" i="4"/>
  <c r="B45" i="4"/>
  <c r="C45" i="4"/>
  <c r="D45" i="4"/>
  <c r="E45" i="4"/>
  <c r="B46" i="4"/>
  <c r="C46" i="4"/>
  <c r="D46" i="4"/>
  <c r="E46" i="4"/>
  <c r="B47" i="4"/>
  <c r="C47" i="4"/>
  <c r="D47" i="4"/>
  <c r="E47" i="4"/>
  <c r="B48" i="4"/>
  <c r="C48" i="4"/>
  <c r="D48" i="4"/>
  <c r="E48" i="4"/>
  <c r="B49" i="4"/>
  <c r="C49" i="4"/>
  <c r="D49" i="4"/>
  <c r="E49" i="4"/>
  <c r="B50" i="4"/>
  <c r="C50" i="4"/>
  <c r="D50" i="4"/>
  <c r="E50" i="4"/>
  <c r="B51" i="4"/>
  <c r="C51" i="4"/>
  <c r="D51" i="4"/>
  <c r="E51" i="4"/>
  <c r="B54" i="4"/>
  <c r="C54" i="4"/>
  <c r="D54" i="4"/>
  <c r="E54" i="4"/>
  <c r="B55" i="4"/>
  <c r="C55" i="4"/>
  <c r="D55" i="4"/>
  <c r="E55" i="4"/>
  <c r="B56" i="4"/>
  <c r="C56" i="4"/>
  <c r="D56" i="4"/>
  <c r="E56" i="4"/>
  <c r="B57" i="4"/>
  <c r="C57" i="4"/>
  <c r="D57" i="4"/>
  <c r="E57" i="4"/>
  <c r="B58" i="4"/>
  <c r="C58" i="4"/>
  <c r="D58" i="4"/>
  <c r="E58" i="4"/>
  <c r="B59" i="4"/>
  <c r="C59" i="4"/>
  <c r="D59" i="4"/>
  <c r="E59" i="4"/>
  <c r="B60" i="4"/>
  <c r="C60" i="4"/>
  <c r="D60" i="4"/>
  <c r="E60" i="4"/>
  <c r="B61" i="4"/>
  <c r="C61" i="4"/>
  <c r="D61" i="4"/>
  <c r="E61" i="4"/>
  <c r="B62" i="4"/>
  <c r="C62" i="4"/>
  <c r="D62" i="4"/>
  <c r="E62" i="4"/>
  <c r="B63" i="4"/>
  <c r="C63" i="4"/>
  <c r="D63" i="4"/>
  <c r="E63" i="4"/>
  <c r="B64" i="4"/>
  <c r="C64" i="4"/>
  <c r="D64" i="4"/>
  <c r="E64" i="4"/>
  <c r="B65" i="4"/>
  <c r="C65" i="4"/>
  <c r="D65" i="4"/>
  <c r="E65" i="4"/>
  <c r="B66" i="4"/>
  <c r="C66" i="4"/>
  <c r="D66" i="4"/>
  <c r="E66" i="4"/>
  <c r="B67" i="4"/>
  <c r="C67" i="4"/>
  <c r="D67" i="4"/>
  <c r="E67" i="4"/>
  <c r="B68" i="4"/>
  <c r="C68" i="4"/>
  <c r="D68" i="4"/>
  <c r="E68" i="4"/>
  <c r="B69" i="4"/>
  <c r="C69" i="4"/>
  <c r="D69" i="4"/>
  <c r="E69" i="4"/>
  <c r="B70" i="4"/>
  <c r="C70" i="4"/>
  <c r="D70" i="4"/>
  <c r="E70" i="4"/>
  <c r="B71" i="4"/>
  <c r="C71" i="4"/>
  <c r="D71" i="4"/>
  <c r="E71" i="4"/>
  <c r="B72" i="4"/>
  <c r="C72" i="4"/>
  <c r="D72" i="4"/>
  <c r="E72" i="4"/>
  <c r="B73" i="4"/>
  <c r="C73" i="4"/>
  <c r="D73" i="4"/>
  <c r="E73" i="4"/>
  <c r="B74" i="4"/>
  <c r="C74" i="4"/>
  <c r="D74" i="4"/>
  <c r="E74" i="4"/>
  <c r="B75" i="4"/>
  <c r="C75" i="4"/>
  <c r="D75" i="4"/>
  <c r="E75" i="4"/>
  <c r="B76" i="4"/>
  <c r="C76" i="4"/>
  <c r="D76" i="4"/>
  <c r="E76" i="4"/>
  <c r="B77" i="4"/>
  <c r="C77" i="4"/>
  <c r="D77" i="4"/>
  <c r="E77" i="4"/>
  <c r="B78" i="4"/>
  <c r="C78" i="4"/>
  <c r="D78" i="4"/>
  <c r="E78" i="4"/>
  <c r="B79" i="4"/>
  <c r="C79" i="4"/>
  <c r="D79" i="4"/>
  <c r="E79" i="4"/>
  <c r="B80" i="4"/>
  <c r="C80" i="4"/>
  <c r="D80" i="4"/>
  <c r="E80" i="4"/>
  <c r="B81" i="4"/>
  <c r="C81" i="4"/>
  <c r="D81" i="4"/>
  <c r="E81" i="4"/>
  <c r="B82" i="4"/>
  <c r="C82" i="4"/>
  <c r="D82" i="4"/>
  <c r="E82" i="4"/>
  <c r="B83" i="4"/>
  <c r="C83" i="4"/>
  <c r="D83" i="4"/>
  <c r="E83" i="4"/>
  <c r="B84" i="4"/>
  <c r="C84" i="4"/>
  <c r="D84" i="4"/>
  <c r="E84" i="4"/>
  <c r="B85" i="4"/>
  <c r="C85" i="4"/>
  <c r="D85" i="4"/>
  <c r="E85" i="4"/>
  <c r="B86" i="4"/>
  <c r="C86" i="4"/>
  <c r="D86" i="4"/>
  <c r="E86" i="4"/>
  <c r="B87" i="4"/>
  <c r="C87" i="4"/>
  <c r="D87" i="4"/>
  <c r="E87" i="4"/>
  <c r="B88" i="4"/>
  <c r="C88" i="4"/>
  <c r="D88" i="4"/>
  <c r="E88" i="4"/>
  <c r="B89" i="4"/>
  <c r="C89" i="4"/>
  <c r="D89" i="4"/>
  <c r="E89" i="4"/>
  <c r="B90" i="4"/>
  <c r="C90" i="4"/>
  <c r="D90" i="4"/>
  <c r="E90" i="4"/>
  <c r="B91" i="4"/>
  <c r="C91" i="4"/>
  <c r="D91" i="4"/>
  <c r="E91" i="4"/>
  <c r="B92" i="4"/>
  <c r="C92" i="4"/>
  <c r="D92" i="4"/>
  <c r="E92" i="4"/>
  <c r="B93" i="4"/>
  <c r="C93" i="4"/>
  <c r="D93" i="4"/>
  <c r="E93" i="4"/>
  <c r="B94" i="4"/>
  <c r="C94" i="4"/>
  <c r="D94" i="4"/>
  <c r="E94" i="4"/>
  <c r="B95" i="4"/>
  <c r="C95" i="4"/>
  <c r="D95" i="4"/>
  <c r="E95" i="4"/>
  <c r="B96" i="4"/>
  <c r="C96" i="4"/>
  <c r="D96" i="4"/>
  <c r="E96" i="4"/>
  <c r="B97" i="4"/>
  <c r="C97" i="4"/>
  <c r="D97" i="4"/>
  <c r="E97" i="4"/>
  <c r="B98" i="4"/>
  <c r="C98" i="4"/>
  <c r="D98" i="4"/>
  <c r="E98" i="4"/>
  <c r="B99" i="4"/>
  <c r="C99" i="4"/>
  <c r="D99" i="4"/>
  <c r="E99" i="4"/>
  <c r="B100" i="4"/>
  <c r="C100" i="4"/>
  <c r="D100" i="4"/>
  <c r="E100" i="4"/>
  <c r="B101" i="4"/>
  <c r="C101" i="4"/>
  <c r="D101" i="4"/>
  <c r="E101" i="4"/>
  <c r="B102" i="4"/>
  <c r="C102" i="4"/>
  <c r="D102" i="4"/>
  <c r="E102" i="4"/>
  <c r="B105" i="4"/>
  <c r="C105" i="4"/>
  <c r="D105" i="4"/>
  <c r="E105" i="4"/>
  <c r="B106" i="4"/>
  <c r="C106" i="4"/>
  <c r="D106" i="4"/>
  <c r="E106" i="4"/>
  <c r="B107" i="4"/>
  <c r="C107" i="4"/>
  <c r="D107" i="4"/>
  <c r="E107" i="4"/>
  <c r="B108" i="4"/>
  <c r="C108" i="4"/>
  <c r="D108" i="4"/>
  <c r="E108" i="4"/>
  <c r="B109" i="4"/>
  <c r="C109" i="4"/>
  <c r="D109" i="4"/>
  <c r="E109" i="4"/>
  <c r="B110" i="4"/>
  <c r="C110" i="4"/>
  <c r="D110" i="4"/>
  <c r="E110" i="4"/>
  <c r="B111" i="4"/>
  <c r="C111" i="4"/>
  <c r="D111" i="4"/>
  <c r="E111" i="4"/>
  <c r="B112" i="4"/>
  <c r="C112" i="4"/>
  <c r="D112" i="4"/>
  <c r="E112" i="4"/>
  <c r="B113" i="4"/>
  <c r="C113" i="4"/>
  <c r="D113" i="4"/>
  <c r="E113" i="4"/>
  <c r="B114" i="4"/>
  <c r="C114" i="4"/>
  <c r="D114" i="4"/>
  <c r="E114" i="4"/>
  <c r="B115" i="4"/>
  <c r="C115" i="4"/>
  <c r="D115" i="4"/>
  <c r="E115" i="4"/>
  <c r="H115" i="4"/>
  <c r="B116" i="4"/>
  <c r="C116" i="4"/>
  <c r="D116" i="4"/>
  <c r="E116" i="4"/>
  <c r="B117" i="4"/>
  <c r="C117" i="4"/>
  <c r="D117" i="4"/>
  <c r="E117" i="4"/>
  <c r="B118" i="4"/>
  <c r="C118" i="4"/>
  <c r="D118" i="4"/>
  <c r="E118" i="4"/>
  <c r="B119" i="4"/>
  <c r="C119" i="4"/>
  <c r="D119" i="4"/>
  <c r="E119" i="4"/>
  <c r="H119" i="4"/>
  <c r="B120" i="4"/>
  <c r="C120" i="4"/>
  <c r="D120" i="4"/>
  <c r="E120" i="4"/>
  <c r="B121" i="4"/>
  <c r="C121" i="4"/>
  <c r="D121" i="4"/>
  <c r="E121" i="4"/>
  <c r="H121" i="4"/>
  <c r="B122" i="4"/>
  <c r="C122" i="4"/>
  <c r="D122" i="4"/>
  <c r="E122" i="4"/>
  <c r="H122" i="4"/>
  <c r="B123" i="4"/>
  <c r="C123" i="4"/>
  <c r="D123" i="4"/>
  <c r="E123" i="4"/>
  <c r="H123" i="4"/>
  <c r="B124" i="4"/>
  <c r="C124" i="4"/>
  <c r="D124" i="4"/>
  <c r="E124" i="4"/>
  <c r="B125" i="4"/>
  <c r="C125" i="4"/>
  <c r="D125" i="4"/>
  <c r="E125" i="4"/>
  <c r="B126" i="4"/>
  <c r="C126" i="4"/>
  <c r="D126" i="4"/>
  <c r="E126" i="4"/>
  <c r="B127" i="4"/>
  <c r="C127" i="4"/>
  <c r="D127" i="4"/>
  <c r="E127" i="4"/>
  <c r="B128" i="4"/>
  <c r="C128" i="4"/>
  <c r="D128" i="4"/>
  <c r="E128" i="4"/>
  <c r="H128" i="4"/>
  <c r="B129" i="4"/>
  <c r="C129" i="4"/>
  <c r="D129" i="4"/>
  <c r="E129" i="4"/>
  <c r="B130" i="4"/>
  <c r="C130" i="4"/>
  <c r="D130" i="4"/>
  <c r="E130" i="4"/>
  <c r="B131" i="4"/>
  <c r="C131" i="4"/>
  <c r="D131" i="4"/>
  <c r="E131" i="4"/>
  <c r="H131" i="4"/>
  <c r="B132" i="4"/>
  <c r="C132" i="4"/>
  <c r="D132" i="4"/>
  <c r="E132" i="4"/>
  <c r="B133" i="4"/>
  <c r="C133" i="4"/>
  <c r="D133" i="4"/>
  <c r="E133" i="4"/>
  <c r="B134" i="4"/>
  <c r="C134" i="4"/>
  <c r="D134" i="4"/>
  <c r="E134" i="4"/>
  <c r="B135" i="4"/>
  <c r="C135" i="4"/>
  <c r="D135" i="4"/>
  <c r="E135" i="4"/>
  <c r="H135" i="4"/>
  <c r="B136" i="4"/>
  <c r="C136" i="4"/>
  <c r="D136" i="4"/>
  <c r="E136" i="4"/>
  <c r="B137" i="4"/>
  <c r="C137" i="4"/>
  <c r="D137" i="4"/>
  <c r="E137" i="4"/>
  <c r="H137" i="4"/>
  <c r="B138" i="4"/>
  <c r="C138" i="4"/>
  <c r="D138" i="4"/>
  <c r="E138" i="4"/>
  <c r="H138" i="4"/>
  <c r="B139" i="4"/>
  <c r="C139" i="4"/>
  <c r="D139" i="4"/>
  <c r="E139" i="4"/>
  <c r="H139" i="4"/>
  <c r="B140" i="4"/>
  <c r="C140" i="4"/>
  <c r="D140" i="4"/>
  <c r="E140" i="4"/>
  <c r="B141" i="4"/>
  <c r="C141" i="4"/>
  <c r="D141" i="4"/>
  <c r="E141" i="4"/>
  <c r="B142" i="4"/>
  <c r="C142" i="4"/>
  <c r="D142" i="4"/>
  <c r="E142" i="4"/>
  <c r="B143" i="4"/>
  <c r="C143" i="4"/>
  <c r="D143" i="4"/>
  <c r="E143" i="4"/>
  <c r="B144" i="4"/>
  <c r="C144" i="4"/>
  <c r="D144" i="4"/>
  <c r="E144" i="4"/>
  <c r="B145" i="4"/>
  <c r="C145" i="4"/>
  <c r="D145" i="4"/>
  <c r="E145" i="4"/>
  <c r="B146" i="4"/>
  <c r="C146" i="4"/>
  <c r="D146" i="4"/>
  <c r="E146" i="4"/>
  <c r="B147" i="4"/>
  <c r="C147" i="4"/>
  <c r="D147" i="4"/>
  <c r="E147" i="4"/>
  <c r="B148" i="4"/>
  <c r="C148" i="4"/>
  <c r="D148" i="4"/>
  <c r="E148" i="4"/>
  <c r="B149" i="4"/>
  <c r="C149" i="4"/>
  <c r="D149" i="4"/>
  <c r="E149" i="4"/>
  <c r="B150" i="4"/>
  <c r="C150" i="4"/>
  <c r="D150" i="4"/>
  <c r="E150" i="4"/>
  <c r="B151" i="4"/>
  <c r="C151" i="4"/>
  <c r="D151" i="4"/>
  <c r="E151" i="4"/>
  <c r="H151" i="4"/>
  <c r="B152" i="4"/>
  <c r="C152" i="4"/>
  <c r="D152" i="4"/>
  <c r="E152" i="4"/>
  <c r="B153" i="4"/>
  <c r="C153" i="4"/>
  <c r="D153" i="4"/>
  <c r="E153" i="4"/>
  <c r="H153" i="4"/>
  <c r="B154" i="4"/>
  <c r="C154" i="4"/>
  <c r="D154" i="4"/>
  <c r="E154" i="4"/>
  <c r="H154" i="4"/>
  <c r="B157" i="4"/>
  <c r="C157" i="4"/>
  <c r="D157" i="4"/>
  <c r="E157" i="4"/>
  <c r="H157" i="4"/>
  <c r="B158" i="4"/>
  <c r="C158" i="4"/>
  <c r="D158" i="4"/>
  <c r="E158" i="4"/>
  <c r="B159" i="4"/>
  <c r="C159" i="4"/>
  <c r="D159" i="4"/>
  <c r="E159" i="4"/>
  <c r="B160" i="4"/>
  <c r="C160" i="4"/>
  <c r="D160" i="4"/>
  <c r="E160" i="4"/>
  <c r="B161" i="4"/>
  <c r="C161" i="4"/>
  <c r="D161" i="4"/>
  <c r="E161" i="4"/>
  <c r="B162" i="4"/>
  <c r="C162" i="4"/>
  <c r="D162" i="4"/>
  <c r="E162" i="4"/>
  <c r="B163" i="4"/>
  <c r="C163" i="4"/>
  <c r="D163" i="4"/>
  <c r="E163" i="4"/>
  <c r="B164" i="4"/>
  <c r="C164" i="4"/>
  <c r="D164" i="4"/>
  <c r="E164" i="4"/>
  <c r="B165" i="4"/>
  <c r="C165" i="4"/>
  <c r="D165" i="4"/>
  <c r="E165" i="4"/>
  <c r="B166" i="4"/>
  <c r="C166" i="4"/>
  <c r="D166" i="4"/>
  <c r="E166" i="4"/>
  <c r="B167" i="4"/>
  <c r="C167" i="4"/>
  <c r="D167" i="4"/>
  <c r="E167" i="4"/>
  <c r="B168" i="4"/>
  <c r="C168" i="4"/>
  <c r="D168" i="4"/>
  <c r="E168" i="4"/>
  <c r="B169" i="4"/>
  <c r="C169" i="4"/>
  <c r="D169" i="4"/>
  <c r="E169" i="4"/>
  <c r="H169" i="4"/>
  <c r="B170" i="4"/>
  <c r="C170" i="4"/>
  <c r="D170" i="4"/>
  <c r="E170" i="4"/>
  <c r="B171" i="4"/>
  <c r="C171" i="4"/>
  <c r="D171" i="4"/>
  <c r="E171" i="4"/>
  <c r="B172" i="4"/>
  <c r="C172" i="4"/>
  <c r="D172" i="4"/>
  <c r="E172" i="4"/>
  <c r="H172" i="4"/>
  <c r="B173" i="4"/>
  <c r="C173" i="4"/>
  <c r="D173" i="4"/>
  <c r="E173" i="4"/>
  <c r="H173" i="4"/>
  <c r="B174" i="4"/>
  <c r="C174" i="4"/>
  <c r="D174" i="4"/>
  <c r="E174" i="4"/>
  <c r="B175" i="4"/>
  <c r="C175" i="4"/>
  <c r="D175" i="4"/>
  <c r="E175" i="4"/>
  <c r="B176" i="4"/>
  <c r="C176" i="4"/>
  <c r="D176" i="4"/>
  <c r="E176" i="4"/>
  <c r="B177" i="4"/>
  <c r="C177" i="4"/>
  <c r="D177" i="4"/>
  <c r="E177" i="4"/>
  <c r="B178" i="4"/>
  <c r="C178" i="4"/>
  <c r="D178" i="4"/>
  <c r="E178" i="4"/>
  <c r="B179" i="4"/>
  <c r="C179" i="4"/>
  <c r="D179" i="4"/>
  <c r="E179" i="4"/>
  <c r="B180" i="4"/>
  <c r="C180" i="4"/>
  <c r="D180" i="4"/>
  <c r="E180" i="4"/>
  <c r="B181" i="4"/>
  <c r="C181" i="4"/>
  <c r="D181" i="4"/>
  <c r="E181" i="4"/>
  <c r="H181" i="4"/>
  <c r="B182" i="4"/>
  <c r="C182" i="4"/>
  <c r="D182" i="4"/>
  <c r="E182" i="4"/>
  <c r="H182" i="4"/>
  <c r="B183" i="4"/>
  <c r="C183" i="4"/>
  <c r="D183" i="4"/>
  <c r="E183" i="4"/>
  <c r="B184" i="4"/>
  <c r="C184" i="4"/>
  <c r="D184" i="4"/>
  <c r="E184" i="4"/>
  <c r="B185" i="4"/>
  <c r="C185" i="4"/>
  <c r="D185" i="4"/>
  <c r="E185" i="4"/>
  <c r="H185" i="4"/>
  <c r="B186" i="4"/>
  <c r="C186" i="4"/>
  <c r="D186" i="4"/>
  <c r="E186" i="4"/>
  <c r="B187" i="4"/>
  <c r="C187" i="4"/>
  <c r="D187" i="4"/>
  <c r="E187" i="4"/>
  <c r="B188" i="4"/>
  <c r="C188" i="4"/>
  <c r="D188" i="4"/>
  <c r="E188" i="4"/>
  <c r="H188" i="4"/>
  <c r="B189" i="4"/>
  <c r="C189" i="4"/>
  <c r="D189" i="4"/>
  <c r="E189" i="4"/>
  <c r="H189" i="4"/>
  <c r="B190" i="4"/>
  <c r="C190" i="4"/>
  <c r="D190" i="4"/>
  <c r="E190" i="4"/>
  <c r="B191" i="4"/>
  <c r="C191" i="4"/>
  <c r="D191" i="4"/>
  <c r="E191" i="4"/>
  <c r="B192" i="4"/>
  <c r="C192" i="4"/>
  <c r="D192" i="4"/>
  <c r="E192" i="4"/>
  <c r="B193" i="4"/>
  <c r="C193" i="4"/>
  <c r="D193" i="4"/>
  <c r="E193" i="4"/>
  <c r="B194" i="4"/>
  <c r="C194" i="4"/>
  <c r="D194" i="4"/>
  <c r="E194" i="4"/>
  <c r="B195" i="4"/>
  <c r="C195" i="4"/>
  <c r="D195" i="4"/>
  <c r="E195" i="4"/>
  <c r="B196" i="4"/>
  <c r="C196" i="4"/>
  <c r="D196" i="4"/>
  <c r="E196" i="4"/>
  <c r="B197" i="4"/>
  <c r="C197" i="4"/>
  <c r="D197" i="4"/>
  <c r="E197" i="4"/>
  <c r="H197" i="4"/>
  <c r="B198" i="4"/>
  <c r="C198" i="4"/>
  <c r="D198" i="4"/>
  <c r="E198" i="4"/>
  <c r="B199" i="4"/>
  <c r="C199" i="4"/>
  <c r="D199" i="4"/>
  <c r="E199" i="4"/>
  <c r="B200" i="4"/>
  <c r="C200" i="4"/>
  <c r="D200" i="4"/>
  <c r="E200" i="4"/>
  <c r="B201" i="4"/>
  <c r="C201" i="4"/>
  <c r="D201" i="4"/>
  <c r="E201" i="4"/>
  <c r="H201" i="4"/>
  <c r="B202" i="4"/>
  <c r="C202" i="4"/>
  <c r="D202" i="4"/>
  <c r="E202" i="4"/>
  <c r="B203" i="4"/>
  <c r="C203" i="4"/>
  <c r="D203" i="4"/>
  <c r="E203" i="4"/>
  <c r="H203" i="4"/>
  <c r="B204" i="4"/>
  <c r="C204" i="4"/>
  <c r="D204" i="4"/>
  <c r="E204" i="4"/>
  <c r="H204" i="4"/>
  <c r="B205" i="4"/>
  <c r="C205" i="4"/>
  <c r="D205" i="4"/>
  <c r="E205" i="4"/>
  <c r="H205" i="4"/>
  <c r="B206" i="4"/>
  <c r="C206" i="4"/>
  <c r="D206" i="4"/>
  <c r="E206" i="4"/>
  <c r="B209" i="4"/>
  <c r="C209" i="4"/>
  <c r="D209" i="4"/>
  <c r="E209" i="4"/>
  <c r="B210" i="4"/>
  <c r="C210" i="4"/>
  <c r="D210" i="4"/>
  <c r="E210" i="4"/>
  <c r="B211" i="4"/>
  <c r="C211" i="4"/>
  <c r="D211" i="4"/>
  <c r="E211" i="4"/>
  <c r="B212" i="4"/>
  <c r="C212" i="4"/>
  <c r="D212" i="4"/>
  <c r="E212" i="4"/>
  <c r="B213" i="4"/>
  <c r="C213" i="4"/>
  <c r="D213" i="4"/>
  <c r="E213" i="4"/>
  <c r="B214" i="4"/>
  <c r="C214" i="4"/>
  <c r="D214" i="4"/>
  <c r="E214" i="4"/>
  <c r="B215" i="4"/>
  <c r="C215" i="4"/>
  <c r="D215" i="4"/>
  <c r="E215" i="4"/>
  <c r="H215" i="4"/>
  <c r="B216" i="4"/>
  <c r="C216" i="4"/>
  <c r="D216" i="4"/>
  <c r="E216" i="4"/>
  <c r="H216" i="4"/>
  <c r="B217" i="4"/>
  <c r="C217" i="4"/>
  <c r="D217" i="4"/>
  <c r="E217" i="4"/>
  <c r="B218" i="4"/>
  <c r="C218" i="4"/>
  <c r="D218" i="4"/>
  <c r="E218" i="4"/>
  <c r="B219" i="4"/>
  <c r="C219" i="4"/>
  <c r="D219" i="4"/>
  <c r="E219" i="4"/>
  <c r="H219" i="4"/>
  <c r="B220" i="4"/>
  <c r="C220" i="4"/>
  <c r="D220" i="4"/>
  <c r="E220" i="4"/>
  <c r="B221" i="4"/>
  <c r="C221" i="4"/>
  <c r="D221" i="4"/>
  <c r="E221" i="4"/>
  <c r="H221" i="4"/>
  <c r="B222" i="4"/>
  <c r="C222" i="4"/>
  <c r="D222" i="4"/>
  <c r="E222" i="4"/>
  <c r="H222" i="4"/>
  <c r="B223" i="4"/>
  <c r="C223" i="4"/>
  <c r="D223" i="4"/>
  <c r="E223" i="4"/>
  <c r="H223" i="4"/>
  <c r="B224" i="4"/>
  <c r="C224" i="4"/>
  <c r="D224" i="4"/>
  <c r="E224" i="4"/>
  <c r="B225" i="4"/>
  <c r="C225" i="4"/>
  <c r="D225" i="4"/>
  <c r="E225" i="4"/>
  <c r="B226" i="4"/>
  <c r="C226" i="4"/>
  <c r="D226" i="4"/>
  <c r="E226" i="4"/>
  <c r="B227" i="4"/>
  <c r="C227" i="4"/>
  <c r="D227" i="4"/>
  <c r="E227" i="4"/>
  <c r="B228" i="4"/>
  <c r="C228" i="4"/>
  <c r="D228" i="4"/>
  <c r="E228" i="4"/>
  <c r="B229" i="4"/>
  <c r="C229" i="4"/>
  <c r="D229" i="4"/>
  <c r="E229" i="4"/>
  <c r="B230" i="4"/>
  <c r="C230" i="4"/>
  <c r="D230" i="4"/>
  <c r="E230" i="4"/>
  <c r="B231" i="4"/>
  <c r="C231" i="4"/>
  <c r="D231" i="4"/>
  <c r="E231" i="4"/>
  <c r="H231" i="4"/>
  <c r="B232" i="4"/>
  <c r="C232" i="4"/>
  <c r="D232" i="4"/>
  <c r="E232" i="4"/>
  <c r="B233" i="4"/>
  <c r="C233" i="4"/>
  <c r="D233" i="4"/>
  <c r="E233" i="4"/>
  <c r="B234" i="4"/>
  <c r="C234" i="4"/>
  <c r="D234" i="4"/>
  <c r="E234" i="4"/>
  <c r="B235" i="4"/>
  <c r="C235" i="4"/>
  <c r="D235" i="4"/>
  <c r="E235" i="4"/>
  <c r="H235" i="4"/>
  <c r="B236" i="4"/>
  <c r="C236" i="4"/>
  <c r="D236" i="4"/>
  <c r="E236" i="4"/>
  <c r="B237" i="4"/>
  <c r="C237" i="4"/>
  <c r="D237" i="4"/>
  <c r="E237" i="4"/>
  <c r="H237" i="4"/>
  <c r="B238" i="4"/>
  <c r="C238" i="4"/>
  <c r="D238" i="4"/>
  <c r="E238" i="4"/>
  <c r="H238" i="4"/>
  <c r="B239" i="4"/>
  <c r="C239" i="4"/>
  <c r="D239" i="4"/>
  <c r="E239" i="4"/>
  <c r="H239" i="4"/>
  <c r="B240" i="4"/>
  <c r="C240" i="4"/>
  <c r="D240" i="4"/>
  <c r="E240" i="4"/>
  <c r="B241" i="4"/>
  <c r="C241" i="4"/>
  <c r="D241" i="4"/>
  <c r="E241" i="4"/>
  <c r="B242" i="4"/>
  <c r="C242" i="4"/>
  <c r="D242" i="4"/>
  <c r="E242" i="4"/>
  <c r="B243" i="4"/>
  <c r="C243" i="4"/>
  <c r="D243" i="4"/>
  <c r="E243" i="4"/>
  <c r="B244" i="4"/>
  <c r="C244" i="4"/>
  <c r="D244" i="4"/>
  <c r="E244" i="4"/>
  <c r="B245" i="4"/>
  <c r="C245" i="4"/>
  <c r="D245" i="4"/>
  <c r="E245" i="4"/>
  <c r="B246" i="4"/>
  <c r="C246" i="4"/>
  <c r="D246" i="4"/>
  <c r="E246" i="4"/>
  <c r="B247" i="4"/>
  <c r="C247" i="4"/>
  <c r="D247" i="4"/>
  <c r="E247" i="4"/>
  <c r="H247" i="4"/>
  <c r="B248" i="4"/>
  <c r="C248" i="4"/>
  <c r="D248" i="4"/>
  <c r="E248" i="4"/>
  <c r="H248" i="4"/>
  <c r="B249" i="4"/>
  <c r="C249" i="4"/>
  <c r="D249" i="4"/>
  <c r="E249" i="4"/>
  <c r="B250" i="4"/>
  <c r="C250" i="4"/>
  <c r="D250" i="4"/>
  <c r="E250" i="4"/>
  <c r="B251" i="4"/>
  <c r="C251" i="4"/>
  <c r="D251" i="4"/>
  <c r="E251" i="4"/>
  <c r="H251" i="4"/>
  <c r="B252" i="4"/>
  <c r="C252" i="4"/>
  <c r="D252" i="4"/>
  <c r="E252" i="4"/>
  <c r="B253" i="4"/>
  <c r="C253" i="4"/>
  <c r="D253" i="4"/>
  <c r="E253" i="4"/>
  <c r="B254" i="4"/>
  <c r="C254" i="4"/>
  <c r="D254" i="4"/>
  <c r="E254" i="4"/>
  <c r="H254" i="4"/>
  <c r="B255" i="4"/>
  <c r="C255" i="4"/>
  <c r="D255" i="4"/>
  <c r="E255" i="4"/>
  <c r="H255" i="4"/>
  <c r="B256" i="4"/>
  <c r="C256" i="4"/>
  <c r="D256" i="4"/>
  <c r="E256" i="4"/>
  <c r="B257" i="4"/>
  <c r="C257" i="4"/>
  <c r="D257" i="4"/>
  <c r="E257" i="4"/>
  <c r="B258" i="4"/>
  <c r="C258" i="4"/>
  <c r="D258" i="4"/>
  <c r="E258" i="4"/>
  <c r="B261" i="4"/>
  <c r="C261" i="4"/>
  <c r="D261" i="4"/>
  <c r="E261" i="4"/>
  <c r="B262" i="4"/>
  <c r="C262" i="4"/>
  <c r="D262" i="4"/>
  <c r="E262" i="4"/>
  <c r="B263" i="4"/>
  <c r="C263" i="4"/>
  <c r="D263" i="4"/>
  <c r="E263" i="4"/>
  <c r="B264" i="4"/>
  <c r="C264" i="4"/>
  <c r="D264" i="4"/>
  <c r="E264" i="4"/>
  <c r="B265" i="4"/>
  <c r="C265" i="4"/>
  <c r="D265" i="4"/>
  <c r="E265" i="4"/>
  <c r="H265" i="4"/>
  <c r="B266" i="4"/>
  <c r="C266" i="4"/>
  <c r="D266" i="4"/>
  <c r="E266" i="4"/>
  <c r="B267" i="4"/>
  <c r="C267" i="4"/>
  <c r="D267" i="4"/>
  <c r="E267" i="4"/>
  <c r="B268" i="4"/>
  <c r="C268" i="4"/>
  <c r="D268" i="4"/>
  <c r="E268" i="4"/>
  <c r="B269" i="4"/>
  <c r="C269" i="4"/>
  <c r="D269" i="4"/>
  <c r="E269" i="4"/>
  <c r="H269" i="4"/>
  <c r="B270" i="4"/>
  <c r="C270" i="4"/>
  <c r="D270" i="4"/>
  <c r="E270" i="4"/>
  <c r="B271" i="4"/>
  <c r="C271" i="4"/>
  <c r="D271" i="4"/>
  <c r="E271" i="4"/>
  <c r="B272" i="4"/>
  <c r="C272" i="4"/>
  <c r="D272" i="4"/>
  <c r="E272" i="4"/>
  <c r="H272" i="4"/>
  <c r="B273" i="4"/>
  <c r="C273" i="4"/>
  <c r="D273" i="4"/>
  <c r="E273" i="4"/>
  <c r="H273" i="4"/>
  <c r="B274" i="4"/>
  <c r="C274" i="4"/>
  <c r="D274" i="4"/>
  <c r="E274" i="4"/>
  <c r="B275" i="4"/>
  <c r="C275" i="4"/>
  <c r="D275" i="4"/>
  <c r="E275" i="4"/>
  <c r="E2" i="4"/>
  <c r="I24" i="3" a="1"/>
  <c r="I16" i="3" a="1"/>
  <c r="I10" i="3" a="1"/>
  <c r="Z104" i="4" a="1"/>
  <c r="Z208" i="4" a="1"/>
  <c r="Z53" i="4" a="1"/>
  <c r="Z1" i="4" a="1"/>
  <c r="Z313" i="4" a="1"/>
  <c r="Z156" i="4" a="1"/>
  <c r="Z260" i="4" a="1"/>
  <c r="M1" i="7" a="1"/>
  <c r="M48" i="7" a="1"/>
  <c r="Z318" i="4" a="1"/>
  <c r="Z206" i="4" a="1"/>
  <c r="Z258" i="4" a="1"/>
  <c r="Z154" i="4" a="1"/>
  <c r="I34" i="3" a="1"/>
  <c r="I1" i="3" a="1"/>
  <c r="AB309" i="4" a="1"/>
  <c r="AD204" i="4" a="1"/>
  <c r="AD50" i="4" a="1"/>
  <c r="AD256" i="4" a="1"/>
  <c r="AB204" i="4" a="1"/>
  <c r="AB152" i="4" a="1"/>
  <c r="AD309" i="4" a="1"/>
  <c r="AB256" i="4" a="1"/>
  <c r="AB100" i="4" a="1"/>
  <c r="AD152" i="4" a="1"/>
  <c r="AD100" i="4" a="1"/>
  <c r="AB49" i="4" a="1"/>
  <c r="AB316" i="4" a="1"/>
  <c r="AD316" i="4" a="1"/>
  <c r="I24" i="3" l="1"/>
  <c r="I16" i="3"/>
  <c r="I10" i="3"/>
  <c r="I34" i="3"/>
  <c r="AB152" i="4"/>
  <c r="AB309" i="4"/>
  <c r="AB316" i="4"/>
  <c r="AB49" i="4"/>
  <c r="AB100" i="4"/>
  <c r="AB256" i="4"/>
  <c r="AB204" i="4"/>
  <c r="AD316" i="4"/>
  <c r="AD309" i="4"/>
  <c r="AD256" i="4"/>
  <c r="AD204" i="4"/>
  <c r="AD152" i="4"/>
  <c r="AD100" i="4"/>
  <c r="AD50" i="4"/>
  <c r="I1" i="3"/>
  <c r="M1" i="7"/>
  <c r="M48" i="7"/>
  <c r="G202" i="4"/>
  <c r="G198" i="4"/>
  <c r="G191" i="4"/>
  <c r="G187" i="4"/>
  <c r="G130" i="4"/>
  <c r="G186" i="4"/>
  <c r="G181" i="4"/>
  <c r="G180" i="4"/>
  <c r="G175" i="4"/>
  <c r="G166" i="4"/>
  <c r="G150" i="4"/>
  <c r="G148" i="4"/>
  <c r="G140" i="4"/>
  <c r="G139" i="4"/>
  <c r="G147" i="4"/>
  <c r="G136" i="4"/>
  <c r="G63" i="4"/>
  <c r="G135" i="4"/>
  <c r="G59" i="4"/>
  <c r="G131" i="4"/>
  <c r="G125" i="4"/>
  <c r="G119" i="4"/>
  <c r="G118" i="4"/>
  <c r="G102" i="4"/>
  <c r="G94" i="4"/>
  <c r="G87" i="4"/>
  <c r="G83" i="4"/>
  <c r="G76" i="4"/>
  <c r="G74" i="4"/>
  <c r="G75" i="4"/>
  <c r="G68" i="4"/>
  <c r="G58" i="4"/>
  <c r="G33" i="4"/>
  <c r="G56" i="4"/>
  <c r="G54" i="4"/>
  <c r="G46" i="4"/>
  <c r="G55" i="4"/>
  <c r="G48" i="4"/>
  <c r="G50" i="4"/>
  <c r="G49" i="4"/>
  <c r="G44" i="4"/>
  <c r="G45" i="4"/>
  <c r="G43" i="4"/>
  <c r="G42" i="4"/>
  <c r="G38" i="4"/>
  <c r="G39" i="4"/>
  <c r="G36" i="4"/>
  <c r="G35" i="4"/>
  <c r="G316" i="4"/>
  <c r="G31" i="4"/>
  <c r="G30" i="4"/>
  <c r="G25" i="4"/>
  <c r="G24" i="4"/>
  <c r="G29" i="4"/>
  <c r="G23" i="4"/>
  <c r="G19" i="4"/>
  <c r="G20" i="4"/>
  <c r="G18" i="4"/>
  <c r="G15" i="4"/>
  <c r="G14" i="4"/>
  <c r="G281" i="4"/>
  <c r="G11" i="4"/>
  <c r="G314" i="4"/>
  <c r="G311" i="4"/>
  <c r="G309" i="4"/>
  <c r="G307" i="4"/>
  <c r="G303" i="4"/>
  <c r="G299" i="4"/>
  <c r="G305" i="4"/>
  <c r="G301" i="4"/>
  <c r="G297" i="4"/>
  <c r="Z313" i="4"/>
  <c r="Z318" i="4"/>
  <c r="Z260" i="4"/>
  <c r="Z258" i="4"/>
  <c r="Z208" i="4"/>
  <c r="Z206" i="4"/>
  <c r="Z156" i="4"/>
  <c r="Z154" i="4"/>
  <c r="Z104" i="4"/>
  <c r="Z53" i="4"/>
  <c r="Z1" i="4"/>
  <c r="H234" i="4"/>
  <c r="H133" i="4"/>
  <c r="H233" i="4"/>
  <c r="H195" i="1"/>
  <c r="H268" i="4"/>
  <c r="H167" i="4"/>
  <c r="H199" i="4"/>
  <c r="H150" i="4"/>
  <c r="H118" i="4"/>
  <c r="H267" i="4"/>
  <c r="H132" i="4"/>
  <c r="H166" i="4"/>
  <c r="H131" i="1"/>
  <c r="H232" i="4"/>
  <c r="H198" i="4"/>
  <c r="H149" i="4"/>
  <c r="H284" i="4"/>
  <c r="H211" i="1"/>
  <c r="H179" i="1"/>
  <c r="H163" i="1"/>
  <c r="H113" i="1"/>
  <c r="H266" i="4"/>
  <c r="H243" i="1"/>
  <c r="H210" i="1"/>
  <c r="H178" i="1"/>
  <c r="H145" i="1"/>
  <c r="H299" i="4"/>
  <c r="H242" i="1"/>
  <c r="H288" i="1"/>
  <c r="H160" i="1"/>
  <c r="H274" i="1"/>
  <c r="H273" i="1"/>
  <c r="H272" i="1"/>
  <c r="H144" i="1"/>
  <c r="H114" i="1"/>
  <c r="H291" i="1"/>
  <c r="H114" i="4"/>
  <c r="H196" i="4"/>
  <c r="H245" i="4"/>
  <c r="H228" i="4"/>
  <c r="H178" i="4"/>
  <c r="H164" i="4"/>
  <c r="H278" i="4"/>
  <c r="H303" i="1"/>
  <c r="H287" i="1"/>
  <c r="H271" i="1"/>
  <c r="H255" i="1"/>
  <c r="H239" i="1"/>
  <c r="H223" i="1"/>
  <c r="H207" i="1"/>
  <c r="H175" i="1"/>
  <c r="H143" i="1"/>
  <c r="H127" i="1"/>
  <c r="H302" i="1"/>
  <c r="H286" i="1"/>
  <c r="H270" i="1"/>
  <c r="H254" i="1"/>
  <c r="H222" i="1"/>
  <c r="H206" i="1"/>
  <c r="H190" i="1"/>
  <c r="H174" i="1"/>
  <c r="H158" i="1"/>
  <c r="H142" i="1"/>
  <c r="H126" i="1"/>
  <c r="H110" i="1"/>
  <c r="H301" i="1"/>
  <c r="H253" i="1"/>
  <c r="H237" i="1"/>
  <c r="H205" i="1"/>
  <c r="H189" i="1"/>
  <c r="H157" i="1"/>
  <c r="H141" i="1"/>
  <c r="H109" i="1"/>
  <c r="H300" i="1"/>
  <c r="H284" i="1"/>
  <c r="H268" i="1"/>
  <c r="H252" i="1"/>
  <c r="H236" i="1"/>
  <c r="H220" i="1"/>
  <c r="H204" i="1"/>
  <c r="H188" i="1"/>
  <c r="H172" i="1"/>
  <c r="H156" i="1"/>
  <c r="H140" i="1"/>
  <c r="H124" i="1"/>
  <c r="H299" i="1"/>
  <c r="H283" i="1"/>
  <c r="H267" i="1"/>
  <c r="H251" i="1"/>
  <c r="H235" i="1"/>
  <c r="H219" i="1"/>
  <c r="H203" i="1"/>
  <c r="H187" i="1"/>
  <c r="H171" i="1"/>
  <c r="H155" i="1"/>
  <c r="H139" i="1"/>
  <c r="H123" i="1"/>
  <c r="H298" i="1"/>
  <c r="H282" i="1"/>
  <c r="H266" i="1"/>
  <c r="H250" i="1"/>
  <c r="H234" i="1"/>
  <c r="H218" i="1"/>
  <c r="H202" i="1"/>
  <c r="H186" i="1"/>
  <c r="H170" i="1"/>
  <c r="H154" i="1"/>
  <c r="H138" i="1"/>
  <c r="H122" i="1"/>
  <c r="H297" i="1"/>
  <c r="H281" i="1"/>
  <c r="H265" i="1"/>
  <c r="H249" i="1"/>
  <c r="H233" i="1"/>
  <c r="H217" i="1"/>
  <c r="H201" i="1"/>
  <c r="H185" i="1"/>
  <c r="H169" i="1"/>
  <c r="H153" i="1"/>
  <c r="H137" i="1"/>
  <c r="H121" i="1"/>
  <c r="H296" i="1"/>
  <c r="H280" i="1"/>
  <c r="H295" i="1"/>
  <c r="H279" i="1"/>
  <c r="H294" i="1"/>
  <c r="H278" i="1"/>
  <c r="H262" i="1"/>
  <c r="H246" i="1"/>
  <c r="H182" i="1"/>
  <c r="H166" i="1"/>
  <c r="H293" i="1"/>
  <c r="H277" i="1"/>
  <c r="H261" i="1"/>
  <c r="H245" i="1"/>
  <c r="H229" i="1"/>
  <c r="H213" i="1"/>
  <c r="H197" i="1"/>
  <c r="H181" i="1"/>
  <c r="H165" i="1"/>
  <c r="H149" i="1"/>
  <c r="H133" i="1"/>
  <c r="H117" i="1"/>
  <c r="H292" i="1"/>
  <c r="H276" i="1"/>
  <c r="I23" i="3" a="1"/>
  <c r="I9" i="3" a="1"/>
  <c r="M47" i="7" a="1"/>
  <c r="Z317" i="4" a="1"/>
  <c r="I33" i="3" a="1"/>
  <c r="AD99" i="4" a="1"/>
  <c r="AD49" i="4" a="1"/>
  <c r="AB255" i="4" a="1"/>
  <c r="AB99" i="4" a="1"/>
  <c r="AD151" i="4" a="1"/>
  <c r="AB308" i="4" a="1"/>
  <c r="AB151" i="4" a="1"/>
  <c r="AD315" i="4" a="1"/>
  <c r="AD255" i="4" a="1"/>
  <c r="AB203" i="4" a="1"/>
  <c r="AB48" i="4" a="1"/>
  <c r="AB315" i="4" a="1"/>
  <c r="AD308" i="4" a="1"/>
  <c r="AD203" i="4" a="1"/>
  <c r="I23" i="3" l="1"/>
  <c r="I9" i="3"/>
  <c r="I33" i="3"/>
  <c r="AB203" i="4"/>
  <c r="AB255" i="4"/>
  <c r="AB99" i="4"/>
  <c r="AB48" i="4"/>
  <c r="AB315" i="4"/>
  <c r="AB308" i="4"/>
  <c r="AB151" i="4"/>
  <c r="AD315" i="4"/>
  <c r="AD308" i="4"/>
  <c r="AD255" i="4"/>
  <c r="AD203" i="4"/>
  <c r="AD151" i="4"/>
  <c r="AD99" i="4"/>
  <c r="AD49" i="4"/>
  <c r="M47" i="7"/>
  <c r="G2" i="4"/>
  <c r="Z317" i="4"/>
  <c r="I22" i="3" a="1"/>
  <c r="I8" i="3" a="1"/>
  <c r="M46" i="7" a="1"/>
  <c r="Z316" i="4" a="1"/>
  <c r="I32" i="3" a="1"/>
  <c r="AB307" i="4" a="1"/>
  <c r="AB314" i="4" a="1"/>
  <c r="AB202" i="4" a="1"/>
  <c r="AB254" i="4" a="1"/>
  <c r="AD307" i="4" a="1"/>
  <c r="AB47" i="4" a="1"/>
  <c r="AB150" i="4" a="1"/>
  <c r="AD202" i="4" a="1"/>
  <c r="AD314" i="4" a="1"/>
  <c r="AD98" i="4" a="1"/>
  <c r="AB98" i="4" a="1"/>
  <c r="AD254" i="4" a="1"/>
  <c r="AD150" i="4" a="1"/>
  <c r="AD48" i="4" a="1"/>
  <c r="I22" i="3" l="1"/>
  <c r="I8" i="3"/>
  <c r="I32" i="3"/>
  <c r="AB150" i="4"/>
  <c r="AB98" i="4"/>
  <c r="AB254" i="4"/>
  <c r="AB307" i="4"/>
  <c r="AB314" i="4"/>
  <c r="AB47" i="4"/>
  <c r="AB202" i="4"/>
  <c r="AD314" i="4"/>
  <c r="AD307" i="4"/>
  <c r="AD254" i="4"/>
  <c r="AD202" i="4"/>
  <c r="AD150" i="4"/>
  <c r="AD98" i="4"/>
  <c r="AD48" i="4"/>
  <c r="M46" i="7"/>
  <c r="Z316" i="4"/>
  <c r="I7" i="3" a="1"/>
  <c r="M45" i="7" a="1"/>
  <c r="Z315" i="4" a="1"/>
  <c r="I31" i="3" a="1"/>
  <c r="AD47" i="4" a="1"/>
  <c r="AB253" i="4" a="1"/>
  <c r="AB306" i="4" a="1"/>
  <c r="AB201" i="4" a="1"/>
  <c r="AD306" i="4" a="1"/>
  <c r="AD149" i="4" a="1"/>
  <c r="AB97" i="4" a="1"/>
  <c r="AB46" i="4" a="1"/>
  <c r="AD253" i="4" a="1"/>
  <c r="AD201" i="4" a="1"/>
  <c r="AB149" i="4" a="1"/>
  <c r="AD97" i="4" a="1"/>
  <c r="I7" i="3" l="1"/>
  <c r="I31" i="3"/>
  <c r="AB201" i="4"/>
  <c r="AB46" i="4"/>
  <c r="AB306" i="4"/>
  <c r="AB253" i="4"/>
  <c r="AB97" i="4"/>
  <c r="AB149" i="4"/>
  <c r="AD306" i="4"/>
  <c r="AD253" i="4"/>
  <c r="AD201" i="4"/>
  <c r="AD149" i="4"/>
  <c r="AD97" i="4"/>
  <c r="AD47" i="4"/>
  <c r="M45" i="7"/>
  <c r="Z315" i="4"/>
  <c r="I6" i="3" a="1"/>
  <c r="M44" i="7" a="1"/>
  <c r="Z314" i="4" a="1"/>
  <c r="I30" i="3" a="1"/>
  <c r="AB305" i="4" a="1"/>
  <c r="AB45" i="4" a="1"/>
  <c r="AB96" i="4" a="1"/>
  <c r="AD200" i="4" a="1"/>
  <c r="AD252" i="4" a="1"/>
  <c r="AD46" i="4" a="1"/>
  <c r="AD96" i="4" a="1"/>
  <c r="AB252" i="4" a="1"/>
  <c r="AD305" i="4" a="1"/>
  <c r="AD148" i="4" a="1"/>
  <c r="AB200" i="4" a="1"/>
  <c r="AB148" i="4" a="1"/>
  <c r="I6" i="3" l="1"/>
  <c r="I30" i="3"/>
  <c r="AB148" i="4"/>
  <c r="AB96" i="4"/>
  <c r="AB252" i="4"/>
  <c r="AB305" i="4"/>
  <c r="AB45" i="4"/>
  <c r="AB200" i="4"/>
  <c r="AD305" i="4"/>
  <c r="AD252" i="4"/>
  <c r="AD200" i="4"/>
  <c r="AD148" i="4"/>
  <c r="AD96" i="4"/>
  <c r="AD46" i="4"/>
  <c r="M44" i="7"/>
  <c r="Z314" i="4"/>
  <c r="I5" i="3" a="1"/>
  <c r="M43" i="7" a="1"/>
  <c r="Z311" i="4" a="1"/>
  <c r="AB304" i="4" a="1"/>
  <c r="AB147" i="4" a="1"/>
  <c r="AB95" i="4" a="1"/>
  <c r="AD199" i="4" a="1"/>
  <c r="AB251" i="4" a="1"/>
  <c r="AD304" i="4" a="1"/>
  <c r="AD95" i="4" a="1"/>
  <c r="AB199" i="4" a="1"/>
  <c r="AD251" i="4" a="1"/>
  <c r="AD45" i="4" a="1"/>
  <c r="AB44" i="4" a="1"/>
  <c r="AD147" i="4" a="1"/>
  <c r="I5" i="3" l="1"/>
  <c r="AB199" i="4"/>
  <c r="AB44" i="4"/>
  <c r="AB304" i="4"/>
  <c r="AB251" i="4"/>
  <c r="AB95" i="4"/>
  <c r="AB147" i="4"/>
  <c r="AD304" i="4"/>
  <c r="AD251" i="4"/>
  <c r="AD199" i="4"/>
  <c r="AD147" i="4"/>
  <c r="AD95" i="4"/>
  <c r="AD45" i="4"/>
  <c r="M43" i="7"/>
  <c r="Z311" i="4"/>
  <c r="D2" i="4"/>
  <c r="C2" i="4"/>
  <c r="B2" i="4"/>
  <c r="H3" i="1"/>
  <c r="I4" i="3" a="1"/>
  <c r="M42" i="7" a="1"/>
  <c r="Z310" i="4" a="1"/>
  <c r="AB250" i="4" a="1"/>
  <c r="AB198" i="4" a="1"/>
  <c r="AD198" i="4" a="1"/>
  <c r="AB146" i="4" a="1"/>
  <c r="AD146" i="4" a="1"/>
  <c r="AD44" i="4" a="1"/>
  <c r="AB94" i="4" a="1"/>
  <c r="AD303" i="4" a="1"/>
  <c r="AD250" i="4" a="1"/>
  <c r="AB43" i="4" a="1"/>
  <c r="AD94" i="4" a="1"/>
  <c r="AB303" i="4" a="1"/>
  <c r="I4" i="3" l="1"/>
  <c r="AB146" i="4"/>
  <c r="AB94" i="4"/>
  <c r="AB250" i="4"/>
  <c r="AB303" i="4"/>
  <c r="AB43" i="4"/>
  <c r="AB198" i="4"/>
  <c r="AD303" i="4"/>
  <c r="AD250" i="4"/>
  <c r="AD198" i="4"/>
  <c r="AD146" i="4"/>
  <c r="AD94" i="4"/>
  <c r="AD44" i="4"/>
  <c r="M42" i="7"/>
  <c r="Z310" i="4"/>
  <c r="H102" i="4"/>
  <c r="H101" i="1"/>
  <c r="H86" i="4"/>
  <c r="H85" i="1"/>
  <c r="H70" i="4"/>
  <c r="H69" i="1"/>
  <c r="H54" i="4"/>
  <c r="H53" i="1"/>
  <c r="H36" i="4"/>
  <c r="H37" i="1"/>
  <c r="H20" i="4"/>
  <c r="H21" i="1"/>
  <c r="H4" i="4"/>
  <c r="H5" i="1"/>
  <c r="H22" i="4"/>
  <c r="H23" i="1"/>
  <c r="H101" i="4"/>
  <c r="H100" i="1"/>
  <c r="H85" i="4"/>
  <c r="H84" i="1"/>
  <c r="H69" i="4"/>
  <c r="H68" i="1"/>
  <c r="H51" i="4"/>
  <c r="H52" i="1"/>
  <c r="H35" i="4"/>
  <c r="H36" i="1"/>
  <c r="H19" i="4"/>
  <c r="H20" i="1"/>
  <c r="H3" i="4"/>
  <c r="H4" i="1"/>
  <c r="H38" i="4"/>
  <c r="H39" i="1"/>
  <c r="H100" i="4"/>
  <c r="H99" i="1"/>
  <c r="H84" i="4"/>
  <c r="H83" i="1"/>
  <c r="H68" i="4"/>
  <c r="H67" i="1"/>
  <c r="H50" i="4"/>
  <c r="H51" i="1"/>
  <c r="H34" i="4"/>
  <c r="H35" i="1"/>
  <c r="H18" i="4"/>
  <c r="H19" i="1"/>
  <c r="H99" i="4"/>
  <c r="H98" i="1"/>
  <c r="H83" i="4"/>
  <c r="H82" i="1"/>
  <c r="H67" i="4"/>
  <c r="H66" i="1"/>
  <c r="H49" i="4"/>
  <c r="H50" i="1"/>
  <c r="H33" i="4"/>
  <c r="H34" i="1"/>
  <c r="H17" i="4"/>
  <c r="H18" i="1"/>
  <c r="H71" i="4"/>
  <c r="H70" i="1"/>
  <c r="H98" i="4"/>
  <c r="H97" i="1"/>
  <c r="H82" i="4"/>
  <c r="H81" i="1"/>
  <c r="H66" i="4"/>
  <c r="H65" i="1"/>
  <c r="H48" i="4"/>
  <c r="H49" i="1"/>
  <c r="H32" i="4"/>
  <c r="H33" i="1"/>
  <c r="H16" i="4"/>
  <c r="H17" i="1"/>
  <c r="H88" i="4"/>
  <c r="H87" i="1"/>
  <c r="H5" i="4"/>
  <c r="H6" i="1"/>
  <c r="H97" i="4"/>
  <c r="H96" i="1"/>
  <c r="H81" i="4"/>
  <c r="H80" i="1"/>
  <c r="H65" i="4"/>
  <c r="H64" i="1"/>
  <c r="H47" i="4"/>
  <c r="H48" i="1"/>
  <c r="H31" i="4"/>
  <c r="H32" i="1"/>
  <c r="H15" i="4"/>
  <c r="H16" i="1"/>
  <c r="H96" i="4"/>
  <c r="H95" i="1"/>
  <c r="H80" i="4"/>
  <c r="H79" i="1"/>
  <c r="H64" i="4"/>
  <c r="H63" i="1"/>
  <c r="H46" i="4"/>
  <c r="H47" i="1"/>
  <c r="H30" i="4"/>
  <c r="H31" i="1"/>
  <c r="H14" i="4"/>
  <c r="H15" i="1"/>
  <c r="H95" i="4"/>
  <c r="H94" i="1"/>
  <c r="H79" i="4"/>
  <c r="H78" i="1"/>
  <c r="H63" i="4"/>
  <c r="H62" i="1"/>
  <c r="H45" i="4"/>
  <c r="H46" i="1"/>
  <c r="H29" i="4"/>
  <c r="H30" i="1"/>
  <c r="H13" i="4"/>
  <c r="H14" i="1"/>
  <c r="H87" i="4"/>
  <c r="H86" i="1"/>
  <c r="H94" i="4"/>
  <c r="H93" i="1"/>
  <c r="H78" i="4"/>
  <c r="H77" i="1"/>
  <c r="H62" i="4"/>
  <c r="H61" i="1"/>
  <c r="H44" i="4"/>
  <c r="H45" i="1"/>
  <c r="H28" i="4"/>
  <c r="H29" i="1"/>
  <c r="H12" i="4"/>
  <c r="H13" i="1"/>
  <c r="H106" i="4"/>
  <c r="H103" i="1"/>
  <c r="H21" i="4"/>
  <c r="H22" i="1"/>
  <c r="H111" i="4"/>
  <c r="H108" i="1"/>
  <c r="H93" i="4"/>
  <c r="H92" i="1"/>
  <c r="H77" i="4"/>
  <c r="H76" i="1"/>
  <c r="H61" i="4"/>
  <c r="H60" i="1"/>
  <c r="H43" i="4"/>
  <c r="H44" i="1"/>
  <c r="H27" i="4"/>
  <c r="H28" i="1"/>
  <c r="H11" i="4"/>
  <c r="H12" i="1"/>
  <c r="H6" i="4"/>
  <c r="H7" i="1"/>
  <c r="H105" i="4"/>
  <c r="H102" i="1"/>
  <c r="H110" i="4"/>
  <c r="H107" i="1"/>
  <c r="H92" i="4"/>
  <c r="H91" i="1"/>
  <c r="H76" i="4"/>
  <c r="H75" i="1"/>
  <c r="H60" i="4"/>
  <c r="H59" i="1"/>
  <c r="H42" i="4"/>
  <c r="H43" i="1"/>
  <c r="H26" i="4"/>
  <c r="H27" i="1"/>
  <c r="H10" i="4"/>
  <c r="H11" i="1"/>
  <c r="H56" i="4"/>
  <c r="H55" i="1"/>
  <c r="H109" i="4"/>
  <c r="H106" i="1"/>
  <c r="H91" i="4"/>
  <c r="H90" i="1"/>
  <c r="H75" i="4"/>
  <c r="H74" i="1"/>
  <c r="H59" i="4"/>
  <c r="H58" i="1"/>
  <c r="H41" i="4"/>
  <c r="H42" i="1"/>
  <c r="H25" i="4"/>
  <c r="H26" i="1"/>
  <c r="H9" i="4"/>
  <c r="H10" i="1"/>
  <c r="H72" i="4"/>
  <c r="H71" i="1"/>
  <c r="H37" i="4"/>
  <c r="H38" i="1"/>
  <c r="H108" i="4"/>
  <c r="H105" i="1"/>
  <c r="H90" i="4"/>
  <c r="H89" i="1"/>
  <c r="H74" i="4"/>
  <c r="H73" i="1"/>
  <c r="H58" i="4"/>
  <c r="H57" i="1"/>
  <c r="H40" i="4"/>
  <c r="H41" i="1"/>
  <c r="H24" i="4"/>
  <c r="H25" i="1"/>
  <c r="H8" i="4"/>
  <c r="H9" i="1"/>
  <c r="H55" i="4"/>
  <c r="H54" i="1"/>
  <c r="H107" i="4"/>
  <c r="H104" i="1"/>
  <c r="H89" i="4"/>
  <c r="H88" i="1"/>
  <c r="H73" i="4"/>
  <c r="H72" i="1"/>
  <c r="H57" i="4"/>
  <c r="H56" i="1"/>
  <c r="H39" i="4"/>
  <c r="H40" i="1"/>
  <c r="H23" i="4"/>
  <c r="H24" i="1"/>
  <c r="H7" i="4"/>
  <c r="H8" i="1"/>
  <c r="H2" i="4"/>
  <c r="I3" i="3" a="1"/>
  <c r="M41" i="7" a="1"/>
  <c r="Z309" i="4" a="1"/>
  <c r="Z51" i="4" a="1"/>
  <c r="Z102" i="4" a="1"/>
  <c r="AB145" i="4" a="1"/>
  <c r="AD197" i="4" a="1"/>
  <c r="AD43" i="4" a="1"/>
  <c r="AB197" i="4" a="1"/>
  <c r="AB42" i="4" a="1"/>
  <c r="AD302" i="4" a="1"/>
  <c r="AD93" i="4" a="1"/>
  <c r="AB93" i="4" a="1"/>
  <c r="AB249" i="4" a="1"/>
  <c r="AD145" i="4" a="1"/>
  <c r="AD249" i="4" a="1"/>
  <c r="AB302" i="4" a="1"/>
  <c r="I3" i="3" l="1"/>
  <c r="AB197" i="4"/>
  <c r="AB42" i="4"/>
  <c r="AB302" i="4"/>
  <c r="AB249" i="4"/>
  <c r="AB93" i="4"/>
  <c r="AB145" i="4"/>
  <c r="AD302" i="4"/>
  <c r="AD249" i="4"/>
  <c r="AD197" i="4"/>
  <c r="AD145" i="4"/>
  <c r="AD93" i="4"/>
  <c r="AD43" i="4"/>
  <c r="M41" i="7"/>
  <c r="Z309" i="4"/>
  <c r="Z102" i="4"/>
  <c r="Z51" i="4"/>
  <c r="I2" i="3" a="1"/>
  <c r="M40" i="7" a="1"/>
  <c r="Z308" i="4" a="1"/>
  <c r="AB301" i="4" a="1"/>
  <c r="AB248" i="4" a="1"/>
  <c r="AB41" i="4" a="1"/>
  <c r="AD248" i="4" a="1"/>
  <c r="AB144" i="4" a="1"/>
  <c r="AD92" i="4" a="1"/>
  <c r="AB92" i="4" a="1"/>
  <c r="AD301" i="4" a="1"/>
  <c r="AB196" i="4" a="1"/>
  <c r="AD196" i="4" a="1"/>
  <c r="AD144" i="4" a="1"/>
  <c r="AD42" i="4" a="1"/>
  <c r="I2" i="3" l="1"/>
  <c r="AB301" i="4"/>
  <c r="AB144" i="4"/>
  <c r="AB92" i="4"/>
  <c r="AB248" i="4"/>
  <c r="AB41" i="4"/>
  <c r="AB196" i="4"/>
  <c r="AD301" i="4"/>
  <c r="AD248" i="4"/>
  <c r="AD196" i="4"/>
  <c r="AD144" i="4"/>
  <c r="AD92" i="4"/>
  <c r="AD42" i="4"/>
  <c r="M40" i="7"/>
  <c r="Z308" i="4"/>
  <c r="Z307" i="4" a="1"/>
  <c r="M39" i="7" a="1"/>
  <c r="AB300" i="4" a="1"/>
  <c r="AB91" i="4" a="1"/>
  <c r="AB40" i="4" a="1"/>
  <c r="AB247" i="4" a="1"/>
  <c r="AB195" i="4" a="1"/>
  <c r="AD300" i="4" a="1"/>
  <c r="AD195" i="4" a="1"/>
  <c r="AD91" i="4" a="1"/>
  <c r="AB143" i="4" a="1"/>
  <c r="AD247" i="4" a="1"/>
  <c r="AD143" i="4" a="1"/>
  <c r="AD41" i="4" a="1"/>
  <c r="AB195" i="4" l="1"/>
  <c r="AB40" i="4"/>
  <c r="AB247" i="4"/>
  <c r="AB91" i="4"/>
  <c r="AB143" i="4"/>
  <c r="AB300" i="4"/>
  <c r="AD300" i="4"/>
  <c r="AD247" i="4"/>
  <c r="AD195" i="4"/>
  <c r="AD143" i="4"/>
  <c r="AD91" i="4"/>
  <c r="AD41" i="4"/>
  <c r="M39" i="7"/>
  <c r="Z307" i="4"/>
  <c r="Z306" i="4" a="1"/>
  <c r="M38" i="7" a="1"/>
  <c r="AB194" i="4" a="1"/>
  <c r="AB299" i="4" a="1"/>
  <c r="AB39" i="4" a="1"/>
  <c r="AB142" i="4" a="1"/>
  <c r="AD246" i="4" a="1"/>
  <c r="AD142" i="4" a="1"/>
  <c r="AD40" i="4" a="1"/>
  <c r="AB90" i="4" a="1"/>
  <c r="AB246" i="4" a="1"/>
  <c r="AD194" i="4" a="1"/>
  <c r="AD90" i="4" a="1"/>
  <c r="AD299" i="4" a="1"/>
  <c r="AB299" i="4" l="1"/>
  <c r="AB39" i="4"/>
  <c r="AB142" i="4"/>
  <c r="AB90" i="4"/>
  <c r="AB246" i="4"/>
  <c r="AB194" i="4"/>
  <c r="AD299" i="4"/>
  <c r="AD246" i="4"/>
  <c r="AD194" i="4"/>
  <c r="AD142" i="4"/>
  <c r="AD90" i="4"/>
  <c r="AD40" i="4"/>
  <c r="M38" i="7"/>
  <c r="Z306" i="4"/>
  <c r="M37" i="7" a="1"/>
  <c r="Z305" i="4" a="1"/>
  <c r="AB298" i="4" a="1"/>
  <c r="AB38" i="4" a="1"/>
  <c r="AD193" i="4" a="1"/>
  <c r="AB141" i="4" a="1"/>
  <c r="AD141" i="4" a="1"/>
  <c r="AB89" i="4" a="1"/>
  <c r="AB193" i="4" a="1"/>
  <c r="AD245" i="4" a="1"/>
  <c r="AD89" i="4" a="1"/>
  <c r="AD39" i="4" a="1"/>
  <c r="AD298" i="4" a="1"/>
  <c r="AB245" i="4" a="1"/>
  <c r="AB193" i="4" l="1"/>
  <c r="AB245" i="4"/>
  <c r="AB89" i="4"/>
  <c r="AB141" i="4"/>
  <c r="AB38" i="4"/>
  <c r="AB298" i="4"/>
  <c r="AD298" i="4"/>
  <c r="AD245" i="4"/>
  <c r="AD193" i="4"/>
  <c r="AD141" i="4"/>
  <c r="AD89" i="4"/>
  <c r="AD39" i="4"/>
  <c r="M37" i="7"/>
  <c r="Z305" i="4"/>
  <c r="Z304" i="4" a="1"/>
  <c r="M36" i="7" a="1"/>
  <c r="AB244" i="4" a="1"/>
  <c r="AB140" i="4" a="1"/>
  <c r="AB37" i="4" a="1"/>
  <c r="AB88" i="4" a="1"/>
  <c r="AB297" i="4" a="1"/>
  <c r="AD244" i="4" a="1"/>
  <c r="AD140" i="4" a="1"/>
  <c r="AD88" i="4" a="1"/>
  <c r="AD192" i="4" a="1"/>
  <c r="AD297" i="4" a="1"/>
  <c r="AD38" i="4" a="1"/>
  <c r="AB192" i="4" a="1"/>
  <c r="AB297" i="4" l="1"/>
  <c r="AB37" i="4"/>
  <c r="AB140" i="4"/>
  <c r="AB88" i="4"/>
  <c r="AB244" i="4"/>
  <c r="AB192" i="4"/>
  <c r="AD297" i="4"/>
  <c r="AD244" i="4"/>
  <c r="AD192" i="4"/>
  <c r="AD140" i="4"/>
  <c r="AD88" i="4"/>
  <c r="AD38" i="4"/>
  <c r="M36" i="7"/>
  <c r="Z304" i="4"/>
  <c r="M35" i="7" a="1"/>
  <c r="Z303" i="4" a="1"/>
  <c r="AB296" i="4" a="1"/>
  <c r="AB87" i="4" a="1"/>
  <c r="AB139" i="4" a="1"/>
  <c r="AB191" i="4" a="1"/>
  <c r="AB243" i="4" a="1"/>
  <c r="AD191" i="4" a="1"/>
  <c r="AD37" i="4" a="1"/>
  <c r="AB36" i="4" a="1"/>
  <c r="AD296" i="4" a="1"/>
  <c r="AD243" i="4" a="1"/>
  <c r="AD139" i="4" a="1"/>
  <c r="AD87" i="4" a="1"/>
  <c r="AB191" i="4" l="1"/>
  <c r="AB243" i="4"/>
  <c r="AB87" i="4"/>
  <c r="AB139" i="4"/>
  <c r="AB36" i="4"/>
  <c r="AB296" i="4"/>
  <c r="AD296" i="4"/>
  <c r="AD243" i="4"/>
  <c r="AD191" i="4"/>
  <c r="AD139" i="4"/>
  <c r="AD87" i="4"/>
  <c r="AD37" i="4"/>
  <c r="M35" i="7"/>
  <c r="Z303" i="4"/>
  <c r="M34" i="7" a="1"/>
  <c r="Z302" i="4" a="1"/>
  <c r="AB242" i="4" a="1"/>
  <c r="AB35" i="4" a="1"/>
  <c r="AD86" i="4" a="1"/>
  <c r="AD36" i="4" a="1"/>
  <c r="AD138" i="4" a="1"/>
  <c r="AB86" i="4" a="1"/>
  <c r="AB295" i="4" a="1"/>
  <c r="AD295" i="4" a="1"/>
  <c r="AB138" i="4" a="1"/>
  <c r="AD190" i="4" a="1"/>
  <c r="AB190" i="4" a="1"/>
  <c r="AD242" i="4" a="1"/>
  <c r="AB35" i="4" l="1"/>
  <c r="AB242" i="4"/>
  <c r="AB295" i="4"/>
  <c r="AB138" i="4"/>
  <c r="AB86" i="4"/>
  <c r="AB190" i="4"/>
  <c r="AD295" i="4"/>
  <c r="AD242" i="4"/>
  <c r="AD190" i="4"/>
  <c r="AD138" i="4"/>
  <c r="AD86" i="4"/>
  <c r="AD36" i="4"/>
  <c r="M34" i="7"/>
  <c r="Z302" i="4"/>
  <c r="M33" i="7" a="1"/>
  <c r="Z301" i="4" a="1"/>
  <c r="AB241" i="4" a="1"/>
  <c r="AB34" i="4" a="1"/>
  <c r="AB85" i="4" a="1"/>
  <c r="AD241" i="4" a="1"/>
  <c r="AD85" i="4" a="1"/>
  <c r="AB189" i="4" a="1"/>
  <c r="AD294" i="4" a="1"/>
  <c r="AD189" i="4" a="1"/>
  <c r="AD35" i="4" a="1"/>
  <c r="AB294" i="4" a="1"/>
  <c r="AB137" i="4" a="1"/>
  <c r="AD137" i="4" a="1"/>
  <c r="AB189" i="4" l="1"/>
  <c r="AB85" i="4"/>
  <c r="AB137" i="4"/>
  <c r="AB294" i="4"/>
  <c r="AB241" i="4"/>
  <c r="AB34" i="4"/>
  <c r="AD294" i="4"/>
  <c r="AD241" i="4"/>
  <c r="AD189" i="4"/>
  <c r="AD137" i="4"/>
  <c r="AD85" i="4"/>
  <c r="AD35" i="4"/>
  <c r="M33" i="7"/>
  <c r="Z301" i="4"/>
  <c r="M32" i="7" a="1"/>
  <c r="Z300" i="4" a="1"/>
  <c r="AB293" i="4" a="1"/>
  <c r="AB136" i="4" a="1"/>
  <c r="AB240" i="4" a="1"/>
  <c r="AB84" i="4" a="1"/>
  <c r="AD293" i="4" a="1"/>
  <c r="AD34" i="4" a="1"/>
  <c r="AD188" i="4" a="1"/>
  <c r="AD136" i="4" a="1"/>
  <c r="AB33" i="4" a="1"/>
  <c r="AD84" i="4" a="1"/>
  <c r="AB188" i="4" a="1"/>
  <c r="AD240" i="4" a="1"/>
  <c r="AB33" i="4" l="1"/>
  <c r="AB240" i="4"/>
  <c r="AB293" i="4"/>
  <c r="AB136" i="4"/>
  <c r="AB84" i="4"/>
  <c r="AB188" i="4"/>
  <c r="AD293" i="4"/>
  <c r="AD240" i="4"/>
  <c r="AD188" i="4"/>
  <c r="AD136" i="4"/>
  <c r="AD84" i="4"/>
  <c r="AD34" i="4"/>
  <c r="M32" i="7"/>
  <c r="Z300" i="4"/>
  <c r="Z299" i="4" a="1"/>
  <c r="M31" i="7" a="1"/>
  <c r="AB32" i="4" a="1"/>
  <c r="AB292" i="4" a="1"/>
  <c r="AB83" i="4" a="1"/>
  <c r="AD292" i="4" a="1"/>
  <c r="AB187" i="4" a="1"/>
  <c r="AD135" i="4" a="1"/>
  <c r="AD187" i="4" a="1"/>
  <c r="AD33" i="4" a="1"/>
  <c r="AB239" i="4" a="1"/>
  <c r="AD239" i="4" a="1"/>
  <c r="AD83" i="4" a="1"/>
  <c r="AB135" i="4" a="1"/>
  <c r="AB187" i="4" l="1"/>
  <c r="AB83" i="4"/>
  <c r="AB135" i="4"/>
  <c r="AB292" i="4"/>
  <c r="AB239" i="4"/>
  <c r="AB32" i="4"/>
  <c r="AD292" i="4"/>
  <c r="AD239" i="4"/>
  <c r="AD187" i="4"/>
  <c r="AD135" i="4"/>
  <c r="AD83" i="4"/>
  <c r="AD33" i="4"/>
  <c r="M31" i="7"/>
  <c r="Z299" i="4"/>
  <c r="Z298" i="4" a="1"/>
  <c r="M30" i="7" a="1"/>
  <c r="AB186" i="4" a="1"/>
  <c r="AB238" i="4" a="1"/>
  <c r="AD186" i="4" a="1"/>
  <c r="AB291" i="4" a="1"/>
  <c r="AD134" i="4" a="1"/>
  <c r="AD32" i="4" a="1"/>
  <c r="AB134" i="4" a="1"/>
  <c r="AB82" i="4" a="1"/>
  <c r="AB31" i="4" a="1"/>
  <c r="AD291" i="4" a="1"/>
  <c r="AD238" i="4" a="1"/>
  <c r="AD82" i="4" a="1"/>
  <c r="AB31" i="4" l="1"/>
  <c r="AB238" i="4"/>
  <c r="AB291" i="4"/>
  <c r="AB134" i="4"/>
  <c r="AB82" i="4"/>
  <c r="AB186" i="4"/>
  <c r="AD291" i="4"/>
  <c r="AD238" i="4"/>
  <c r="AD186" i="4"/>
  <c r="AD134" i="4"/>
  <c r="AD82" i="4"/>
  <c r="AD32" i="4"/>
  <c r="M30" i="7"/>
  <c r="Z298" i="4"/>
  <c r="Z297" i="4" a="1"/>
  <c r="M29" i="7" a="1"/>
  <c r="AB237" i="4" a="1"/>
  <c r="AB290" i="4" a="1"/>
  <c r="AB81" i="4" a="1"/>
  <c r="AB185" i="4" a="1"/>
  <c r="AD237" i="4" a="1"/>
  <c r="AD31" i="4" a="1"/>
  <c r="AD133" i="4" a="1"/>
  <c r="AB133" i="4" a="1"/>
  <c r="AD185" i="4" a="1"/>
  <c r="AD81" i="4" a="1"/>
  <c r="AD290" i="4" a="1"/>
  <c r="AB30" i="4" a="1"/>
  <c r="AB185" i="4" l="1"/>
  <c r="AB81" i="4"/>
  <c r="AB133" i="4"/>
  <c r="AB290" i="4"/>
  <c r="AB237" i="4"/>
  <c r="AB30" i="4"/>
  <c r="AD290" i="4"/>
  <c r="AD237" i="4"/>
  <c r="AD185" i="4"/>
  <c r="AD133" i="4"/>
  <c r="AD81" i="4"/>
  <c r="AD31" i="4"/>
  <c r="M29" i="7"/>
  <c r="Z297" i="4"/>
  <c r="M28" i="7" a="1"/>
  <c r="Z296" i="4" a="1"/>
  <c r="AB236" i="4" a="1"/>
  <c r="AB29" i="4" a="1"/>
  <c r="AD184" i="4" a="1"/>
  <c r="AD289" i="4" a="1"/>
  <c r="AD132" i="4" a="1"/>
  <c r="AD236" i="4" a="1"/>
  <c r="AD80" i="4" a="1"/>
  <c r="AD30" i="4" a="1"/>
  <c r="AB184" i="4" a="1"/>
  <c r="AB132" i="4" a="1"/>
  <c r="AB289" i="4" a="1"/>
  <c r="AB80" i="4" a="1"/>
  <c r="AB29" i="4" l="1"/>
  <c r="AB236" i="4"/>
  <c r="AB289" i="4"/>
  <c r="AB132" i="4"/>
  <c r="AB80" i="4"/>
  <c r="AB184" i="4"/>
  <c r="AD289" i="4"/>
  <c r="AD236" i="4"/>
  <c r="AD184" i="4"/>
  <c r="AD132" i="4"/>
  <c r="AD80" i="4"/>
  <c r="AD30" i="4"/>
  <c r="M28" i="7"/>
  <c r="Z296" i="4"/>
  <c r="M27" i="7" a="1"/>
  <c r="Z295" i="4" a="1"/>
  <c r="AB288" i="4" a="1"/>
  <c r="AB183" i="4" a="1"/>
  <c r="AB131" i="4" a="1"/>
  <c r="AB79" i="4" a="1"/>
  <c r="AD183" i="4" a="1"/>
  <c r="AD235" i="4" a="1"/>
  <c r="AB235" i="4" a="1"/>
  <c r="AD131" i="4" a="1"/>
  <c r="AD29" i="4" a="1"/>
  <c r="AB28" i="4" a="1"/>
  <c r="AD288" i="4" a="1"/>
  <c r="AD79" i="4" a="1"/>
  <c r="AB183" i="4" l="1"/>
  <c r="AB79" i="4"/>
  <c r="AB131" i="4"/>
  <c r="AB288" i="4"/>
  <c r="AB235" i="4"/>
  <c r="AB28" i="4"/>
  <c r="AD288" i="4"/>
  <c r="AD235" i="4"/>
  <c r="AD183" i="4"/>
  <c r="AD131" i="4"/>
  <c r="AD79" i="4"/>
  <c r="AD29" i="4"/>
  <c r="M27" i="7"/>
  <c r="Z295" i="4"/>
  <c r="M26" i="7" a="1"/>
  <c r="Z294" i="4" a="1"/>
  <c r="AB27" i="4" a="1"/>
  <c r="AB130" i="4" a="1"/>
  <c r="AB78" i="4" a="1"/>
  <c r="AD182" i="4" a="1"/>
  <c r="AB234" i="4" a="1"/>
  <c r="AB287" i="4" a="1"/>
  <c r="AD78" i="4" a="1"/>
  <c r="AD287" i="4" a="1"/>
  <c r="AD234" i="4" a="1"/>
  <c r="AD130" i="4" a="1"/>
  <c r="AD28" i="4" a="1"/>
  <c r="AB182" i="4" a="1"/>
  <c r="AB27" i="4" l="1"/>
  <c r="AB234" i="4"/>
  <c r="AB287" i="4"/>
  <c r="AB130" i="4"/>
  <c r="AB78" i="4"/>
  <c r="AB182" i="4"/>
  <c r="AD287" i="4"/>
  <c r="AD234" i="4"/>
  <c r="AD182" i="4"/>
  <c r="AD130" i="4"/>
  <c r="AD78" i="4"/>
  <c r="AD28" i="4"/>
  <c r="M26" i="7"/>
  <c r="Z294" i="4"/>
  <c r="Z293" i="4" a="1"/>
  <c r="M25" i="7" a="1"/>
  <c r="AB233" i="4" a="1"/>
  <c r="AB129" i="4" a="1"/>
  <c r="AB77" i="4" a="1"/>
  <c r="AB181" i="4" a="1"/>
  <c r="AD286" i="4" a="1"/>
  <c r="AD27" i="4" a="1"/>
  <c r="AD181" i="4" a="1"/>
  <c r="AB26" i="4" a="1"/>
  <c r="AB286" i="4" a="1"/>
  <c r="AD233" i="4" a="1"/>
  <c r="AD77" i="4" a="1"/>
  <c r="AD129" i="4" a="1"/>
  <c r="AB181" i="4" l="1"/>
  <c r="AB77" i="4"/>
  <c r="AB129" i="4"/>
  <c r="AB286" i="4"/>
  <c r="AB233" i="4"/>
  <c r="AB26" i="4"/>
  <c r="AD286" i="4"/>
  <c r="AD233" i="4"/>
  <c r="AD181" i="4"/>
  <c r="AD129" i="4"/>
  <c r="AD77" i="4"/>
  <c r="AD27" i="4"/>
  <c r="M25" i="7"/>
  <c r="Z293" i="4"/>
  <c r="Z292" i="4" a="1"/>
  <c r="M24" i="7" a="1"/>
  <c r="AB180" i="4" a="1"/>
  <c r="AD232" i="4" a="1"/>
  <c r="AB128" i="4" a="1"/>
  <c r="AB25" i="4" a="1"/>
  <c r="AD128" i="4" a="1"/>
  <c r="AD76" i="4" a="1"/>
  <c r="AB76" i="4" a="1"/>
  <c r="AD285" i="4" a="1"/>
  <c r="AD180" i="4" a="1"/>
  <c r="AB232" i="4" a="1"/>
  <c r="AB285" i="4" a="1"/>
  <c r="AD26" i="4" a="1"/>
  <c r="AB25" i="4" l="1"/>
  <c r="AB232" i="4"/>
  <c r="AB285" i="4"/>
  <c r="AB128" i="4"/>
  <c r="AB76" i="4"/>
  <c r="AB180" i="4"/>
  <c r="AD285" i="4"/>
  <c r="AD232" i="4"/>
  <c r="AD180" i="4"/>
  <c r="AD128" i="4"/>
  <c r="AD76" i="4"/>
  <c r="AD26" i="4"/>
  <c r="M24" i="7"/>
  <c r="Z292" i="4"/>
  <c r="M23" i="7" a="1"/>
  <c r="Z291" i="4" a="1"/>
  <c r="AB24" i="4" a="1"/>
  <c r="AD231" i="4" a="1"/>
  <c r="AD127" i="4" a="1"/>
  <c r="AB231" i="4" a="1"/>
  <c r="AB284" i="4" a="1"/>
  <c r="AB75" i="4" a="1"/>
  <c r="AD179" i="4" a="1"/>
  <c r="AB179" i="4" a="1"/>
  <c r="AD75" i="4" a="1"/>
  <c r="AB127" i="4" a="1"/>
  <c r="AD25" i="4" a="1"/>
  <c r="AD284" i="4" a="1"/>
  <c r="AB179" i="4" l="1"/>
  <c r="AB75" i="4"/>
  <c r="AB127" i="4"/>
  <c r="AB284" i="4"/>
  <c r="AB231" i="4"/>
  <c r="AB24" i="4"/>
  <c r="AD284" i="4"/>
  <c r="AD231" i="4"/>
  <c r="AD179" i="4"/>
  <c r="AD127" i="4"/>
  <c r="AD75" i="4"/>
  <c r="AD25" i="4"/>
  <c r="M23" i="7"/>
  <c r="Z291" i="4"/>
  <c r="M22" i="7" a="1"/>
  <c r="Z290" i="4" a="1"/>
  <c r="AB178" i="4" a="1"/>
  <c r="AB126" i="4" a="1"/>
  <c r="AB283" i="4" a="1"/>
  <c r="AD283" i="4" a="1"/>
  <c r="AB23" i="4" a="1"/>
  <c r="AD178" i="4" a="1"/>
  <c r="AD126" i="4" a="1"/>
  <c r="AD74" i="4" a="1"/>
  <c r="AD24" i="4" a="1"/>
  <c r="AB74" i="4" a="1"/>
  <c r="AB230" i="4" a="1"/>
  <c r="AD230" i="4" a="1"/>
  <c r="AB23" i="4" l="1"/>
  <c r="AB230" i="4"/>
  <c r="AB283" i="4"/>
  <c r="AB126" i="4"/>
  <c r="AB74" i="4"/>
  <c r="AB178" i="4"/>
  <c r="AD283" i="4"/>
  <c r="AD230" i="4"/>
  <c r="AD178" i="4"/>
  <c r="AD126" i="4"/>
  <c r="AD74" i="4"/>
  <c r="AD24" i="4"/>
  <c r="M22" i="7"/>
  <c r="Z290" i="4"/>
  <c r="Z289" i="4" a="1"/>
  <c r="M21" i="7" a="1"/>
  <c r="AB22" i="4" a="1"/>
  <c r="AD282" i="4" a="1"/>
  <c r="AB125" i="4" a="1"/>
  <c r="AB73" i="4" a="1"/>
  <c r="AB177" i="4" a="1"/>
  <c r="AD23" i="4" a="1"/>
  <c r="AB282" i="4" a="1"/>
  <c r="AD177" i="4" a="1"/>
  <c r="AD125" i="4" a="1"/>
  <c r="AB229" i="4" a="1"/>
  <c r="AD229" i="4" a="1"/>
  <c r="AD73" i="4" a="1"/>
  <c r="AB177" i="4" l="1"/>
  <c r="AB73" i="4"/>
  <c r="AB125" i="4"/>
  <c r="AB282" i="4"/>
  <c r="AB229" i="4"/>
  <c r="AB22" i="4"/>
  <c r="AD282" i="4"/>
  <c r="AD229" i="4"/>
  <c r="AD177" i="4"/>
  <c r="AD125" i="4"/>
  <c r="AD73" i="4"/>
  <c r="AD23" i="4"/>
  <c r="M21" i="7"/>
  <c r="Z289" i="4"/>
  <c r="M20" i="7" a="1"/>
  <c r="Z288" i="4" a="1"/>
  <c r="AB176" i="4" a="1"/>
  <c r="AB21" i="4" a="1"/>
  <c r="AB72" i="4" a="1"/>
  <c r="AB281" i="4" a="1"/>
  <c r="AB228" i="4" a="1"/>
  <c r="AD228" i="4" a="1"/>
  <c r="AD281" i="4" a="1"/>
  <c r="AD176" i="4" a="1"/>
  <c r="AD124" i="4" a="1"/>
  <c r="AD72" i="4" a="1"/>
  <c r="AD22" i="4" a="1"/>
  <c r="AB124" i="4" a="1"/>
  <c r="AB21" i="4" l="1"/>
  <c r="AB228" i="4"/>
  <c r="AB281" i="4"/>
  <c r="AB124" i="4"/>
  <c r="AB72" i="4"/>
  <c r="AB176" i="4"/>
  <c r="AD281" i="4"/>
  <c r="AD228" i="4"/>
  <c r="AD176" i="4"/>
  <c r="AD124" i="4"/>
  <c r="AD72" i="4"/>
  <c r="AD22" i="4"/>
  <c r="M20" i="7"/>
  <c r="Z288" i="4"/>
  <c r="M19" i="7" a="1"/>
  <c r="Z287" i="4" a="1"/>
  <c r="AB227" i="4" a="1"/>
  <c r="AB20" i="4" a="1"/>
  <c r="AB123" i="4" a="1"/>
  <c r="AB280" i="4" a="1"/>
  <c r="AD21" i="4" a="1"/>
  <c r="AB175" i="4" a="1"/>
  <c r="AD71" i="4" a="1"/>
  <c r="AD123" i="4" a="1"/>
  <c r="AB71" i="4" a="1"/>
  <c r="AD280" i="4" a="1"/>
  <c r="AD175" i="4" a="1"/>
  <c r="AD227" i="4" a="1"/>
  <c r="AB20" i="4" l="1"/>
  <c r="AB175" i="4"/>
  <c r="AB71" i="4"/>
  <c r="AB123" i="4"/>
  <c r="AB280" i="4"/>
  <c r="AB227" i="4"/>
  <c r="AD280" i="4"/>
  <c r="AD227" i="4"/>
  <c r="AD175" i="4"/>
  <c r="AD123" i="4"/>
  <c r="AD71" i="4"/>
  <c r="AD21" i="4"/>
  <c r="M19" i="7"/>
  <c r="Z287" i="4"/>
  <c r="Z286" i="4" a="1"/>
  <c r="M18" i="7" a="1"/>
  <c r="AB19" i="4" a="1"/>
  <c r="AB122" i="4" a="1"/>
  <c r="AB174" i="4" a="1"/>
  <c r="AD174" i="4" a="1"/>
  <c r="AB279" i="4" a="1"/>
  <c r="AD226" i="4" a="1"/>
  <c r="AB226" i="4" a="1"/>
  <c r="AD279" i="4" a="1"/>
  <c r="AD70" i="4" a="1"/>
  <c r="AB70" i="4" a="1"/>
  <c r="AD20" i="4" a="1"/>
  <c r="AD122" i="4" a="1"/>
  <c r="AB226" i="4" l="1"/>
  <c r="AB279" i="4"/>
  <c r="AB122" i="4"/>
  <c r="AB70" i="4"/>
  <c r="AB174" i="4"/>
  <c r="AB19" i="4"/>
  <c r="AD279" i="4"/>
  <c r="AD226" i="4"/>
  <c r="AD174" i="4"/>
  <c r="AD122" i="4"/>
  <c r="AD70" i="4"/>
  <c r="AD20" i="4"/>
  <c r="M18" i="7"/>
  <c r="Z286" i="4"/>
  <c r="M17" i="7" a="1"/>
  <c r="Z285" i="4" a="1"/>
  <c r="AB225" i="4" a="1"/>
  <c r="AB121" i="4" a="1"/>
  <c r="AB173" i="4" a="1"/>
  <c r="AB18" i="4" a="1"/>
  <c r="AD121" i="4" a="1"/>
  <c r="AD278" i="4" a="1"/>
  <c r="AD173" i="4" a="1"/>
  <c r="AD69" i="4" a="1"/>
  <c r="AB278" i="4" a="1"/>
  <c r="AB69" i="4" a="1"/>
  <c r="AD225" i="4" a="1"/>
  <c r="AD19" i="4" a="1"/>
  <c r="AB278" i="4" l="1"/>
  <c r="AB18" i="4"/>
  <c r="AB173" i="4"/>
  <c r="AB69" i="4"/>
  <c r="AB121" i="4"/>
  <c r="AB225" i="4"/>
  <c r="AD278" i="4"/>
  <c r="AD225" i="4"/>
  <c r="AD173" i="4"/>
  <c r="AD121" i="4"/>
  <c r="AD69" i="4"/>
  <c r="AD19" i="4"/>
  <c r="M17" i="7"/>
  <c r="Z285" i="4"/>
  <c r="M16" i="7" a="1"/>
  <c r="Z284" i="4" a="1"/>
  <c r="AB172" i="4" a="1"/>
  <c r="AB120" i="4" a="1"/>
  <c r="AD277" i="4" a="1"/>
  <c r="AB277" i="4" a="1"/>
  <c r="AD120" i="4" a="1"/>
  <c r="AB17" i="4" a="1"/>
  <c r="AD68" i="4" a="1"/>
  <c r="AB224" i="4" a="1"/>
  <c r="AB68" i="4" a="1"/>
  <c r="AD224" i="4" a="1"/>
  <c r="AD18" i="4" a="1"/>
  <c r="AD172" i="4" a="1"/>
  <c r="AB224" i="4" l="1"/>
  <c r="AB120" i="4"/>
  <c r="AB68" i="4"/>
  <c r="AB172" i="4"/>
  <c r="AB17" i="4"/>
  <c r="AB277" i="4"/>
  <c r="AD277" i="4"/>
  <c r="AD224" i="4"/>
  <c r="AD172" i="4"/>
  <c r="AD120" i="4"/>
  <c r="AD68" i="4"/>
  <c r="AD18" i="4"/>
  <c r="M16" i="7"/>
  <c r="Z284" i="4"/>
  <c r="Z283" i="4" a="1"/>
  <c r="M15" i="7" a="1"/>
  <c r="AB223" i="4" a="1"/>
  <c r="AB119" i="4" a="1"/>
  <c r="AB276" i="4" a="1"/>
  <c r="AB171" i="4" a="1"/>
  <c r="AD171" i="4" a="1"/>
  <c r="AB16" i="4" a="1"/>
  <c r="AD276" i="4" a="1"/>
  <c r="AD67" i="4" a="1"/>
  <c r="AD119" i="4" a="1"/>
  <c r="AD17" i="4" a="1"/>
  <c r="AD223" i="4" a="1"/>
  <c r="AB67" i="4" a="1"/>
  <c r="AB16" i="4" l="1"/>
  <c r="AB67" i="4"/>
  <c r="AB119" i="4"/>
  <c r="AB276" i="4"/>
  <c r="AB171" i="4"/>
  <c r="AB223" i="4"/>
  <c r="AD276" i="4"/>
  <c r="AD223" i="4"/>
  <c r="AD171" i="4"/>
  <c r="AD119" i="4"/>
  <c r="AD67" i="4"/>
  <c r="AD17" i="4"/>
  <c r="M15" i="7"/>
  <c r="Z283" i="4"/>
  <c r="Z282" i="4" a="1"/>
  <c r="M14" i="7" a="1"/>
  <c r="AB118" i="4" a="1"/>
  <c r="AB15" i="4" a="1"/>
  <c r="AB170" i="4" a="1"/>
  <c r="AD170" i="4" a="1"/>
  <c r="AB275" i="4" a="1"/>
  <c r="AD222" i="4" a="1"/>
  <c r="AD118" i="4" a="1"/>
  <c r="AB66" i="4" a="1"/>
  <c r="AB222" i="4" a="1"/>
  <c r="AD275" i="4" a="1"/>
  <c r="AD66" i="4" a="1"/>
  <c r="AD16" i="4" a="1"/>
  <c r="AB222" i="4" l="1"/>
  <c r="AB170" i="4"/>
  <c r="AB275" i="4"/>
  <c r="AB118" i="4"/>
  <c r="AB66" i="4"/>
  <c r="AB15" i="4"/>
  <c r="AD275" i="4"/>
  <c r="AD222" i="4"/>
  <c r="AD170" i="4"/>
  <c r="AD118" i="4"/>
  <c r="AD66" i="4"/>
  <c r="AD16" i="4"/>
  <c r="M14" i="7"/>
  <c r="Z282" i="4"/>
  <c r="Z281" i="4" a="1"/>
  <c r="M13" i="7" a="1"/>
  <c r="AB169" i="4" a="1"/>
  <c r="AB117" i="4" a="1"/>
  <c r="AB274" i="4" a="1"/>
  <c r="AD274" i="4" a="1"/>
  <c r="AB14" i="4" a="1"/>
  <c r="AD221" i="4" a="1"/>
  <c r="AD117" i="4" a="1"/>
  <c r="AD65" i="4" a="1"/>
  <c r="AB65" i="4" a="1"/>
  <c r="AD169" i="4" a="1"/>
  <c r="AD15" i="4" a="1"/>
  <c r="AB221" i="4" a="1"/>
  <c r="AB14" i="4" l="1"/>
  <c r="AB65" i="4"/>
  <c r="AB117" i="4"/>
  <c r="AB274" i="4"/>
  <c r="AB169" i="4"/>
  <c r="AB221" i="4"/>
  <c r="AD274" i="4"/>
  <c r="AD221" i="4"/>
  <c r="AD169" i="4"/>
  <c r="AD117" i="4"/>
  <c r="AD65" i="4"/>
  <c r="AD15" i="4"/>
  <c r="M13" i="7"/>
  <c r="Z281" i="4"/>
  <c r="M12" i="7" a="1"/>
  <c r="Z280" i="4" a="1"/>
  <c r="AB13" i="4" a="1"/>
  <c r="AD273" i="4" a="1"/>
  <c r="AB273" i="4" a="1"/>
  <c r="AB168" i="4" a="1"/>
  <c r="AB116" i="4" a="1"/>
  <c r="AB220" i="4" a="1"/>
  <c r="AD220" i="4" a="1"/>
  <c r="AD116" i="4" a="1"/>
  <c r="AD14" i="4" a="1"/>
  <c r="AB64" i="4" a="1"/>
  <c r="AD64" i="4" a="1"/>
  <c r="AD168" i="4" a="1"/>
  <c r="AB220" i="4" l="1"/>
  <c r="AB168" i="4"/>
  <c r="AB273" i="4"/>
  <c r="AB116" i="4"/>
  <c r="AB64" i="4"/>
  <c r="AB13" i="4"/>
  <c r="AD273" i="4"/>
  <c r="AD220" i="4"/>
  <c r="AD168" i="4"/>
  <c r="AD116" i="4"/>
  <c r="AD64" i="4"/>
  <c r="AD14" i="4"/>
  <c r="M12" i="7"/>
  <c r="Z280" i="4"/>
  <c r="M11" i="7" a="1"/>
  <c r="Z279" i="4" a="1"/>
  <c r="AB219" i="4" a="1"/>
  <c r="AD219" i="4" a="1"/>
  <c r="AD13" i="4" a="1"/>
  <c r="AB272" i="4" a="1"/>
  <c r="AB167" i="4" a="1"/>
  <c r="AB12" i="4" a="1"/>
  <c r="AD115" i="4" a="1"/>
  <c r="AD167" i="4" a="1"/>
  <c r="AB115" i="4" a="1"/>
  <c r="AB63" i="4" a="1"/>
  <c r="AD272" i="4" a="1"/>
  <c r="AD63" i="4" a="1"/>
  <c r="AB12" i="4" l="1"/>
  <c r="AB63" i="4"/>
  <c r="AB115" i="4"/>
  <c r="AB272" i="4"/>
  <c r="AB167" i="4"/>
  <c r="AB219" i="4"/>
  <c r="AD272" i="4"/>
  <c r="AD219" i="4"/>
  <c r="AD167" i="4"/>
  <c r="AD115" i="4"/>
  <c r="AD63" i="4"/>
  <c r="AD13" i="4"/>
  <c r="M11" i="7"/>
  <c r="Z279" i="4"/>
  <c r="M10" i="7" a="1"/>
  <c r="Z278" i="4" a="1"/>
  <c r="AB62" i="4" a="1"/>
  <c r="AD271" i="4" a="1"/>
  <c r="AB11" i="4" a="1"/>
  <c r="AB166" i="4" a="1"/>
  <c r="AD62" i="4" a="1"/>
  <c r="AD218" i="4" a="1"/>
  <c r="AD114" i="4" a="1"/>
  <c r="AB271" i="4" a="1"/>
  <c r="AB218" i="4" a="1"/>
  <c r="AD12" i="4" a="1"/>
  <c r="AD166" i="4" a="1"/>
  <c r="AB114" i="4" a="1"/>
  <c r="AB218" i="4" l="1"/>
  <c r="AB166" i="4"/>
  <c r="AB271" i="4"/>
  <c r="AB114" i="4"/>
  <c r="AB62" i="4"/>
  <c r="AB11" i="4"/>
  <c r="AD271" i="4"/>
  <c r="AD218" i="4"/>
  <c r="AD166" i="4"/>
  <c r="AD114" i="4"/>
  <c r="AD62" i="4"/>
  <c r="AD12" i="4"/>
  <c r="M10" i="7"/>
  <c r="Z278" i="4"/>
  <c r="M9" i="7" a="1"/>
  <c r="Z277" i="4" a="1"/>
  <c r="AB217" i="4" a="1"/>
  <c r="AB113" i="4" a="1"/>
  <c r="AB61" i="4" a="1"/>
  <c r="AD270" i="4" a="1"/>
  <c r="AD217" i="4" a="1"/>
  <c r="AD61" i="4" a="1"/>
  <c r="AD11" i="4" a="1"/>
  <c r="AB270" i="4" a="1"/>
  <c r="AD165" i="4" a="1"/>
  <c r="AD113" i="4" a="1"/>
  <c r="AB165" i="4" a="1"/>
  <c r="AB10" i="4" a="1"/>
  <c r="AB10" i="4" l="1"/>
  <c r="AB61" i="4"/>
  <c r="AB113" i="4"/>
  <c r="AB270" i="4"/>
  <c r="AB165" i="4"/>
  <c r="AB217" i="4"/>
  <c r="AD270" i="4"/>
  <c r="AD217" i="4"/>
  <c r="AD165" i="4"/>
  <c r="AD113" i="4"/>
  <c r="AD61" i="4"/>
  <c r="AD11" i="4"/>
  <c r="M9" i="7"/>
  <c r="Z277" i="4"/>
  <c r="M8" i="7" a="1"/>
  <c r="Z276" i="4" a="1"/>
  <c r="AB9" i="4" a="1"/>
  <c r="AB269" i="4" a="1"/>
  <c r="AB112" i="4" a="1"/>
  <c r="AB164" i="4" a="1"/>
  <c r="AD269" i="4" a="1"/>
  <c r="AD216" i="4" a="1"/>
  <c r="AD164" i="4" a="1"/>
  <c r="AB60" i="4" a="1"/>
  <c r="AB216" i="4" a="1"/>
  <c r="AD10" i="4" a="1"/>
  <c r="AD112" i="4" a="1"/>
  <c r="AD60" i="4" a="1"/>
  <c r="AB216" i="4" l="1"/>
  <c r="AB60" i="4"/>
  <c r="AB164" i="4"/>
  <c r="AB269" i="4"/>
  <c r="AB112" i="4"/>
  <c r="AB9" i="4"/>
  <c r="AD269" i="4"/>
  <c r="AD216" i="4"/>
  <c r="AD164" i="4"/>
  <c r="AD112" i="4"/>
  <c r="AD60" i="4"/>
  <c r="AD10" i="4"/>
  <c r="M8" i="7"/>
  <c r="Z276" i="4"/>
  <c r="M7" i="7" a="1"/>
  <c r="Z275" i="4" a="1"/>
  <c r="AB215" i="4" a="1"/>
  <c r="AD268" i="4" a="1"/>
  <c r="AB268" i="4" a="1"/>
  <c r="AB111" i="4" a="1"/>
  <c r="AD215" i="4" a="1"/>
  <c r="AD9" i="4" a="1"/>
  <c r="AB8" i="4" a="1"/>
  <c r="AB59" i="4" a="1"/>
  <c r="AD111" i="4" a="1"/>
  <c r="AD59" i="4" a="1"/>
  <c r="AD163" i="4" a="1"/>
  <c r="AB163" i="4" a="1"/>
  <c r="AB8" i="4" l="1"/>
  <c r="AB111" i="4"/>
  <c r="AB268" i="4"/>
  <c r="AB163" i="4"/>
  <c r="AB59" i="4"/>
  <c r="AB215" i="4"/>
  <c r="AD268" i="4"/>
  <c r="AD215" i="4"/>
  <c r="AD163" i="4"/>
  <c r="AD111" i="4"/>
  <c r="AD59" i="4"/>
  <c r="AD9" i="4"/>
  <c r="M7" i="7"/>
  <c r="Z275" i="4"/>
  <c r="M6" i="7" a="1"/>
  <c r="Z274" i="4" a="1"/>
  <c r="AB110" i="4" a="1"/>
  <c r="AB267" i="4" a="1"/>
  <c r="AB7" i="4" a="1"/>
  <c r="AB162" i="4" a="1"/>
  <c r="AB214" i="4" a="1"/>
  <c r="AB58" i="4" a="1"/>
  <c r="AD267" i="4" a="1"/>
  <c r="AD214" i="4" a="1"/>
  <c r="AD110" i="4" a="1"/>
  <c r="AD162" i="4" a="1"/>
  <c r="AD58" i="4" a="1"/>
  <c r="AD8" i="4" a="1"/>
  <c r="AB214" i="4" l="1"/>
  <c r="AB58" i="4"/>
  <c r="AB162" i="4"/>
  <c r="AB267" i="4"/>
  <c r="AB110" i="4"/>
  <c r="AB7" i="4"/>
  <c r="AD267" i="4"/>
  <c r="AD214" i="4"/>
  <c r="AD162" i="4"/>
  <c r="AD110" i="4"/>
  <c r="AD58" i="4"/>
  <c r="AD8" i="4"/>
  <c r="M6" i="7"/>
  <c r="Z274" i="4"/>
  <c r="M5" i="7" a="1"/>
  <c r="Z273" i="4" a="1"/>
  <c r="AB161" i="4" a="1"/>
  <c r="AD161" i="4" a="1"/>
  <c r="AB213" i="4" a="1"/>
  <c r="AB266" i="4" a="1"/>
  <c r="AB109" i="4" a="1"/>
  <c r="AB6" i="4" a="1"/>
  <c r="AD266" i="4" a="1"/>
  <c r="AD213" i="4" a="1"/>
  <c r="AB57" i="4" a="1"/>
  <c r="AD7" i="4" a="1"/>
  <c r="AD57" i="4" a="1"/>
  <c r="AD109" i="4" a="1"/>
  <c r="AB109" i="4" l="1"/>
  <c r="AB57" i="4"/>
  <c r="AB6" i="4"/>
  <c r="AB266" i="4"/>
  <c r="AB161" i="4"/>
  <c r="AB213" i="4"/>
  <c r="AD266" i="4"/>
  <c r="AD213" i="4"/>
  <c r="AD161" i="4"/>
  <c r="AD109" i="4"/>
  <c r="AD57" i="4"/>
  <c r="AD7" i="4"/>
  <c r="M5" i="7"/>
  <c r="Z273" i="4"/>
  <c r="M4" i="7" a="1"/>
  <c r="Z272" i="4" a="1"/>
  <c r="AB108" i="4" a="1"/>
  <c r="AB160" i="4" a="1"/>
  <c r="AB56" i="4" a="1"/>
  <c r="AD265" i="4" a="1"/>
  <c r="AB212" i="4" a="1"/>
  <c r="AB265" i="4" a="1"/>
  <c r="AD160" i="4" a="1"/>
  <c r="AD108" i="4" a="1"/>
  <c r="AD56" i="4" a="1"/>
  <c r="AD212" i="4" a="1"/>
  <c r="AB5" i="4" a="1"/>
  <c r="AD6" i="4" a="1"/>
  <c r="AB212" i="4" l="1"/>
  <c r="AB160" i="4"/>
  <c r="AB265" i="4"/>
  <c r="AB5" i="4"/>
  <c r="AB56" i="4"/>
  <c r="AB108" i="4"/>
  <c r="AD265" i="4"/>
  <c r="AD212" i="4"/>
  <c r="AD160" i="4"/>
  <c r="AD108" i="4"/>
  <c r="AD56" i="4"/>
  <c r="AD6" i="4"/>
  <c r="M4" i="7"/>
  <c r="Z272" i="4"/>
  <c r="M3" i="7" a="1"/>
  <c r="Z271" i="4" a="1"/>
  <c r="AB264" i="4" a="1"/>
  <c r="AB4" i="4" a="1"/>
  <c r="AD55" i="4" a="1"/>
  <c r="AD107" i="4" a="1"/>
  <c r="AB159" i="4" a="1"/>
  <c r="AB211" i="4" a="1"/>
  <c r="AD211" i="4" a="1"/>
  <c r="AD159" i="4" a="1"/>
  <c r="AB55" i="4" a="1"/>
  <c r="AD264" i="4" a="1"/>
  <c r="AD5" i="4" a="1"/>
  <c r="AB107" i="4" a="1"/>
  <c r="AB264" i="4" l="1"/>
  <c r="AB107" i="4"/>
  <c r="AB55" i="4"/>
  <c r="AB4" i="4"/>
  <c r="AB159" i="4"/>
  <c r="AB211" i="4"/>
  <c r="AD264" i="4"/>
  <c r="AD211" i="4"/>
  <c r="AD159" i="4"/>
  <c r="AD107" i="4"/>
  <c r="AD55" i="4"/>
  <c r="AD5" i="4"/>
  <c r="M3" i="7"/>
  <c r="Z271" i="4"/>
  <c r="M2" i="7" a="1"/>
  <c r="Z270" i="4" a="1"/>
  <c r="AB54" i="4" a="1"/>
  <c r="AB106" i="4" a="1"/>
  <c r="AB158" i="4" a="1"/>
  <c r="AB3" i="4" a="1"/>
  <c r="AD158" i="4" a="1"/>
  <c r="AB263" i="4" a="1"/>
  <c r="AD106" i="4" a="1"/>
  <c r="AD210" i="4" a="1"/>
  <c r="AD54" i="4" a="1"/>
  <c r="AB210" i="4" a="1"/>
  <c r="AD4" i="4" a="1"/>
  <c r="AD263" i="4" a="1"/>
  <c r="AB210" i="4" l="1"/>
  <c r="AB158" i="4"/>
  <c r="AB3" i="4"/>
  <c r="AB54" i="4"/>
  <c r="AB106" i="4"/>
  <c r="AB263" i="4"/>
  <c r="AD263" i="4"/>
  <c r="AD210" i="4"/>
  <c r="AD158" i="4"/>
  <c r="AD106" i="4"/>
  <c r="AD54" i="4"/>
  <c r="AD4" i="4"/>
  <c r="M2" i="7"/>
  <c r="Z270" i="4"/>
  <c r="Z269" i="4" a="1"/>
  <c r="AB209" i="4" a="1"/>
  <c r="AB105" i="4" a="1"/>
  <c r="AD157" i="4" a="1"/>
  <c r="AB157" i="4" a="1"/>
  <c r="AB2" i="4" a="1"/>
  <c r="AD3" i="4" a="1"/>
  <c r="AB262" i="4" a="1"/>
  <c r="AD209" i="4" a="1"/>
  <c r="AD262" i="4" a="1"/>
  <c r="AD105" i="4" a="1"/>
  <c r="AB262" i="4" l="1"/>
  <c r="AB105" i="4"/>
  <c r="AB2" i="4"/>
  <c r="AB157" i="4"/>
  <c r="AB209" i="4"/>
  <c r="AD262" i="4"/>
  <c r="AD209" i="4"/>
  <c r="AD157" i="4"/>
  <c r="AD105" i="4"/>
  <c r="AD3" i="4"/>
  <c r="Z269" i="4"/>
  <c r="Z268" i="4" a="1"/>
  <c r="AD261" i="4" a="1"/>
  <c r="AB261" i="4" a="1"/>
  <c r="AD2" i="4" a="1"/>
  <c r="AB261" i="4" l="1"/>
  <c r="AD261" i="4"/>
  <c r="AD2" i="4"/>
  <c r="Z268" i="4"/>
  <c r="Z267" i="4" a="1"/>
  <c r="Z267" i="4" l="1"/>
  <c r="Z266" i="4" a="1"/>
  <c r="Z266" i="4" l="1"/>
  <c r="Z265" i="4" a="1"/>
  <c r="Z265" i="4" l="1"/>
  <c r="Z264" i="4" a="1"/>
  <c r="Z257" i="4" a="1"/>
  <c r="Z264" i="4" l="1"/>
  <c r="Z257" i="4"/>
  <c r="Z263" i="4" a="1"/>
  <c r="Z256" i="4" a="1"/>
  <c r="Z263" i="4" l="1"/>
  <c r="Z256" i="4"/>
  <c r="Z262" i="4" a="1"/>
  <c r="Z255" i="4" a="1"/>
  <c r="Z262" i="4" l="1"/>
  <c r="Z255" i="4"/>
  <c r="Z261" i="4" a="1"/>
  <c r="Z254" i="4" a="1"/>
  <c r="Z261" i="4" l="1"/>
  <c r="Z254" i="4"/>
  <c r="Z253" i="4" a="1"/>
  <c r="Z253" i="4" l="1"/>
  <c r="Z252" i="4" a="1"/>
  <c r="Z252" i="4" l="1"/>
  <c r="Z251" i="4" a="1"/>
  <c r="Z251" i="4" l="1"/>
  <c r="Z250" i="4" a="1"/>
  <c r="Z250" i="4" l="1"/>
  <c r="Z249" i="4" a="1"/>
  <c r="Z249" i="4" l="1"/>
  <c r="Z248" i="4" a="1"/>
  <c r="Z248" i="4" l="1"/>
  <c r="Z247" i="4" a="1"/>
  <c r="Z247" i="4" l="1"/>
  <c r="Z246" i="4" a="1"/>
  <c r="Z246" i="4" l="1"/>
  <c r="Z245" i="4" a="1"/>
  <c r="Z245" i="4" l="1"/>
  <c r="Z244" i="4" a="1"/>
  <c r="Z244" i="4" l="1"/>
  <c r="Z243" i="4" a="1"/>
  <c r="Z243" i="4" l="1"/>
  <c r="Z242" i="4" a="1"/>
  <c r="Z242" i="4" l="1"/>
  <c r="Z241" i="4" a="1"/>
  <c r="Z241" i="4" l="1"/>
  <c r="Z240" i="4" a="1"/>
  <c r="Z240" i="4" l="1"/>
  <c r="Z239" i="4" a="1"/>
  <c r="Z239" i="4" l="1"/>
  <c r="Z238" i="4" a="1"/>
  <c r="Z238" i="4" l="1"/>
  <c r="Z237" i="4" a="1"/>
  <c r="Z237" i="4" l="1"/>
  <c r="Z236" i="4" a="1"/>
  <c r="Z236" i="4" l="1"/>
  <c r="Z235" i="4" a="1"/>
  <c r="Z235" i="4" l="1"/>
  <c r="Z234" i="4" a="1"/>
  <c r="Z234" i="4" l="1"/>
  <c r="Z233" i="4" a="1"/>
  <c r="Z233" i="4" l="1"/>
  <c r="Z232" i="4" a="1"/>
  <c r="Z232" i="4" l="1"/>
  <c r="Z231" i="4" a="1"/>
  <c r="Z231" i="4" l="1"/>
  <c r="Z230" i="4" a="1"/>
  <c r="Z230" i="4" l="1"/>
  <c r="Z229" i="4" a="1"/>
  <c r="Z229" i="4" l="1"/>
  <c r="Z228" i="4" a="1"/>
  <c r="Z228" i="4" l="1"/>
  <c r="Z227" i="4" a="1"/>
  <c r="Z227" i="4" l="1"/>
  <c r="Z226" i="4" a="1"/>
  <c r="Z226" i="4" l="1"/>
  <c r="Z225" i="4" a="1"/>
  <c r="Z225" i="4" l="1"/>
  <c r="Z224" i="4" a="1"/>
  <c r="Z224" i="4" l="1"/>
  <c r="Z223" i="4" a="1"/>
  <c r="Z223" i="4" l="1"/>
  <c r="Z222" i="4" a="1"/>
  <c r="Z222" i="4" l="1"/>
  <c r="Z221" i="4" a="1"/>
  <c r="Z221" i="4" l="1"/>
  <c r="Z220" i="4" a="1"/>
  <c r="Z220" i="4" l="1"/>
  <c r="Z219" i="4" a="1"/>
  <c r="Z219" i="4" l="1"/>
  <c r="Z218" i="4" a="1"/>
  <c r="Z218" i="4" l="1"/>
  <c r="Z217" i="4" a="1"/>
  <c r="Z217" i="4" l="1"/>
  <c r="Z216" i="4" a="1"/>
  <c r="Z216" i="4" l="1"/>
  <c r="Z215" i="4" a="1"/>
  <c r="Z215" i="4" l="1"/>
  <c r="Z214" i="4" a="1"/>
  <c r="Z214" i="4" l="1"/>
  <c r="Z213" i="4" a="1"/>
  <c r="Z213" i="4" l="1"/>
  <c r="Z212" i="4" a="1"/>
  <c r="Z212" i="4" l="1"/>
  <c r="Z211" i="4" a="1"/>
  <c r="Z211" i="4" l="1"/>
  <c r="Z210" i="4" a="1"/>
  <c r="Z210" i="4" l="1"/>
  <c r="Z209" i="4" a="1"/>
  <c r="Z209" i="4" l="1"/>
  <c r="Z205" i="4" a="1"/>
  <c r="Z205" i="4" l="1"/>
  <c r="Z204" i="4" a="1"/>
  <c r="Z204" i="4" l="1"/>
  <c r="Z203" i="4" a="1"/>
  <c r="Z203" i="4" l="1"/>
  <c r="Z202" i="4" a="1"/>
  <c r="Z202" i="4" l="1"/>
  <c r="Z201" i="4" a="1"/>
  <c r="Z201" i="4" l="1"/>
  <c r="Z200" i="4" a="1"/>
  <c r="Z200" i="4" l="1"/>
  <c r="Z199" i="4" a="1"/>
  <c r="Z199" i="4" l="1"/>
  <c r="Z198" i="4" a="1"/>
  <c r="Z198" i="4" l="1"/>
  <c r="Z197" i="4" a="1"/>
  <c r="Z197" i="4" l="1"/>
  <c r="Z196" i="4" a="1"/>
  <c r="Z196" i="4" l="1"/>
  <c r="Z195" i="4" a="1"/>
  <c r="Z195" i="4" l="1"/>
  <c r="Z194" i="4" a="1"/>
  <c r="Z194" i="4" l="1"/>
  <c r="Z193" i="4" a="1"/>
  <c r="Z193" i="4" l="1"/>
  <c r="Z192" i="4" a="1"/>
  <c r="Z192" i="4" l="1"/>
  <c r="Z191" i="4" a="1"/>
  <c r="Z191" i="4" l="1"/>
  <c r="Z190" i="4" a="1"/>
  <c r="Z190" i="4" l="1"/>
  <c r="Z189" i="4" a="1"/>
  <c r="Z189" i="4" l="1"/>
  <c r="Z188" i="4" a="1"/>
  <c r="Z188" i="4" l="1"/>
  <c r="Z187" i="4" a="1"/>
  <c r="Z187" i="4" l="1"/>
  <c r="Z186" i="4" a="1"/>
  <c r="Z186" i="4" l="1"/>
  <c r="Z185" i="4" a="1"/>
  <c r="Z185" i="4" l="1"/>
  <c r="Z184" i="4" a="1"/>
  <c r="Z184" i="4" l="1"/>
  <c r="Z183" i="4" a="1"/>
  <c r="Z183" i="4" l="1"/>
  <c r="Z182" i="4" a="1"/>
  <c r="Z182" i="4" l="1"/>
  <c r="Z181" i="4" a="1"/>
  <c r="Z181" i="4" l="1"/>
  <c r="Z180" i="4" a="1"/>
  <c r="Z180" i="4" l="1"/>
  <c r="Z179" i="4" a="1"/>
  <c r="Z179" i="4" l="1"/>
  <c r="Z178" i="4" a="1"/>
  <c r="Z178" i="4" l="1"/>
  <c r="Z177" i="4" a="1"/>
  <c r="Z177" i="4" l="1"/>
  <c r="Z176" i="4" a="1"/>
  <c r="Z176" i="4" l="1"/>
  <c r="Z175" i="4" a="1"/>
  <c r="Z175" i="4" l="1"/>
  <c r="Z174" i="4" a="1"/>
  <c r="Z174" i="4" l="1"/>
  <c r="Z173" i="4" a="1"/>
  <c r="Z173" i="4" l="1"/>
  <c r="Z172" i="4" a="1"/>
  <c r="Z172" i="4" l="1"/>
  <c r="Z171" i="4" a="1"/>
  <c r="Z171" i="4" l="1"/>
  <c r="Z170" i="4" a="1"/>
  <c r="Z170" i="4" l="1"/>
  <c r="Z169" i="4" a="1"/>
  <c r="Z169" i="4" l="1"/>
  <c r="Z168" i="4" a="1"/>
  <c r="Z168" i="4" l="1"/>
  <c r="Z167" i="4" a="1"/>
  <c r="Z167" i="4" l="1"/>
  <c r="Z166" i="4" a="1"/>
  <c r="Z166" i="4" l="1"/>
  <c r="Z165" i="4" a="1"/>
  <c r="Z165" i="4" l="1"/>
  <c r="Z164" i="4" a="1"/>
  <c r="Z164" i="4" l="1"/>
  <c r="Z163" i="4" a="1"/>
  <c r="Z163" i="4" l="1"/>
  <c r="Z162" i="4" a="1"/>
  <c r="Z162" i="4" l="1"/>
  <c r="Z161" i="4" a="1"/>
  <c r="Z161" i="4" l="1"/>
  <c r="Z160" i="4" a="1"/>
  <c r="Z160" i="4" l="1"/>
  <c r="Z159" i="4" a="1"/>
  <c r="Z159" i="4" l="1"/>
  <c r="Z158" i="4" a="1"/>
  <c r="Z158" i="4" l="1"/>
  <c r="Z157" i="4" a="1"/>
  <c r="Z157" i="4" l="1"/>
  <c r="Z153" i="4" a="1"/>
  <c r="Z153" i="4" l="1"/>
  <c r="Z152" i="4" a="1"/>
  <c r="Z152" i="4" l="1"/>
  <c r="Z151" i="4" a="1"/>
  <c r="Z151" i="4" l="1"/>
  <c r="Z150" i="4" a="1"/>
  <c r="Z150" i="4" l="1"/>
  <c r="Z149" i="4" a="1"/>
  <c r="Z149" i="4" l="1"/>
  <c r="Z148" i="4" a="1"/>
  <c r="Z148" i="4" l="1"/>
  <c r="Z147" i="4" a="1"/>
  <c r="Z147" i="4" l="1"/>
  <c r="Z146" i="4" a="1"/>
  <c r="Z146" i="4" l="1"/>
  <c r="Z145" i="4" a="1"/>
  <c r="Z145" i="4" l="1"/>
  <c r="Z144" i="4" a="1"/>
  <c r="Z144" i="4" l="1"/>
  <c r="Z143" i="4" a="1"/>
  <c r="Z143" i="4" l="1"/>
  <c r="Z142" i="4" a="1"/>
  <c r="Z142" i="4" l="1"/>
  <c r="Z141" i="4" a="1"/>
  <c r="Z141" i="4" l="1"/>
  <c r="Z140" i="4" a="1"/>
  <c r="Z140" i="4" l="1"/>
  <c r="Z139" i="4" a="1"/>
  <c r="Z139" i="4" l="1"/>
  <c r="Z138" i="4" a="1"/>
  <c r="Z138" i="4" l="1"/>
  <c r="Z137" i="4" a="1"/>
  <c r="Z137" i="4" l="1"/>
  <c r="Z136" i="4" a="1"/>
  <c r="Z136" i="4" l="1"/>
  <c r="Z135" i="4" a="1"/>
  <c r="Z135" i="4" l="1"/>
  <c r="Z134" i="4" a="1"/>
  <c r="Z134" i="4" l="1"/>
  <c r="Z133" i="4" a="1"/>
  <c r="Z133" i="4" l="1"/>
  <c r="Z132" i="4" a="1"/>
  <c r="Z132" i="4" l="1"/>
  <c r="Z131" i="4" a="1"/>
  <c r="Z131" i="4" l="1"/>
  <c r="Z130" i="4" a="1"/>
  <c r="Z130" i="4" l="1"/>
  <c r="Z129" i="4" a="1"/>
  <c r="Z129" i="4" l="1"/>
  <c r="Z128" i="4" a="1"/>
  <c r="Z128" i="4" l="1"/>
  <c r="Z127" i="4" a="1"/>
  <c r="Z127" i="4" l="1"/>
  <c r="Z126" i="4" a="1"/>
  <c r="Z126" i="4" l="1"/>
  <c r="Z125" i="4" a="1"/>
  <c r="Z125" i="4" l="1"/>
  <c r="Z124" i="4" a="1"/>
  <c r="Z124" i="4" l="1"/>
  <c r="Z123" i="4" a="1"/>
  <c r="Z123" i="4" l="1"/>
  <c r="Z122" i="4" a="1"/>
  <c r="Z122" i="4" l="1"/>
  <c r="Z121" i="4" a="1"/>
  <c r="Z121" i="4" l="1"/>
  <c r="Z120" i="4" a="1"/>
  <c r="Z120" i="4" l="1"/>
  <c r="Z119" i="4" a="1"/>
  <c r="Z119" i="4" l="1"/>
  <c r="Z118" i="4" a="1"/>
  <c r="Z118" i="4" l="1"/>
  <c r="Z117" i="4" a="1"/>
  <c r="Z117" i="4" l="1"/>
  <c r="Z116" i="4" a="1"/>
  <c r="Z116" i="4" l="1"/>
  <c r="Z115" i="4" a="1"/>
  <c r="Z115" i="4" l="1"/>
  <c r="Z114" i="4" a="1"/>
  <c r="Z114" i="4" l="1"/>
  <c r="Z113" i="4" a="1"/>
  <c r="Z113" i="4" l="1"/>
  <c r="Z112" i="4" a="1"/>
  <c r="Z112" i="4" l="1"/>
  <c r="Z111" i="4" a="1"/>
  <c r="Z111" i="4" l="1"/>
  <c r="Z110" i="4" a="1"/>
  <c r="Z110" i="4" l="1"/>
  <c r="Z109" i="4" a="1"/>
  <c r="Z109" i="4" l="1"/>
  <c r="Z108" i="4" a="1"/>
  <c r="Z108" i="4" l="1"/>
  <c r="Z107" i="4" a="1"/>
  <c r="Z107" i="4" l="1"/>
  <c r="Z106" i="4" a="1"/>
  <c r="Z106" i="4" l="1"/>
  <c r="Z105" i="4" a="1"/>
  <c r="Z105" i="4" l="1"/>
  <c r="Z101" i="4" a="1"/>
  <c r="Z101" i="4" l="1"/>
  <c r="Z100" i="4" a="1"/>
  <c r="Z100" i="4" l="1"/>
  <c r="Z99" i="4" a="1"/>
  <c r="Z99" i="4" l="1"/>
  <c r="Z98" i="4" a="1"/>
  <c r="Z98" i="4" l="1"/>
  <c r="Z97" i="4" a="1"/>
  <c r="Z97" i="4" l="1"/>
  <c r="Z96" i="4" a="1"/>
  <c r="Z96" i="4" l="1"/>
  <c r="Z95" i="4" a="1"/>
  <c r="Z95" i="4" l="1"/>
  <c r="Z94" i="4" a="1"/>
  <c r="Z94" i="4" l="1"/>
  <c r="Z93" i="4" a="1"/>
  <c r="Z93" i="4" l="1"/>
  <c r="Z92" i="4" a="1"/>
  <c r="Z92" i="4" l="1"/>
  <c r="Z91" i="4" a="1"/>
  <c r="Z91" i="4" l="1"/>
  <c r="Z90" i="4" a="1"/>
  <c r="Z90" i="4" l="1"/>
  <c r="Z89" i="4" a="1"/>
  <c r="Z89" i="4" l="1"/>
  <c r="Z88" i="4" a="1"/>
  <c r="Z88" i="4" l="1"/>
  <c r="Z87" i="4" a="1"/>
  <c r="Z87" i="4" l="1"/>
  <c r="Z86" i="4" a="1"/>
  <c r="Z86" i="4" l="1"/>
  <c r="Z85" i="4" a="1"/>
  <c r="Z85" i="4" l="1"/>
  <c r="Z84" i="4" a="1"/>
  <c r="Z84" i="4" l="1"/>
  <c r="Z83" i="4" a="1"/>
  <c r="Z83" i="4" l="1"/>
  <c r="Z82" i="4" a="1"/>
  <c r="Z82" i="4" l="1"/>
  <c r="Z81" i="4" a="1"/>
  <c r="Z81" i="4" l="1"/>
  <c r="Z80" i="4" a="1"/>
  <c r="Z80" i="4" l="1"/>
  <c r="Z79" i="4" a="1"/>
  <c r="Z79" i="4" l="1"/>
  <c r="Z78" i="4" a="1"/>
  <c r="Z78" i="4" l="1"/>
  <c r="Z77" i="4" a="1"/>
  <c r="Z77" i="4" l="1"/>
  <c r="Z76" i="4" a="1"/>
  <c r="Z76" i="4" l="1"/>
  <c r="Z75" i="4" a="1"/>
  <c r="Z75" i="4" l="1"/>
  <c r="Z74" i="4" a="1"/>
  <c r="Z74" i="4" l="1"/>
  <c r="Z73" i="4" a="1"/>
  <c r="Z73" i="4" l="1"/>
  <c r="Z72" i="4" a="1"/>
  <c r="Z72" i="4" l="1"/>
  <c r="Z71" i="4" a="1"/>
  <c r="Z71" i="4" l="1"/>
  <c r="Z70" i="4" a="1"/>
  <c r="Z70" i="4" l="1"/>
  <c r="Z69" i="4" a="1"/>
  <c r="Z69" i="4" l="1"/>
  <c r="Z68" i="4" a="1"/>
  <c r="Z68" i="4" l="1"/>
  <c r="Z67" i="4" a="1"/>
  <c r="Z67" i="4" l="1"/>
  <c r="Z66" i="4" a="1"/>
  <c r="Z66" i="4" l="1"/>
  <c r="Z65" i="4" a="1"/>
  <c r="Z65" i="4" l="1"/>
  <c r="Z64" i="4" a="1"/>
  <c r="Z64" i="4" l="1"/>
  <c r="Z63" i="4" a="1"/>
  <c r="Z63" i="4" l="1"/>
  <c r="Z62" i="4" a="1"/>
  <c r="Z62" i="4" l="1"/>
  <c r="Z61" i="4" a="1"/>
  <c r="Z61" i="4" l="1"/>
  <c r="Z60" i="4" a="1"/>
  <c r="Z60" i="4" l="1"/>
  <c r="Z59" i="4" a="1"/>
  <c r="Z59" i="4" l="1"/>
  <c r="Z58" i="4" a="1"/>
  <c r="Z58" i="4" l="1"/>
  <c r="Z57" i="4" a="1"/>
  <c r="Z57" i="4" l="1"/>
  <c r="Z56" i="4" a="1"/>
  <c r="Z56" i="4" l="1"/>
  <c r="Z55" i="4" a="1"/>
  <c r="Z55" i="4" l="1"/>
  <c r="Z54" i="4" a="1"/>
  <c r="Z54" i="4" l="1"/>
  <c r="Z50" i="4" a="1"/>
  <c r="Z50" i="4" l="1"/>
  <c r="Z49" i="4" a="1"/>
  <c r="Z49" i="4" l="1"/>
  <c r="Z48" i="4" a="1"/>
  <c r="Z48" i="4" l="1"/>
  <c r="Z47" i="4" a="1"/>
  <c r="Z47" i="4" l="1"/>
  <c r="Z46" i="4" a="1"/>
  <c r="Z46" i="4" l="1"/>
  <c r="Z45" i="4" a="1"/>
  <c r="Z45" i="4" l="1"/>
  <c r="Z44" i="4" a="1"/>
  <c r="Z44" i="4" l="1"/>
  <c r="Z43" i="4" a="1"/>
  <c r="Z43" i="4" l="1"/>
  <c r="Z42" i="4" a="1"/>
  <c r="Z42" i="4" l="1"/>
  <c r="Z41" i="4" a="1"/>
  <c r="Z41" i="4" l="1"/>
  <c r="Z40" i="4" a="1"/>
  <c r="Z40" i="4" l="1"/>
  <c r="Z39" i="4" a="1"/>
  <c r="Z39" i="4" l="1"/>
  <c r="Z38" i="4" a="1"/>
  <c r="Z38" i="4" l="1"/>
  <c r="Z37" i="4" a="1"/>
  <c r="Z37" i="4" l="1"/>
  <c r="Z36" i="4" a="1"/>
  <c r="Z36" i="4" l="1"/>
  <c r="Z35" i="4" a="1"/>
  <c r="Z35" i="4" l="1"/>
  <c r="Z34" i="4" a="1"/>
  <c r="Z34" i="4" l="1"/>
  <c r="Z33" i="4" a="1"/>
  <c r="Z33" i="4" l="1"/>
  <c r="Z32" i="4" a="1"/>
  <c r="Z32" i="4" l="1"/>
  <c r="Z31" i="4" a="1"/>
  <c r="Z31" i="4" l="1"/>
  <c r="Z30" i="4" a="1"/>
  <c r="Z30" i="4" l="1"/>
  <c r="Z29" i="4" a="1"/>
  <c r="Z29" i="4" l="1"/>
  <c r="Z28" i="4" a="1"/>
  <c r="Z28" i="4" l="1"/>
  <c r="Z27" i="4" a="1"/>
  <c r="Z27" i="4" l="1"/>
  <c r="Z26" i="4" a="1"/>
  <c r="Z26" i="4" l="1"/>
  <c r="Z25" i="4" a="1"/>
  <c r="Z25" i="4" l="1"/>
  <c r="Z24" i="4" a="1"/>
  <c r="Z24" i="4" l="1"/>
  <c r="Z23" i="4" a="1"/>
  <c r="Z23" i="4" l="1"/>
  <c r="Z22" i="4" a="1"/>
  <c r="Z22" i="4" l="1"/>
  <c r="Z21" i="4" a="1"/>
  <c r="Z21" i="4" l="1"/>
  <c r="Z20" i="4" a="1"/>
  <c r="Z20" i="4" l="1"/>
  <c r="Z19" i="4" a="1"/>
  <c r="Z19" i="4" l="1"/>
  <c r="Z18" i="4" a="1"/>
  <c r="Z18" i="4" l="1"/>
  <c r="Z17" i="4" a="1"/>
  <c r="Z17" i="4" l="1"/>
  <c r="Z16" i="4" a="1"/>
  <c r="Z16" i="4" l="1"/>
  <c r="Z15" i="4" a="1"/>
  <c r="Z15" i="4" l="1"/>
  <c r="Z14" i="4" a="1"/>
  <c r="Z14" i="4" l="1"/>
  <c r="Z13" i="4" a="1"/>
  <c r="Z13" i="4" l="1"/>
  <c r="Z12" i="4" a="1"/>
  <c r="Z12" i="4" l="1"/>
  <c r="Z11" i="4" a="1"/>
  <c r="Z11" i="4" l="1"/>
  <c r="Z10" i="4" a="1"/>
  <c r="Z10" i="4" l="1"/>
  <c r="Z9" i="4" a="1"/>
  <c r="Z9" i="4" l="1"/>
  <c r="Z8" i="4" a="1"/>
  <c r="Z8" i="4" l="1"/>
  <c r="Z7" i="4" a="1"/>
  <c r="Z7" i="4" l="1"/>
  <c r="Z6" i="4" a="1"/>
  <c r="Z6" i="4" l="1"/>
  <c r="Z5" i="4" a="1"/>
  <c r="Z5" i="4" l="1"/>
  <c r="Z4" i="4" a="1"/>
  <c r="Z4" i="4" l="1"/>
  <c r="Z3" i="4" a="1"/>
  <c r="Z3" i="4" l="1"/>
  <c r="Z2" i="4" a="1"/>
  <c r="Z2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<sst xmlns="http://schemas.openxmlformats.org/spreadsheetml/2006/main" count="3264" uniqueCount="1516">
  <si>
    <t>Herr</t>
  </si>
  <si>
    <t>Lukas</t>
  </si>
  <si>
    <t>Müller</t>
  </si>
  <si>
    <t>Frau</t>
  </si>
  <si>
    <t>Julia</t>
  </si>
  <si>
    <t>Schmidt</t>
  </si>
  <si>
    <t>David</t>
  </si>
  <si>
    <t>Wagner</t>
  </si>
  <si>
    <t>Laura</t>
  </si>
  <si>
    <t>Richter</t>
  </si>
  <si>
    <t>Tobias</t>
  </si>
  <si>
    <t>Keller</t>
  </si>
  <si>
    <t>Vanessa</t>
  </si>
  <si>
    <t>Schmitt</t>
  </si>
  <si>
    <t>Simon</t>
  </si>
  <si>
    <t>Koch</t>
  </si>
  <si>
    <t>Sarah</t>
  </si>
  <si>
    <t>Mayer</t>
  </si>
  <si>
    <t>Jan</t>
  </si>
  <si>
    <t>Becker</t>
  </si>
  <si>
    <t>Lisa</t>
  </si>
  <si>
    <t>Lehmann</t>
  </si>
  <si>
    <t>Marco</t>
  </si>
  <si>
    <t>Schuster</t>
  </si>
  <si>
    <t>Isabelle</t>
  </si>
  <si>
    <t>Braun</t>
  </si>
  <si>
    <t>Julian</t>
  </si>
  <si>
    <t>Zimmermann</t>
  </si>
  <si>
    <t>Denise</t>
  </si>
  <si>
    <t>Hartmann</t>
  </si>
  <si>
    <t>Kevin</t>
  </si>
  <si>
    <t>Lang</t>
  </si>
  <si>
    <t>Sabrina</t>
  </si>
  <si>
    <t>Günther</t>
  </si>
  <si>
    <t>Nico</t>
  </si>
  <si>
    <t>Meier</t>
  </si>
  <si>
    <t>Sophie</t>
  </si>
  <si>
    <t>Haas</t>
  </si>
  <si>
    <t>Robert</t>
  </si>
  <si>
    <t>Vogel</t>
  </si>
  <si>
    <t>Jasmin</t>
  </si>
  <si>
    <t>Fuchs</t>
  </si>
  <si>
    <t>Roth</t>
  </si>
  <si>
    <t>Anna</t>
  </si>
  <si>
    <t>Berger</t>
  </si>
  <si>
    <t>Timo</t>
  </si>
  <si>
    <t>Friedrich</t>
  </si>
  <si>
    <t>Michelle</t>
  </si>
  <si>
    <t>Daniel</t>
  </si>
  <si>
    <t>Huber</t>
  </si>
  <si>
    <t>Maria</t>
  </si>
  <si>
    <t>Schulz</t>
  </si>
  <si>
    <t>Felix</t>
  </si>
  <si>
    <t>Sandra</t>
  </si>
  <si>
    <t>Marvin</t>
  </si>
  <si>
    <t>Hoffmann</t>
  </si>
  <si>
    <t>Christina</t>
  </si>
  <si>
    <t>Jonas</t>
  </si>
  <si>
    <t>Herrmann</t>
  </si>
  <si>
    <t>Matthias</t>
  </si>
  <si>
    <t>Carolin</t>
  </si>
  <si>
    <t>Michael</t>
  </si>
  <si>
    <t>Patrick</t>
  </si>
  <si>
    <t>Alexander</t>
  </si>
  <si>
    <t>Christian</t>
  </si>
  <si>
    <t>Stefanie</t>
  </si>
  <si>
    <t>Sebastian</t>
  </si>
  <si>
    <t>Katharina</t>
  </si>
  <si>
    <t>Manuel</t>
  </si>
  <si>
    <t>Andrea</t>
  </si>
  <si>
    <t>Nadine</t>
  </si>
  <si>
    <t>Stefan</t>
  </si>
  <si>
    <t>Tanja</t>
  </si>
  <si>
    <t>Florian</t>
  </si>
  <si>
    <t>Lena</t>
  </si>
  <si>
    <t>Nicole</t>
  </si>
  <si>
    <t>Sophia</t>
  </si>
  <si>
    <t>Fabian</t>
  </si>
  <si>
    <t>Mia</t>
  </si>
  <si>
    <t>Schneider</t>
  </si>
  <si>
    <t>Leo</t>
  </si>
  <si>
    <t>Emilia</t>
  </si>
  <si>
    <t>Weber</t>
  </si>
  <si>
    <t>Maximilian</t>
  </si>
  <si>
    <t>Johanna</t>
  </si>
  <si>
    <t>Schwarz</t>
  </si>
  <si>
    <t>Finn</t>
  </si>
  <si>
    <t>Fischer</t>
  </si>
  <si>
    <t>Leonie</t>
  </si>
  <si>
    <t>Hofmann</t>
  </si>
  <si>
    <t>Wolf</t>
  </si>
  <si>
    <t>Charlotte</t>
  </si>
  <si>
    <t>Samuel</t>
  </si>
  <si>
    <t>Sommer</t>
  </si>
  <si>
    <t>Lina</t>
  </si>
  <si>
    <t>Vogt</t>
  </si>
  <si>
    <t>Emil</t>
  </si>
  <si>
    <t>Amelie</t>
  </si>
  <si>
    <t>Schumacher</t>
  </si>
  <si>
    <t>Anton</t>
  </si>
  <si>
    <t>Elisa</t>
  </si>
  <si>
    <t>Vincent</t>
  </si>
  <si>
    <t>Clara</t>
  </si>
  <si>
    <t>Elias</t>
  </si>
  <si>
    <t>Paula</t>
  </si>
  <si>
    <t>Jung</t>
  </si>
  <si>
    <t>Theresa</t>
  </si>
  <si>
    <t>Jonathan</t>
  </si>
  <si>
    <t>Franke</t>
  </si>
  <si>
    <t>Winkler</t>
  </si>
  <si>
    <t>Hanna</t>
  </si>
  <si>
    <t>Schreiber</t>
  </si>
  <si>
    <t>Sauer</t>
  </si>
  <si>
    <t>Marlene</t>
  </si>
  <si>
    <t>Brandt</t>
  </si>
  <si>
    <t>Schmidt-Richter</t>
  </si>
  <si>
    <t>Johanna-Marie</t>
  </si>
  <si>
    <t>Becker-Müller</t>
  </si>
  <si>
    <t>Finn-Luca</t>
  </si>
  <si>
    <t>Richter-Weber</t>
  </si>
  <si>
    <t>Mia-Sophie</t>
  </si>
  <si>
    <t>Schneider-Hofmann</t>
  </si>
  <si>
    <t>Leo-Nicolas</t>
  </si>
  <si>
    <t>Müller-Weber</t>
  </si>
  <si>
    <t>Emilia-Maria</t>
  </si>
  <si>
    <t>Weber-Schwarz</t>
  </si>
  <si>
    <t>Maximilian-Josef</t>
  </si>
  <si>
    <t>Wagner-Fischer</t>
  </si>
  <si>
    <t>Johanna-Lena</t>
  </si>
  <si>
    <t>Schwarz-Hofmann</t>
  </si>
  <si>
    <t>Finn-Oskar</t>
  </si>
  <si>
    <t>Fischer-Müller</t>
  </si>
  <si>
    <t>Leonie-Sophie</t>
  </si>
  <si>
    <t>Hofmann-Schmidt</t>
  </si>
  <si>
    <t>Maximilian-Noah</t>
  </si>
  <si>
    <t>Wolf-Mayer</t>
  </si>
  <si>
    <t>Charlotte-Emilie</t>
  </si>
  <si>
    <t>Herrmann-Sommer</t>
  </si>
  <si>
    <t>Samuel-Elias</t>
  </si>
  <si>
    <t>Sommer-Jung</t>
  </si>
  <si>
    <t>Lina-Marie</t>
  </si>
  <si>
    <t>Vogt-Bauer</t>
  </si>
  <si>
    <t>Emil-Finn</t>
  </si>
  <si>
    <t>Lehmann-Franke</t>
  </si>
  <si>
    <t>Amelie-Sophie</t>
  </si>
  <si>
    <t>Schumacher-Winkler</t>
  </si>
  <si>
    <t>Anton-Felix</t>
  </si>
  <si>
    <t>Schuster-Vogel</t>
  </si>
  <si>
    <t>Elisa-Marie</t>
  </si>
  <si>
    <t>Zimmermann-Schreiber</t>
  </si>
  <si>
    <t>Vincent-Paul</t>
  </si>
  <si>
    <t>Günther-Sauer</t>
  </si>
  <si>
    <t>Clara-Emilia</t>
  </si>
  <si>
    <t>Meier-Brandt</t>
  </si>
  <si>
    <t>Deutsche Bank</t>
  </si>
  <si>
    <t>Deutsche Bank Berlin Mitte</t>
  </si>
  <si>
    <t>DEUTDEBBXXX</t>
  </si>
  <si>
    <t>10117 Berlin, Friedrichstraße 181</t>
  </si>
  <si>
    <t>Deutsche Bank Berlin Alexanderplatz</t>
  </si>
  <si>
    <t>10178 Berlin, Alexanderplatz 2</t>
  </si>
  <si>
    <t>Deutsche Bank Berlin Charlottenburg</t>
  </si>
  <si>
    <t>10623 Berlin, Kurfürstendamm 21</t>
  </si>
  <si>
    <t>Deutsche Bank Berlin Prenzlauer Berg</t>
  </si>
  <si>
    <t>10435 Berlin, Schönhauser Allee 52</t>
  </si>
  <si>
    <t>Deutsche Bank Berlin Friedrichshain</t>
  </si>
  <si>
    <t>10245 Berlin, Frankfurter Allee 77</t>
  </si>
  <si>
    <t>Deutsche Bank Berlin Neukölln</t>
  </si>
  <si>
    <t>12047 Berlin, Hermannstraße 60</t>
  </si>
  <si>
    <t>Deutsche Bank Berlin Kreuzberg</t>
  </si>
  <si>
    <t>10969 Berlin, Friedrichstraße 189</t>
  </si>
  <si>
    <t>Deutsche Bank Berlin Wedding</t>
  </si>
  <si>
    <t>13353 Berlin, Müllerstraße 159</t>
  </si>
  <si>
    <t>Deutsche Bank Berlin Spandau</t>
  </si>
  <si>
    <t>13597 Berlin, Klosterstraße 18</t>
  </si>
  <si>
    <t>Deutsche Bank Berlin Steglitz</t>
  </si>
  <si>
    <t>12165 Berlin, Schloßstraße 10</t>
  </si>
  <si>
    <t>Berliner Sparkasse</t>
  </si>
  <si>
    <t>Berliner Sparkasse Mitte</t>
  </si>
  <si>
    <t>BELADEBEXXX</t>
  </si>
  <si>
    <t>10115 Berlin, Karl-Liebknecht-Straße 5</t>
  </si>
  <si>
    <t>Berliner Sparkasse Alexanderplatz</t>
  </si>
  <si>
    <t>10178 Berlin, Alexanderplatz 8</t>
  </si>
  <si>
    <t>Berliner Sparkasse Prenzlauer Berg</t>
  </si>
  <si>
    <t>10405 Berlin, Schönhauser Allee 89</t>
  </si>
  <si>
    <t>Berliner Sparkasse Charlottenburg</t>
  </si>
  <si>
    <t>10623 Berlin, Kantstraße 129</t>
  </si>
  <si>
    <t>Berliner Sparkasse Friedrichshain</t>
  </si>
  <si>
    <t>10245 Berlin, Boxhagener Straße 76</t>
  </si>
  <si>
    <t>Berliner Sparkasse Neukölln</t>
  </si>
  <si>
    <t>12043 Berlin, Karl-Marx-Straße 15</t>
  </si>
  <si>
    <t>Berliner Sparkasse Kreuzberg</t>
  </si>
  <si>
    <t>10961 Berlin, Yorckstraße 12</t>
  </si>
  <si>
    <t>Berliner Sparkasse Wedding</t>
  </si>
  <si>
    <t>13353 Berlin, Badstraße 44</t>
  </si>
  <si>
    <t>Berliner Sparkasse Spandau</t>
  </si>
  <si>
    <t>13597 Berlin, Klosterstraße 3</t>
  </si>
  <si>
    <t>Berliner Sparkasse Steglitz</t>
  </si>
  <si>
    <t>12163 Berlin, Schloßstraße 42</t>
  </si>
  <si>
    <t>Berliner Sparkasse Reinickendorf</t>
  </si>
  <si>
    <t>13403 Berlin, Eichborndamm 245</t>
  </si>
  <si>
    <t>Berliner Sparkasse Tempelhof</t>
  </si>
  <si>
    <t>12103 Berlin, Tempelhofer Damm 202</t>
  </si>
  <si>
    <t>Berliner Sparkasse Lichtenberg</t>
  </si>
  <si>
    <t>10365 Berlin, Frankfurter Allee 238</t>
  </si>
  <si>
    <t>Berliner Sparkasse Marzahn</t>
  </si>
  <si>
    <t>12685 Berlin, Märkische Allee 176</t>
  </si>
  <si>
    <t>13581 Berlin, Am Bahnhof Spandau 5</t>
  </si>
  <si>
    <t>Berliner Sparkasse Köpenick</t>
  </si>
  <si>
    <t>12555 Berlin, Bahnhofstraße 33</t>
  </si>
  <si>
    <t>Berliner Sparkasse Dahlem</t>
  </si>
  <si>
    <t>14195 Berlin, Königin-Luise-Straße 20</t>
  </si>
  <si>
    <t>Berliner Sparkasse Zehlendorf</t>
  </si>
  <si>
    <t>14169 Berlin, Teltower Damm 14</t>
  </si>
  <si>
    <t>Berliner Sparkasse Buch</t>
  </si>
  <si>
    <t>13125 Berlin, Berliner Straße 40</t>
  </si>
  <si>
    <t>Berliner Sparkasse Tegel</t>
  </si>
  <si>
    <t>13507 Berlin, Buddestraße 25</t>
  </si>
  <si>
    <t>Berliner Volksbank</t>
  </si>
  <si>
    <t>Berliner Volksbank Mitte</t>
  </si>
  <si>
    <t>GENODEF1BER</t>
  </si>
  <si>
    <t>10117 Berlin, Pariser Platz 2</t>
  </si>
  <si>
    <t>Berliner Volksbank Alexanderplatz</t>
  </si>
  <si>
    <t>Berliner Volksbank Prenzlauer Berg</t>
  </si>
  <si>
    <t>10435 Berlin, Schönhauser Allee 139</t>
  </si>
  <si>
    <t>Berliner Volksbank Charlottenburg</t>
  </si>
  <si>
    <t>10587 Berlin, Kurfürstendamm 237</t>
  </si>
  <si>
    <t>Berliner Volksbank Friedrichshain</t>
  </si>
  <si>
    <t>10243 Berlin, Frankfurter Allee 63-69</t>
  </si>
  <si>
    <t>Berliner Volksbank Neukölln</t>
  </si>
  <si>
    <t>12051 Berlin, Sonnenallee 71</t>
  </si>
  <si>
    <t>Berliner Volksbank Kreuzberg</t>
  </si>
  <si>
    <t>10999 Berlin, Schlesische Straße 42</t>
  </si>
  <si>
    <t>Berliner Volksbank Wedding</t>
  </si>
  <si>
    <t>13353 Berlin, Müllerstraße 143</t>
  </si>
  <si>
    <t>Berliner Volksbank Spandau</t>
  </si>
  <si>
    <t>13597 Berlin, Klosterstraße 12</t>
  </si>
  <si>
    <t>Berliner Volksbank Steglitz</t>
  </si>
  <si>
    <t>12163 Berlin, Schloßstraße 48</t>
  </si>
  <si>
    <t>Berliner Volksbank Reinickendorf</t>
  </si>
  <si>
    <t>13403 Berlin, Residenzstraße 100</t>
  </si>
  <si>
    <t>Berliner Volksbank Tempelhof</t>
  </si>
  <si>
    <t>12105 Berlin, Tempelhofer Damm 203</t>
  </si>
  <si>
    <t>Berliner Volksbank Lichtenberg</t>
  </si>
  <si>
    <t>10365 Berlin, Frankfurter Allee 198</t>
  </si>
  <si>
    <t>Berliner Volksbank Marzahn</t>
  </si>
  <si>
    <t>12689 Berlin, Märkische Allee 1-15</t>
  </si>
  <si>
    <t>Berliner Volksbank Zehlendorf</t>
  </si>
  <si>
    <t>14163 Berlin, Teltower Damm 21</t>
  </si>
  <si>
    <t>Commerzbank</t>
  </si>
  <si>
    <t>Commerzbank Berlin Mitte</t>
  </si>
  <si>
    <t>COBADEFFXXX</t>
  </si>
  <si>
    <t>10178 Berlin, Spandauer Straße 17</t>
  </si>
  <si>
    <t>Commerzbank Berlin Alexanderplatz</t>
  </si>
  <si>
    <t>10178 Berlin, Karl-Liebknecht-Straße 7</t>
  </si>
  <si>
    <t>Commerzbank Berlin Prenzlauer Berg</t>
  </si>
  <si>
    <t>10405 Berlin, Schönhauser Allee 120</t>
  </si>
  <si>
    <t>Commerzbank Berlin Charlottenburg</t>
  </si>
  <si>
    <t>10623 Berlin, Kantstraße 55</t>
  </si>
  <si>
    <t>Commerzbank Berlin Friedrichshain</t>
  </si>
  <si>
    <t>10243 Berlin, Warschauer Straße 33</t>
  </si>
  <si>
    <t>Commerzbank Berlin Neukölln</t>
  </si>
  <si>
    <t>12043 Berlin, Karl-Marx-Straße 57</t>
  </si>
  <si>
    <t>Commerzbank Berlin Kreuzberg</t>
  </si>
  <si>
    <t>10965 Berlin, Urbanstraße 64</t>
  </si>
  <si>
    <t>Commerzbank Berlin Wedding</t>
  </si>
  <si>
    <t>13347 Berlin, Müllerstraße 49</t>
  </si>
  <si>
    <t>Commerzbank Berlin Spandau</t>
  </si>
  <si>
    <t>13597 Berlin, Klosterstraße 23</t>
  </si>
  <si>
    <t>Commerzbank Berlin Steglitz</t>
  </si>
  <si>
    <t>12163 Berlin, Schloßstraße 118</t>
  </si>
  <si>
    <t>Postbank</t>
  </si>
  <si>
    <t>Postbank Berlin Mitte</t>
  </si>
  <si>
    <t>PBNKDEFFXXX</t>
  </si>
  <si>
    <t>10178 Berlin, Friedrichstraße 141</t>
  </si>
  <si>
    <t>Postbank Berlin Alexanderplatz</t>
  </si>
  <si>
    <t>Postbank Berlin Prenzlauer Berg</t>
  </si>
  <si>
    <t>10435 Berlin, Schönhauser Allee 79</t>
  </si>
  <si>
    <t>Postbank Berlin Charlottenburg</t>
  </si>
  <si>
    <t>10623 Berlin, Kantstraße 1</t>
  </si>
  <si>
    <t>Postbank Berlin Friedrichshain</t>
  </si>
  <si>
    <t>10245 Berlin, Frankfurter Allee 67</t>
  </si>
  <si>
    <t>Postbank Berlin Neukölln</t>
  </si>
  <si>
    <t>12043 Berlin, Karl-Marx-Straße 31</t>
  </si>
  <si>
    <t>Postbank Berlin Kreuzberg</t>
  </si>
  <si>
    <t>10999 Berlin, Schlesische Straße 32</t>
  </si>
  <si>
    <t>Postbank Berlin Wedding</t>
  </si>
  <si>
    <t>13353 Berlin, Müllerstraße 130</t>
  </si>
  <si>
    <t>Postbank Berlin Spandau</t>
  </si>
  <si>
    <t>13597 Berlin, Klosterstraße 45</t>
  </si>
  <si>
    <t>Postbank Berlin Steglitz</t>
  </si>
  <si>
    <t>12163 Berlin, Schloßstraße 78</t>
  </si>
  <si>
    <t>Postbank Berlin Reinickendorf</t>
  </si>
  <si>
    <t>13405 Berlin, Residenzstraße 110</t>
  </si>
  <si>
    <t>Postbank Berlin Tempelhof</t>
  </si>
  <si>
    <t>12103 Berlin, Tempelhofer Damm 207</t>
  </si>
  <si>
    <t>Postbank Berlin Lichtenberg</t>
  </si>
  <si>
    <t>10367 Berlin, Frankfurter Allee 111</t>
  </si>
  <si>
    <t>Postbank Berlin Marzahn</t>
  </si>
  <si>
    <t>12679 Berlin, Märkische Allee 176</t>
  </si>
  <si>
    <t>13585 Berlin, Klosterstraße 12</t>
  </si>
  <si>
    <t>Postbank Berlin Köpenick</t>
  </si>
  <si>
    <t>12555 Berlin, Bahnhofstraße 25</t>
  </si>
  <si>
    <t>Postbank Berlin Dahlem</t>
  </si>
  <si>
    <t>14195 Berlin, Königin-Luise-Straße 47</t>
  </si>
  <si>
    <t>Postbank Berlin Zehlendorf</t>
  </si>
  <si>
    <t>14169 Berlin, Teltower Damm 20</t>
  </si>
  <si>
    <t>Postbank Berlin Buch</t>
  </si>
  <si>
    <t>13125 Berlin, Berliner Straße 60</t>
  </si>
  <si>
    <t>Postbank Berlin Tegel</t>
  </si>
  <si>
    <t>13505 Berlin, Berliner Straße 23</t>
  </si>
  <si>
    <t>Postbank Berlin Wilmersdorf</t>
  </si>
  <si>
    <t>10709 Berlin, Wilmersdorfer Straße 97</t>
  </si>
  <si>
    <t>Postbank Berlin Hohenschönhausen</t>
  </si>
  <si>
    <t>13053 Berlin, Treskowallee 107</t>
  </si>
  <si>
    <t>Postbank Berlin Lichtenrade</t>
  </si>
  <si>
    <t>12305 Berlin, Lichtenrader Damm 2</t>
  </si>
  <si>
    <t>Postbank Berlin Gropiusstadt</t>
  </si>
  <si>
    <t>12353 Berlin, Johannisthaler Chaussee 295-307</t>
  </si>
  <si>
    <t>ID</t>
  </si>
  <si>
    <t>Name</t>
  </si>
  <si>
    <t>FirstName</t>
  </si>
  <si>
    <t>FormOfAddress</t>
  </si>
  <si>
    <t>FamilyStatus</t>
  </si>
  <si>
    <t>FamilyStatusSince</t>
  </si>
  <si>
    <t>Birthday</t>
  </si>
  <si>
    <t>Person</t>
  </si>
  <si>
    <t>Leineweber</t>
  </si>
  <si>
    <t>Schwarzer</t>
  </si>
  <si>
    <t>Conrad</t>
  </si>
  <si>
    <t>Weinert</t>
  </si>
  <si>
    <t>Mann</t>
  </si>
  <si>
    <t>Winther</t>
  </si>
  <si>
    <t>Neumann</t>
  </si>
  <si>
    <t>Wegner</t>
  </si>
  <si>
    <t>Krick</t>
  </si>
  <si>
    <t>Reich</t>
  </si>
  <si>
    <t>Steinke</t>
  </si>
  <si>
    <t>Uhland</t>
  </si>
  <si>
    <t>Freitag</t>
  </si>
  <si>
    <t>Staudte</t>
  </si>
  <si>
    <t>Senner</t>
  </si>
  <si>
    <t>Jürgens</t>
  </si>
  <si>
    <t>Gerlach</t>
  </si>
  <si>
    <t>Tille</t>
  </si>
  <si>
    <t>Meierhoff</t>
  </si>
  <si>
    <t>Hohenstein</t>
  </si>
  <si>
    <t>Volkmann</t>
  </si>
  <si>
    <t>Thaika</t>
  </si>
  <si>
    <t>Michalski</t>
  </si>
  <si>
    <t>Peters</t>
  </si>
  <si>
    <t>Ferdinand</t>
  </si>
  <si>
    <t>Stahl</t>
  </si>
  <si>
    <t>Baumann</t>
  </si>
  <si>
    <t>Kleine</t>
  </si>
  <si>
    <t>Wander</t>
  </si>
  <si>
    <t>Krämer</t>
  </si>
  <si>
    <t>Brandstedter</t>
  </si>
  <si>
    <t>Engel</t>
  </si>
  <si>
    <t>Hahn</t>
  </si>
  <si>
    <t>Gotthard</t>
  </si>
  <si>
    <t>Frey</t>
  </si>
  <si>
    <t>Hauptmann</t>
  </si>
  <si>
    <t>Werner</t>
  </si>
  <si>
    <t>Kaspar</t>
  </si>
  <si>
    <t>Rademacher</t>
  </si>
  <si>
    <t>Lange</t>
  </si>
  <si>
    <t>Schreck</t>
  </si>
  <si>
    <t>Wiese</t>
  </si>
  <si>
    <t>Wein</t>
  </si>
  <si>
    <t>Kramer</t>
  </si>
  <si>
    <t>Eisenhardt</t>
  </si>
  <si>
    <t>Ullmann</t>
  </si>
  <si>
    <t>Eckhardt</t>
  </si>
  <si>
    <t>Holzmann</t>
  </si>
  <si>
    <t>Jahn</t>
  </si>
  <si>
    <t>Otto</t>
  </si>
  <si>
    <t>Rau</t>
  </si>
  <si>
    <t>Bergmann</t>
  </si>
  <si>
    <t>Lepkowski</t>
  </si>
  <si>
    <t>Bommel</t>
  </si>
  <si>
    <t>Marquardt</t>
  </si>
  <si>
    <t>Lorenz</t>
  </si>
  <si>
    <t>Schulze</t>
  </si>
  <si>
    <t>Golzow</t>
  </si>
  <si>
    <t>Kollmann</t>
  </si>
  <si>
    <t>Erich</t>
  </si>
  <si>
    <t>Cianfarini</t>
  </si>
  <si>
    <t>Moschner</t>
  </si>
  <si>
    <t>Vollmer</t>
  </si>
  <si>
    <t>Theurl</t>
  </si>
  <si>
    <t>Winterstein</t>
  </si>
  <si>
    <t>Reichstein</t>
  </si>
  <si>
    <t>Meißner</t>
  </si>
  <si>
    <t>Meier- Friedrich</t>
  </si>
  <si>
    <t>Kiesel</t>
  </si>
  <si>
    <t>Kaiser</t>
  </si>
  <si>
    <t>Steiger</t>
  </si>
  <si>
    <t>Klein</t>
  </si>
  <si>
    <t>Sachs</t>
  </si>
  <si>
    <t>Walden</t>
  </si>
  <si>
    <t>Gutmann</t>
  </si>
  <si>
    <t>Helmchen</t>
  </si>
  <si>
    <t>Behlert</t>
  </si>
  <si>
    <t>Bautitz</t>
  </si>
  <si>
    <t>Sperber</t>
  </si>
  <si>
    <t>Steffen</t>
  </si>
  <si>
    <t>Fichtner</t>
  </si>
  <si>
    <t>Higgens</t>
  </si>
  <si>
    <t>Hermann</t>
  </si>
  <si>
    <t>Krause</t>
  </si>
  <si>
    <t>Meinhardt</t>
  </si>
  <si>
    <t>Steiff</t>
  </si>
  <si>
    <t>Heise</t>
  </si>
  <si>
    <t>Fehse</t>
  </si>
  <si>
    <t>Williges</t>
  </si>
  <si>
    <t>Fischbach</t>
  </si>
  <si>
    <t>Finke</t>
  </si>
  <si>
    <t>Feldner</t>
  </si>
  <si>
    <t>Albrecht</t>
  </si>
  <si>
    <t>Hannemann</t>
  </si>
  <si>
    <t>Hardt</t>
  </si>
  <si>
    <t>Baudisch</t>
  </si>
  <si>
    <t>Gröning</t>
  </si>
  <si>
    <t>Brutzer</t>
  </si>
  <si>
    <t>Held</t>
  </si>
  <si>
    <t>Loos</t>
  </si>
  <si>
    <t>Dahlke</t>
  </si>
  <si>
    <t>Mehlitz</t>
  </si>
  <si>
    <t>Dunker</t>
  </si>
  <si>
    <t>Käser</t>
  </si>
  <si>
    <t>Nitsche</t>
  </si>
  <si>
    <t>Rath</t>
  </si>
  <si>
    <t>Pohl</t>
  </si>
  <si>
    <t>Reimann</t>
  </si>
  <si>
    <t>Dräger</t>
  </si>
  <si>
    <t>Schöning</t>
  </si>
  <si>
    <t>Hirschmann</t>
  </si>
  <si>
    <t>Schümann</t>
  </si>
  <si>
    <t>Rettig</t>
  </si>
  <si>
    <t>Baumgardt</t>
  </si>
  <si>
    <t>Peter</t>
  </si>
  <si>
    <t>Born</t>
  </si>
  <si>
    <t>Seitz</t>
  </si>
  <si>
    <t>Dreyer</t>
  </si>
  <si>
    <t>Deutsch</t>
  </si>
  <si>
    <t>Bergner</t>
  </si>
  <si>
    <t>Haase</t>
  </si>
  <si>
    <t>Brunner</t>
  </si>
  <si>
    <t>Fritsche</t>
  </si>
  <si>
    <t>Hesse</t>
  </si>
  <si>
    <t>Karstens</t>
  </si>
  <si>
    <t>Senger</t>
  </si>
  <si>
    <t>Heusinger</t>
  </si>
  <si>
    <t>Kleinert</t>
  </si>
  <si>
    <t>Hönow</t>
  </si>
  <si>
    <t>Köhler</t>
  </si>
  <si>
    <t>Krüger</t>
  </si>
  <si>
    <t>Hoge</t>
  </si>
  <si>
    <t>Lindner</t>
  </si>
  <si>
    <t>Kunze</t>
  </si>
  <si>
    <t>Hoppe</t>
  </si>
  <si>
    <t>Maaß</t>
  </si>
  <si>
    <t>Radtke</t>
  </si>
  <si>
    <t>Noak</t>
  </si>
  <si>
    <t>Sabine</t>
  </si>
  <si>
    <t>Dominique</t>
  </si>
  <si>
    <t>Doreen</t>
  </si>
  <si>
    <t>Sonja</t>
  </si>
  <si>
    <t>Siegfried</t>
  </si>
  <si>
    <t>Petra</t>
  </si>
  <si>
    <t>Wally</t>
  </si>
  <si>
    <t>Olaf</t>
  </si>
  <si>
    <t>Wilhelm</t>
  </si>
  <si>
    <t>Friedhelm</t>
  </si>
  <si>
    <t>Dirk</t>
  </si>
  <si>
    <t>Reinhard</t>
  </si>
  <si>
    <t>Alice</t>
  </si>
  <si>
    <t>Lothar</t>
  </si>
  <si>
    <t>Britta</t>
  </si>
  <si>
    <t>Bernd</t>
  </si>
  <si>
    <t>Susanne</t>
  </si>
  <si>
    <t>Ina</t>
  </si>
  <si>
    <t>Karim</t>
  </si>
  <si>
    <t>Jakop</t>
  </si>
  <si>
    <t>Silke</t>
  </si>
  <si>
    <t>Karla</t>
  </si>
  <si>
    <t>Johannes</t>
  </si>
  <si>
    <t>Bärbel</t>
  </si>
  <si>
    <t>Harald</t>
  </si>
  <si>
    <t>Edith</t>
  </si>
  <si>
    <t>Benno</t>
  </si>
  <si>
    <t>Klaus</t>
  </si>
  <si>
    <t>Ingrid</t>
  </si>
  <si>
    <t>Hugo</t>
  </si>
  <si>
    <t>Horst</t>
  </si>
  <si>
    <t>Hans-Jürgen</t>
  </si>
  <si>
    <t>Heinz</t>
  </si>
  <si>
    <t>Elisabeth</t>
  </si>
  <si>
    <t>Elke</t>
  </si>
  <si>
    <t>Maximilan</t>
  </si>
  <si>
    <t>Mark</t>
  </si>
  <si>
    <t>Karin</t>
  </si>
  <si>
    <t>Kaus</t>
  </si>
  <si>
    <t>Gerd</t>
  </si>
  <si>
    <t>Sylvia</t>
  </si>
  <si>
    <t>Ursula</t>
  </si>
  <si>
    <t>Linda</t>
  </si>
  <si>
    <t>Rudi</t>
  </si>
  <si>
    <t>Michaela</t>
  </si>
  <si>
    <t>Melanie</t>
  </si>
  <si>
    <t>Gabriele</t>
  </si>
  <si>
    <t>Angelika</t>
  </si>
  <si>
    <t>Wolfgang</t>
  </si>
  <si>
    <t>Gustav</t>
  </si>
  <si>
    <t>Hans</t>
  </si>
  <si>
    <t>Rüdiger</t>
  </si>
  <si>
    <t>Fred</t>
  </si>
  <si>
    <t>Ingolf</t>
  </si>
  <si>
    <t>Magda</t>
  </si>
  <si>
    <t>Konstanze</t>
  </si>
  <si>
    <t>Volker</t>
  </si>
  <si>
    <t>Rosel</t>
  </si>
  <si>
    <t>Britt</t>
  </si>
  <si>
    <t>Anja</t>
  </si>
  <si>
    <t>Frank</t>
  </si>
  <si>
    <t>Dieter</t>
  </si>
  <si>
    <t>Christel</t>
  </si>
  <si>
    <t>Dustin</t>
  </si>
  <si>
    <t>Andreas</t>
  </si>
  <si>
    <t>Eve</t>
  </si>
  <si>
    <t>Heiko</t>
  </si>
  <si>
    <t>Stephanie</t>
  </si>
  <si>
    <t>Ingeborg</t>
  </si>
  <si>
    <t>Karl</t>
  </si>
  <si>
    <t>Daniela</t>
  </si>
  <si>
    <t>Ludwig</t>
  </si>
  <si>
    <t>Roland</t>
  </si>
  <si>
    <t>Christine</t>
  </si>
  <si>
    <t>Cornelia</t>
  </si>
  <si>
    <t>Miriam</t>
  </si>
  <si>
    <t>Margit</t>
  </si>
  <si>
    <t>Katja</t>
  </si>
  <si>
    <t>Katrin</t>
  </si>
  <si>
    <t>Ilka</t>
  </si>
  <si>
    <t>Grete</t>
  </si>
  <si>
    <t>Marcel</t>
  </si>
  <si>
    <t>Veronika</t>
  </si>
  <si>
    <t>Bianca</t>
  </si>
  <si>
    <t>Ronny</t>
  </si>
  <si>
    <t>Maik</t>
  </si>
  <si>
    <t>Mathias</t>
  </si>
  <si>
    <t>Torsten</t>
  </si>
  <si>
    <t>Jörg</t>
  </si>
  <si>
    <t>Gerda</t>
  </si>
  <si>
    <t>Heike</t>
  </si>
  <si>
    <t>Antje</t>
  </si>
  <si>
    <t>Inga</t>
  </si>
  <si>
    <t>Simone</t>
  </si>
  <si>
    <t>Beatrice</t>
  </si>
  <si>
    <t>Franziska</t>
  </si>
  <si>
    <t>Grit</t>
  </si>
  <si>
    <t>Manuela</t>
  </si>
  <si>
    <t>Ulrike</t>
  </si>
  <si>
    <t>Beate</t>
  </si>
  <si>
    <t>Emmi</t>
  </si>
  <si>
    <t>Regina</t>
  </si>
  <si>
    <t>Anette</t>
  </si>
  <si>
    <t>Marta</t>
  </si>
  <si>
    <t>Max</t>
  </si>
  <si>
    <t>Thomas</t>
  </si>
  <si>
    <t>Magarete</t>
  </si>
  <si>
    <t>Martha</t>
  </si>
  <si>
    <t>Axel</t>
  </si>
  <si>
    <t>Claudia</t>
  </si>
  <si>
    <t>Volkmar</t>
  </si>
  <si>
    <t>Marianne</t>
  </si>
  <si>
    <t>Franz</t>
  </si>
  <si>
    <t>Gisela</t>
  </si>
  <si>
    <t>Eberhard</t>
  </si>
  <si>
    <t>Dennis</t>
  </si>
  <si>
    <t>Dorothea</t>
  </si>
  <si>
    <t>Günter</t>
  </si>
  <si>
    <t>Urs</t>
  </si>
  <si>
    <t>Manfred</t>
  </si>
  <si>
    <t>Herbert</t>
  </si>
  <si>
    <t>Lutz</t>
  </si>
  <si>
    <t>Viola</t>
  </si>
  <si>
    <t>Walter</t>
  </si>
  <si>
    <t>Brigitte</t>
  </si>
  <si>
    <t>Marie</t>
  </si>
  <si>
    <t>Ursela</t>
  </si>
  <si>
    <t>Ines</t>
  </si>
  <si>
    <t>Annette</t>
  </si>
  <si>
    <t>Rita</t>
  </si>
  <si>
    <t>Harry</t>
  </si>
  <si>
    <t>Hildegard</t>
  </si>
  <si>
    <t>Hans- Jürgen</t>
  </si>
  <si>
    <t>Ernst</t>
  </si>
  <si>
    <t>Detlef</t>
  </si>
  <si>
    <t>Richard</t>
  </si>
  <si>
    <t>Uwe</t>
  </si>
  <si>
    <t>Manja</t>
  </si>
  <si>
    <t>Georg</t>
  </si>
  <si>
    <t>Paul</t>
  </si>
  <si>
    <t>Roberta</t>
  </si>
  <si>
    <t>Norbert</t>
  </si>
  <si>
    <t>Oliver</t>
  </si>
  <si>
    <t>Ilse</t>
  </si>
  <si>
    <t>Jochen</t>
  </si>
  <si>
    <t>Markus</t>
  </si>
  <si>
    <t>Binder</t>
  </si>
  <si>
    <t>Wilmers</t>
  </si>
  <si>
    <t>Pastor</t>
  </si>
  <si>
    <t>Winders</t>
  </si>
  <si>
    <t>Wanderer</t>
  </si>
  <si>
    <t>Germann</t>
  </si>
  <si>
    <t>Köster</t>
  </si>
  <si>
    <t>Div</t>
  </si>
  <si>
    <t>Non</t>
  </si>
  <si>
    <t>Firma</t>
  </si>
  <si>
    <t>Verein</t>
  </si>
  <si>
    <t>LG</t>
  </si>
  <si>
    <t>Anrede</t>
  </si>
  <si>
    <t>FomOfAddress</t>
  </si>
  <si>
    <t>ledig</t>
  </si>
  <si>
    <t>geschieden</t>
  </si>
  <si>
    <t>verheiratet</t>
  </si>
  <si>
    <t>verwitwert</t>
  </si>
  <si>
    <t>unbekannt</t>
  </si>
  <si>
    <t>Partnerschaft</t>
  </si>
  <si>
    <t>Status</t>
  </si>
  <si>
    <t>FamiliyStatus</t>
  </si>
  <si>
    <t>Sally</t>
  </si>
  <si>
    <t>Lawson</t>
  </si>
  <si>
    <t>Mandy</t>
  </si>
  <si>
    <t>Ohara</t>
  </si>
  <si>
    <t>Shayna</t>
  </si>
  <si>
    <t>Blackwood</t>
  </si>
  <si>
    <t>Eva</t>
  </si>
  <si>
    <t>Azure</t>
  </si>
  <si>
    <t>Grunddaten für die Personen</t>
  </si>
  <si>
    <t>=E12 + RUNDEN(ZUFALLSZAHL()*(40*365-18*365) + 18*365; 0)</t>
  </si>
  <si>
    <t>Geburtsdatum</t>
  </si>
  <si>
    <t>=DATUM(GANZZAHL(ZUFALLSZAHL()*(2005-1950+1))+1950;GANZZAHL(ZUFALLSZAHL()*12)+1;GANZZAHL(ZUFALLSZAHL()*31)+1)</t>
  </si>
  <si>
    <t>zufälliger Wert zwischen 1.1.1950 und 31.12.2005</t>
  </si>
  <si>
    <t>Zufälliger Wertvon Tagen zwischen 18 und 40 Jahren</t>
  </si>
  <si>
    <t>Vorname</t>
  </si>
  <si>
    <t>Geburt</t>
  </si>
  <si>
    <t>A</t>
  </si>
  <si>
    <t>StatusD</t>
  </si>
  <si>
    <t>'Deutschland'</t>
  </si>
  <si>
    <t>'BRD'</t>
  </si>
  <si>
    <t>'Bundesrebublik Deutschland'</t>
  </si>
  <si>
    <t>'+49'</t>
  </si>
  <si>
    <t>'DE'</t>
  </si>
  <si>
    <t>'Österreich'</t>
  </si>
  <si>
    <t>'AUT'</t>
  </si>
  <si>
    <t>'Östereich'</t>
  </si>
  <si>
    <t>'+43'</t>
  </si>
  <si>
    <t>'AT'</t>
  </si>
  <si>
    <t>'Schweiz'</t>
  </si>
  <si>
    <t>'CHE'</t>
  </si>
  <si>
    <t>'Schweizerische Eidgenossenschaft'</t>
  </si>
  <si>
    <t>'+41'</t>
  </si>
  <si>
    <t>'CH'</t>
  </si>
  <si>
    <t>'Frankreich'</t>
  </si>
  <si>
    <t>'France'</t>
  </si>
  <si>
    <t>'Französische Republik'</t>
  </si>
  <si>
    <t>'+33'</t>
  </si>
  <si>
    <t>'FR'</t>
  </si>
  <si>
    <t>'Luxemburg'</t>
  </si>
  <si>
    <t>'Lux'</t>
  </si>
  <si>
    <t>'Großherzogtum Luxemburg'</t>
  </si>
  <si>
    <t>'+352'</t>
  </si>
  <si>
    <t>'LU'</t>
  </si>
  <si>
    <t>'Liechtenstein'</t>
  </si>
  <si>
    <t>'LIE'</t>
  </si>
  <si>
    <t>'Fürstentum Liechtenstein'</t>
  </si>
  <si>
    <t>'+432'</t>
  </si>
  <si>
    <t>'LI'</t>
  </si>
  <si>
    <t>'Belgien'</t>
  </si>
  <si>
    <t>'BEL'</t>
  </si>
  <si>
    <t>'Königreich Belgien '</t>
  </si>
  <si>
    <t>'+32'</t>
  </si>
  <si>
    <t>'BE'</t>
  </si>
  <si>
    <t>'Niederlande'</t>
  </si>
  <si>
    <t>'NDL'</t>
  </si>
  <si>
    <t>'+31'</t>
  </si>
  <si>
    <t>'NL'</t>
  </si>
  <si>
    <t>'Großbritannien'</t>
  </si>
  <si>
    <t>'GBR'</t>
  </si>
  <si>
    <t>'Vereinigtes Königreich Großbritannien und Nordirland'</t>
  </si>
  <si>
    <t>'+44'</t>
  </si>
  <si>
    <t>'GB'</t>
  </si>
  <si>
    <t>Countries</t>
  </si>
  <si>
    <t>'Königreich der Niederlande'</t>
  </si>
  <si>
    <t>Denotation</t>
  </si>
  <si>
    <t>Abbreviation</t>
  </si>
  <si>
    <t>Description</t>
  </si>
  <si>
    <t>CountryDialing</t>
  </si>
  <si>
    <t>ISO_Code</t>
  </si>
  <si>
    <t>IsEU</t>
  </si>
  <si>
    <t>Capital</t>
  </si>
  <si>
    <t>Currency</t>
  </si>
  <si>
    <t>UrgentValue</t>
  </si>
  <si>
    <t>'Dänemark'</t>
  </si>
  <si>
    <t>'Finnland'</t>
  </si>
  <si>
    <t>'Griechenland'</t>
  </si>
  <si>
    <t>'Monaco'</t>
  </si>
  <si>
    <t>'Kroatien'</t>
  </si>
  <si>
    <t>'Bulgarien'</t>
  </si>
  <si>
    <t>'Estland'</t>
  </si>
  <si>
    <t>'Irland'</t>
  </si>
  <si>
    <t>'Island'</t>
  </si>
  <si>
    <t>'Italien'</t>
  </si>
  <si>
    <t>'Kosovo'</t>
  </si>
  <si>
    <t>'Lettland'</t>
  </si>
  <si>
    <t>'Litauen'</t>
  </si>
  <si>
    <t>'Malta'</t>
  </si>
  <si>
    <t>'Polen'</t>
  </si>
  <si>
    <t>'Portugal'</t>
  </si>
  <si>
    <t>'Rumänien'</t>
  </si>
  <si>
    <t>'Norwegen'</t>
  </si>
  <si>
    <t>'Slowakei'</t>
  </si>
  <si>
    <t>'Slowenien'</t>
  </si>
  <si>
    <t>'Spanien'</t>
  </si>
  <si>
    <t>'Tschechien'</t>
  </si>
  <si>
    <t>'Schweden'</t>
  </si>
  <si>
    <t>'Türkei'</t>
  </si>
  <si>
    <t>'Ungarn'</t>
  </si>
  <si>
    <t>'Vatikanstadt'</t>
  </si>
  <si>
    <t>'Ukraine'</t>
  </si>
  <si>
    <t>'Albanien'</t>
  </si>
  <si>
    <t>'Andorra'</t>
  </si>
  <si>
    <t>'Bosnien und Herzegowina'</t>
  </si>
  <si>
    <t>'Moldau'</t>
  </si>
  <si>
    <t>'Montenegro'</t>
  </si>
  <si>
    <t>'Nordmazedonien'</t>
  </si>
  <si>
    <t>'Russland'</t>
  </si>
  <si>
    <t>'San Marino'</t>
  </si>
  <si>
    <t>'Serbien'</t>
  </si>
  <si>
    <t>'Weißrussland'</t>
  </si>
  <si>
    <t>'Zypern'</t>
  </si>
  <si>
    <t>'DNK'</t>
  </si>
  <si>
    <t>'FIN'</t>
  </si>
  <si>
    <t>'GRC'</t>
  </si>
  <si>
    <t>'MCO'</t>
  </si>
  <si>
    <t>'HRV'</t>
  </si>
  <si>
    <t>'BGR'</t>
  </si>
  <si>
    <t>'EST'</t>
  </si>
  <si>
    <t>'IRL'</t>
  </si>
  <si>
    <t>'ISL'</t>
  </si>
  <si>
    <t>'ITA'</t>
  </si>
  <si>
    <t>'XKX'</t>
  </si>
  <si>
    <t>'LVA'</t>
  </si>
  <si>
    <t>'LTU'</t>
  </si>
  <si>
    <t>'MLT'</t>
  </si>
  <si>
    <t>'POL'</t>
  </si>
  <si>
    <t>'PRT'</t>
  </si>
  <si>
    <t>'ROU'</t>
  </si>
  <si>
    <t>'NOR'</t>
  </si>
  <si>
    <t>'SVK'</t>
  </si>
  <si>
    <t>'SVN'</t>
  </si>
  <si>
    <t>'ESP'</t>
  </si>
  <si>
    <t>'CZE'</t>
  </si>
  <si>
    <t>'SWE'</t>
  </si>
  <si>
    <t>'TUR'</t>
  </si>
  <si>
    <t>'HUN'</t>
  </si>
  <si>
    <t>'VAT'</t>
  </si>
  <si>
    <t>'UKR'</t>
  </si>
  <si>
    <t>'ALB'</t>
  </si>
  <si>
    <t>'AND'</t>
  </si>
  <si>
    <t>'BIH'</t>
  </si>
  <si>
    <t>'MDA'</t>
  </si>
  <si>
    <t>'MNE'</t>
  </si>
  <si>
    <t>'MKD'</t>
  </si>
  <si>
    <t>'RUS'</t>
  </si>
  <si>
    <t>'SMR'</t>
  </si>
  <si>
    <t>'SRB'</t>
  </si>
  <si>
    <t>'BLR'</t>
  </si>
  <si>
    <t>'CYP'</t>
  </si>
  <si>
    <t>'Königreich Dänemark'</t>
  </si>
  <si>
    <t>'Republik Finnland'</t>
  </si>
  <si>
    <t>'Hellenische Republik'</t>
  </si>
  <si>
    <t>'Fürstentum Monaco'</t>
  </si>
  <si>
    <t>'Republik Kroatien'</t>
  </si>
  <si>
    <t>'Republik Bulgarien'</t>
  </si>
  <si>
    <t>'Republik Estland'</t>
  </si>
  <si>
    <t>'Irische Republik'</t>
  </si>
  <si>
    <t>'Republik Island'</t>
  </si>
  <si>
    <t>'Italienische Republik'</t>
  </si>
  <si>
    <t>'Republik Kosovo'</t>
  </si>
  <si>
    <t>'Republik Lettland'</t>
  </si>
  <si>
    <t>'Republik Litauen'</t>
  </si>
  <si>
    <t>'Republik Malta'</t>
  </si>
  <si>
    <t>'Republik Polen'</t>
  </si>
  <si>
    <t>'Portugiesische Republik'</t>
  </si>
  <si>
    <t>'Königreich Norwegen'</t>
  </si>
  <si>
    <t>'Slowakische Republik'</t>
  </si>
  <si>
    <t>'Republik Slowenien'</t>
  </si>
  <si>
    <t>'Königreich Spanien'</t>
  </si>
  <si>
    <t>'Tschechische Republik'</t>
  </si>
  <si>
    <t>'Königreich Schweden'</t>
  </si>
  <si>
    <t>'Republik Türkei'</t>
  </si>
  <si>
    <t>'Staat der Vatikanstadt'</t>
  </si>
  <si>
    <t>'Republik Albanien'</t>
  </si>
  <si>
    <t>'Fürstentum Andorra'</t>
  </si>
  <si>
    <t>'Republik Moldau'</t>
  </si>
  <si>
    <t>'Republik Montenegro'</t>
  </si>
  <si>
    <t>'Republik Nordmazedonien'</t>
  </si>
  <si>
    <t>'Russische Föderation'</t>
  </si>
  <si>
    <t>'Republik San Marino'</t>
  </si>
  <si>
    <t>'Republik Serbien'</t>
  </si>
  <si>
    <t>'Republik Belarus'</t>
  </si>
  <si>
    <t>'Republik Zypern'</t>
  </si>
  <si>
    <t>'+45'</t>
  </si>
  <si>
    <t>'+358'</t>
  </si>
  <si>
    <t>'+30'</t>
  </si>
  <si>
    <t>'+377'</t>
  </si>
  <si>
    <t>'+385'</t>
  </si>
  <si>
    <t>'+359'</t>
  </si>
  <si>
    <t>'+372'</t>
  </si>
  <si>
    <t>'+353'</t>
  </si>
  <si>
    <t>'+354'</t>
  </si>
  <si>
    <t>'+39'</t>
  </si>
  <si>
    <t>'+383'</t>
  </si>
  <si>
    <t>'+371'</t>
  </si>
  <si>
    <t>'+370'</t>
  </si>
  <si>
    <t>'+356'</t>
  </si>
  <si>
    <t>'+48'</t>
  </si>
  <si>
    <t>'+351'</t>
  </si>
  <si>
    <t>'+40'</t>
  </si>
  <si>
    <t>'+47'</t>
  </si>
  <si>
    <t>'+421'</t>
  </si>
  <si>
    <t>'+386'</t>
  </si>
  <si>
    <t>'+34'</t>
  </si>
  <si>
    <t>'+420'</t>
  </si>
  <si>
    <t>'+46'</t>
  </si>
  <si>
    <t>'+90'</t>
  </si>
  <si>
    <t>'+36'</t>
  </si>
  <si>
    <t>'+379'</t>
  </si>
  <si>
    <t>'+380'</t>
  </si>
  <si>
    <t>'+355'</t>
  </si>
  <si>
    <t>'+376'</t>
  </si>
  <si>
    <t>'+387'</t>
  </si>
  <si>
    <t>'+373'</t>
  </si>
  <si>
    <t>'+382'</t>
  </si>
  <si>
    <t>'+389'</t>
  </si>
  <si>
    <t>'+7'</t>
  </si>
  <si>
    <t>'+378'</t>
  </si>
  <si>
    <t>'+381'</t>
  </si>
  <si>
    <t>'+375'</t>
  </si>
  <si>
    <t>'+357'</t>
  </si>
  <si>
    <t>'DK'</t>
  </si>
  <si>
    <t>'FI'</t>
  </si>
  <si>
    <t>'GR'</t>
  </si>
  <si>
    <t>'MC'</t>
  </si>
  <si>
    <t>'HR'</t>
  </si>
  <si>
    <t>'BG'</t>
  </si>
  <si>
    <t>'EE'</t>
  </si>
  <si>
    <t>'IE'</t>
  </si>
  <si>
    <t>'IS'</t>
  </si>
  <si>
    <t>'IT'</t>
  </si>
  <si>
    <t>'XK'</t>
  </si>
  <si>
    <t>'LV'</t>
  </si>
  <si>
    <t>'LT'</t>
  </si>
  <si>
    <t>'MT'</t>
  </si>
  <si>
    <t>'PL'</t>
  </si>
  <si>
    <t>'PT'</t>
  </si>
  <si>
    <t>'RO'</t>
  </si>
  <si>
    <t>'NO'</t>
  </si>
  <si>
    <t>'SK'</t>
  </si>
  <si>
    <t>'SI'</t>
  </si>
  <si>
    <t>'ES'</t>
  </si>
  <si>
    <t>'CZ'</t>
  </si>
  <si>
    <t>'SE'</t>
  </si>
  <si>
    <t>'TR'</t>
  </si>
  <si>
    <t>'HU'</t>
  </si>
  <si>
    <t>'VA'</t>
  </si>
  <si>
    <t>'UA'</t>
  </si>
  <si>
    <t>'AL'</t>
  </si>
  <si>
    <t>'AD'</t>
  </si>
  <si>
    <t>'BA'</t>
  </si>
  <si>
    <t>'MD'</t>
  </si>
  <si>
    <t>'ME'</t>
  </si>
  <si>
    <t>'MK'</t>
  </si>
  <si>
    <t>'RU'</t>
  </si>
  <si>
    <t>'SM'</t>
  </si>
  <si>
    <t>'RS'</t>
  </si>
  <si>
    <t>'BY'</t>
  </si>
  <si>
    <t>'CY'</t>
  </si>
  <si>
    <t>'Berlin'</t>
  </si>
  <si>
    <t>'Wien'</t>
  </si>
  <si>
    <t>'Bern'</t>
  </si>
  <si>
    <t>'Paris'</t>
  </si>
  <si>
    <t>'Vaduz'</t>
  </si>
  <si>
    <t>'Brüssel'</t>
  </si>
  <si>
    <t>'Amsterdam'</t>
  </si>
  <si>
    <t>'Athen'</t>
  </si>
  <si>
    <t>'Kopenhagen'</t>
  </si>
  <si>
    <t>'Helsinki'</t>
  </si>
  <si>
    <t>'Zagreb'</t>
  </si>
  <si>
    <t>'Sofia'</t>
  </si>
  <si>
    <t>'Tallinn'</t>
  </si>
  <si>
    <t>'Dublin'</t>
  </si>
  <si>
    <t>'Reykjavik'</t>
  </si>
  <si>
    <t>'Rom'</t>
  </si>
  <si>
    <t>'Pristina'</t>
  </si>
  <si>
    <t>'Riga'</t>
  </si>
  <si>
    <t>'Vilnius'</t>
  </si>
  <si>
    <t>'Valletta'</t>
  </si>
  <si>
    <t>'Warschau'</t>
  </si>
  <si>
    <t>'Lissabon'</t>
  </si>
  <si>
    <t>'Bukarest'</t>
  </si>
  <si>
    <t>'Oslo'</t>
  </si>
  <si>
    <t>'Bratislava'</t>
  </si>
  <si>
    <t>'Ljubljana'</t>
  </si>
  <si>
    <t>'Madrid'</t>
  </si>
  <si>
    <t>'Prag'</t>
  </si>
  <si>
    <t>'Stockholm'</t>
  </si>
  <si>
    <t>'Ankara'</t>
  </si>
  <si>
    <t>'London'</t>
  </si>
  <si>
    <t>'Kiew'</t>
  </si>
  <si>
    <t>'Tirana'</t>
  </si>
  <si>
    <t>'Andorra la Vella'</t>
  </si>
  <si>
    <t>'Sarajevo'</t>
  </si>
  <si>
    <t>'Chisinau'</t>
  </si>
  <si>
    <t>'Podgorica'</t>
  </si>
  <si>
    <t>'Skopje'</t>
  </si>
  <si>
    <t>'Moskau'</t>
  </si>
  <si>
    <t>'Belgrad'</t>
  </si>
  <si>
    <t>'Minsk'</t>
  </si>
  <si>
    <t>'Nikosia'</t>
  </si>
  <si>
    <t>'Euro'</t>
  </si>
  <si>
    <t>'Schweizer Franken'</t>
  </si>
  <si>
    <t>'Dänische Krone'</t>
  </si>
  <si>
    <t>'Kroatische Kuna'</t>
  </si>
  <si>
    <t>'Bulgarischer Lew'</t>
  </si>
  <si>
    <t>'Isländische Krone'</t>
  </si>
  <si>
    <t>'Zloty'</t>
  </si>
  <si>
    <t>'Rumänischer Leu'</t>
  </si>
  <si>
    <t>'Norwegische Krone'</t>
  </si>
  <si>
    <t>'Tschechische Krone'</t>
  </si>
  <si>
    <t>'Schwedische Krone'</t>
  </si>
  <si>
    <t>'Türkische Lira'</t>
  </si>
  <si>
    <t>'Britisches Pfund'</t>
  </si>
  <si>
    <t>'Ukrainische Hrywnja'</t>
  </si>
  <si>
    <t>'Albanischer Lek'</t>
  </si>
  <si>
    <t>'Konvertible Mark'</t>
  </si>
  <si>
    <t>'Moldau-Leu'</t>
  </si>
  <si>
    <t>'Mazedonischer Denar'</t>
  </si>
  <si>
    <t>'Russischer Rubel'</t>
  </si>
  <si>
    <t>'Serbischer Dinar'</t>
  </si>
  <si>
    <t>'Weißrussischer Rubel'</t>
  </si>
  <si>
    <t>Departments</t>
  </si>
  <si>
    <t>'Leitung und strategische Führung des Unternehmens.'</t>
  </si>
  <si>
    <t>'Zuständig für den Verkauf von Produkten und Dienstleistungen an Kunden.'</t>
  </si>
  <si>
    <t>'Verwaltung der finanziellen Aspekte des Unternehmens, einschließlich Buchhaltung und Budgetierung.'</t>
  </si>
  <si>
    <t>'Teil des Unternehmensmanagements, der sich mit der Planung, Überwachung und Steuerung von Unternehmensaktivitäten befasst.'</t>
  </si>
  <si>
    <t>'Verantwortlich für Einstellung, Schulung und Betreuung der Mitarbeiter. '</t>
  </si>
  <si>
    <t>'Herstellung von Produkten oder Bereitstellung von Dienstleistungen.'</t>
  </si>
  <si>
    <t>'Planung und Umsetzung von Marketingstrategien zur Förderung der Produkte oder Dienstleistungen des Unternehmens.'</t>
  </si>
  <si>
    <t>'Bereitstellung und Wartung von IT-Infrastruktur und Unterstützung für die computergestützten Prozesse im Unternehmen.'</t>
  </si>
  <si>
    <t>'Bereitstellung von Unterstützung und Lösung von Problemen für Kunden nach dem Kauf.'</t>
  </si>
  <si>
    <t>'Verantwortlich für die Entwicklung neuer Produkte, Dienstleistungen oder Technologien.'</t>
  </si>
  <si>
    <t>'Überwachung und Sicherstellung der Qualität von Produkten oder Dienstleistungen.'</t>
  </si>
  <si>
    <t>' Verwaltung und Koordination des Transports und der Lagerung von Waren und Materialien.'</t>
  </si>
  <si>
    <t>'Geschäftsführung'</t>
  </si>
  <si>
    <t>'Vertrieb'</t>
  </si>
  <si>
    <t>'Finanzen'</t>
  </si>
  <si>
    <t>'Controlling'</t>
  </si>
  <si>
    <t>'Personalwesen'</t>
  </si>
  <si>
    <t>'Produktion'</t>
  </si>
  <si>
    <t>'Marketing'</t>
  </si>
  <si>
    <t>'Informationstechnologie'</t>
  </si>
  <si>
    <t>'Kundenservice'</t>
  </si>
  <si>
    <t>'Forschung und Entwicklung'</t>
  </si>
  <si>
    <t>'Qualitätskontrolle'</t>
  </si>
  <si>
    <t>'Logistik'</t>
  </si>
  <si>
    <t>'GF'</t>
  </si>
  <si>
    <t>'VRB'</t>
  </si>
  <si>
    <t>'CON'</t>
  </si>
  <si>
    <t>'PRO'</t>
  </si>
  <si>
    <t>'MKT'</t>
  </si>
  <si>
    <t>'CS'</t>
  </si>
  <si>
    <t>'F&amp;E'</t>
  </si>
  <si>
    <t>'QC'</t>
  </si>
  <si>
    <t>'LOG'</t>
  </si>
  <si>
    <t>'V'</t>
  </si>
  <si>
    <t>'BL'</t>
  </si>
  <si>
    <t>'GL'</t>
  </si>
  <si>
    <t>'AN'</t>
  </si>
  <si>
    <t>'Aushilfe'</t>
  </si>
  <si>
    <t>'AH'</t>
  </si>
  <si>
    <t>'LE'</t>
  </si>
  <si>
    <t>'AR'</t>
  </si>
  <si>
    <t>'Arbeiter*in'</t>
  </si>
  <si>
    <t>'Geschäftsführer*in'</t>
  </si>
  <si>
    <t>'Auszubildende/r'</t>
  </si>
  <si>
    <t>'Bereichsleiter*in'</t>
  </si>
  <si>
    <t>'Abteilungsleiter*in'</t>
  </si>
  <si>
    <t>'Gruppenleiter*in'</t>
  </si>
  <si>
    <t>'Angestellter*in'</t>
  </si>
  <si>
    <t>'Geschäftsführerin / Geschäftsführer im Unternehmen.'</t>
  </si>
  <si>
    <t>'Bereichsleiterin / Bereichsleiter im Unternehmen.'</t>
  </si>
  <si>
    <t>'Abteilungsleiterin / Abteilungsleiter des Unternehmens.'</t>
  </si>
  <si>
    <t>'Gruppenleiterin / Gruppenleiter im Unternehmen.'</t>
  </si>
  <si>
    <t>'Angestellte / Angestellter im Unternehmen (kaufmännische Bereiche, IT, Entwicklung, …).'</t>
  </si>
  <si>
    <t>'Arbeiterin / Arbeiter im Unternehmen (Produktion, Lager, …).'</t>
  </si>
  <si>
    <t>'Auszubildende oder Auszubildener im Unternehmen.'</t>
  </si>
  <si>
    <t>'Aushilfe im Unternehmen (auch 400 €- Basis).'</t>
  </si>
  <si>
    <t>JobPositions</t>
  </si>
  <si>
    <t>PersonNumber</t>
  </si>
  <si>
    <t>Salery</t>
  </si>
  <si>
    <t>TaxClass</t>
  </si>
  <si>
    <t>StartOfJob</t>
  </si>
  <si>
    <t>EndOfJob</t>
  </si>
  <si>
    <t>ReasonDeparture</t>
  </si>
  <si>
    <t>JobPosition</t>
  </si>
  <si>
    <t>JobSpec</t>
  </si>
  <si>
    <t>Department</t>
  </si>
  <si>
    <t>SocialNummer</t>
  </si>
  <si>
    <t>Rente</t>
  </si>
  <si>
    <t>I</t>
  </si>
  <si>
    <t>II</t>
  </si>
  <si>
    <t>III</t>
  </si>
  <si>
    <t>IV</t>
  </si>
  <si>
    <t>V</t>
  </si>
  <si>
    <t>VI</t>
  </si>
  <si>
    <t>-</t>
  </si>
  <si>
    <t>Steuerklasse</t>
  </si>
  <si>
    <t>=E12 + RUNDEN(ZUFALLSZAHL()*(50*365-18*365) + 18*365; 0)</t>
  </si>
  <si>
    <t>AddressType</t>
  </si>
  <si>
    <t>Zipcode</t>
  </si>
  <si>
    <t>City</t>
  </si>
  <si>
    <t>Street</t>
  </si>
  <si>
    <t>StreetNumber</t>
  </si>
  <si>
    <t>Country</t>
  </si>
  <si>
    <t>Adresse für die Personen</t>
  </si>
  <si>
    <t>Ergänzungen für Angestellte</t>
  </si>
  <si>
    <t>PhoneType</t>
  </si>
  <si>
    <t>AreaCode</t>
  </si>
  <si>
    <t>CallNumber</t>
  </si>
  <si>
    <t>InternetType</t>
  </si>
  <si>
    <t>Adresse</t>
  </si>
  <si>
    <t>Internetverbindung / Mail- Adresse</t>
  </si>
  <si>
    <t>Telefonverbindung</t>
  </si>
  <si>
    <t>BankingType</t>
  </si>
  <si>
    <t>BankName</t>
  </si>
  <si>
    <t>IBAN</t>
  </si>
  <si>
    <t>BIC</t>
  </si>
  <si>
    <t>BankOwner</t>
  </si>
  <si>
    <t>Bankverbindung</t>
  </si>
  <si>
    <t>VacationDays</t>
  </si>
  <si>
    <t>Berlin</t>
  </si>
  <si>
    <t>Sonnenallee</t>
  </si>
  <si>
    <t>Elstal</t>
  </si>
  <si>
    <t>Dorfstraße</t>
  </si>
  <si>
    <t>Bergstraße</t>
  </si>
  <si>
    <t>Seddin</t>
  </si>
  <si>
    <t>Hauptstraße</t>
  </si>
  <si>
    <t>Akazienweg</t>
  </si>
  <si>
    <t>Lindenstraße</t>
  </si>
  <si>
    <t>Am Bahnhof</t>
  </si>
  <si>
    <t>Lehnin</t>
  </si>
  <si>
    <t>Ringstraße</t>
  </si>
  <si>
    <t>Schloßstraße</t>
  </si>
  <si>
    <t>Berge</t>
  </si>
  <si>
    <t>030</t>
  </si>
  <si>
    <t>Phone</t>
  </si>
  <si>
    <t>033204</t>
  </si>
  <si>
    <t>033202</t>
  </si>
  <si>
    <t>Mitte</t>
  </si>
  <si>
    <t>Friedrichshain-Kreuzberg</t>
  </si>
  <si>
    <t>Pankow</t>
  </si>
  <si>
    <t>Charlottenburg-Wilmersdorf</t>
  </si>
  <si>
    <t>Spandau</t>
  </si>
  <si>
    <t>Steglitz-Zehlendorf</t>
  </si>
  <si>
    <t>Tempelhof-Schöneberg</t>
  </si>
  <si>
    <t>Neukölln</t>
  </si>
  <si>
    <t>Treptow-Köpenick</t>
  </si>
  <si>
    <t>Marzahn-Hellersdorf</t>
  </si>
  <si>
    <t>Lichtenberg</t>
  </si>
  <si>
    <t>Reinickendorf</t>
  </si>
  <si>
    <t>Bahnhofstraße</t>
  </si>
  <si>
    <t>Berliner Straße</t>
  </si>
  <si>
    <t>Goethestraße</t>
  </si>
  <si>
    <t>Friedrichstraße</t>
  </si>
  <si>
    <t>Schulstraße</t>
  </si>
  <si>
    <t>Mozartstraße</t>
  </si>
  <si>
    <t>Karl-Marx-Straße</t>
  </si>
  <si>
    <t>Rosenstraße</t>
  </si>
  <si>
    <t>Gartenstraße</t>
  </si>
  <si>
    <t>Kirchstraße</t>
  </si>
  <si>
    <t>Parkstraße</t>
  </si>
  <si>
    <t>Schillerstraße</t>
  </si>
  <si>
    <t>Marktstraße</t>
  </si>
  <si>
    <t>Am Markt</t>
  </si>
  <si>
    <t>Bachstraße</t>
  </si>
  <si>
    <t>Waldstraße</t>
  </si>
  <si>
    <t>August-Bebel-Straße</t>
  </si>
  <si>
    <t>Mozartweg</t>
  </si>
  <si>
    <t>Hauptplatz</t>
  </si>
  <si>
    <t>Wilhelmstraße</t>
  </si>
  <si>
    <t>Bahnhofplatz</t>
  </si>
  <si>
    <t>Breite Straße</t>
  </si>
  <si>
    <t>Kirchgasse</t>
  </si>
  <si>
    <t>Sonnenstraße</t>
  </si>
  <si>
    <t>Schulweg</t>
  </si>
  <si>
    <t>Fabrikstraße</t>
  </si>
  <si>
    <t>Königstraße</t>
  </si>
  <si>
    <t>Poststraße</t>
  </si>
  <si>
    <t>Bismarckstraße</t>
  </si>
  <si>
    <t>Mühlenweg</t>
  </si>
  <si>
    <t>Gartenweg</t>
  </si>
  <si>
    <t>Bahnhofsweg</t>
  </si>
  <si>
    <t>Mozartplatz</t>
  </si>
  <si>
    <t>Eichenweg</t>
  </si>
  <si>
    <t>Mozartgasse</t>
  </si>
  <si>
    <t>Kirchplatz</t>
  </si>
  <si>
    <t>Parkweg</t>
  </si>
  <si>
    <t>Rosenweg</t>
  </si>
  <si>
    <t>Am Schloß</t>
  </si>
  <si>
    <t>Goetheplatz</t>
  </si>
  <si>
    <t>Marktplatz</t>
  </si>
  <si>
    <t>Schulplatz</t>
  </si>
  <si>
    <t>Richard-Wagner-Straße</t>
  </si>
  <si>
    <t>Albert-Schweitzer-Straße</t>
  </si>
  <si>
    <t>Ludwigstraße</t>
  </si>
  <si>
    <t>Fasanenweg</t>
  </si>
  <si>
    <t>Karlstraße</t>
  </si>
  <si>
    <t>Schubertstraße</t>
  </si>
  <si>
    <t>Friedhofstraße</t>
  </si>
  <si>
    <t>Am Sportplatz</t>
  </si>
  <si>
    <t>Tannenweg</t>
  </si>
  <si>
    <t>Schillerplatz</t>
  </si>
  <si>
    <t>Siedlungsstraße</t>
  </si>
  <si>
    <t>Beethovenstraße</t>
  </si>
  <si>
    <t>Lindenweg</t>
  </si>
  <si>
    <t>Bergweg</t>
  </si>
  <si>
    <t>Birkenweg</t>
  </si>
  <si>
    <t>Sportplatzweg</t>
  </si>
  <si>
    <t>Rosenplatz</t>
  </si>
  <si>
    <t>Kirchenstraße</t>
  </si>
  <si>
    <t>Parkgasse</t>
  </si>
  <si>
    <t>Hintergasse</t>
  </si>
  <si>
    <t>Schlossplatz</t>
  </si>
  <si>
    <t>Neue Straße</t>
  </si>
  <si>
    <t>Berggasse</t>
  </si>
  <si>
    <t>Lindenplatz</t>
  </si>
  <si>
    <t>Am Wasserturm</t>
  </si>
  <si>
    <t>Feldstraße</t>
  </si>
  <si>
    <t>Weiherstraße</t>
  </si>
  <si>
    <t>Schulgasse</t>
  </si>
  <si>
    <t>Waldweg</t>
  </si>
  <si>
    <t>Am See</t>
  </si>
  <si>
    <t>Schloßgasse</t>
  </si>
  <si>
    <t>Mühlgasse</t>
  </si>
  <si>
    <t>Alte Straße</t>
  </si>
  <si>
    <t>Sonnenplatz</t>
  </si>
  <si>
    <t>Am Kirchberg</t>
  </si>
  <si>
    <t>Blumenstraße</t>
  </si>
  <si>
    <t>Industriestraße</t>
  </si>
  <si>
    <t>Postplatz</t>
  </si>
  <si>
    <t>Allee</t>
  </si>
  <si>
    <t>Am Hang</t>
  </si>
  <si>
    <t>Am Anger</t>
  </si>
  <si>
    <t>Einsteinstraße</t>
  </si>
  <si>
    <t>Humboldtstraße</t>
  </si>
  <si>
    <t>Keplerweg</t>
  </si>
  <si>
    <t>Drosselweg</t>
  </si>
  <si>
    <t>Ahornweg</t>
  </si>
  <si>
    <t>Taubenstraße</t>
  </si>
  <si>
    <t>Schillerweg</t>
  </si>
  <si>
    <t>Goethegasse</t>
  </si>
  <si>
    <t>Beethovenweg</t>
  </si>
  <si>
    <t>Schützenstraße</t>
  </si>
  <si>
    <t>Bachgasse</t>
  </si>
  <si>
    <t>Gutenbergstraße</t>
  </si>
  <si>
    <t>Gutenbergplatz</t>
  </si>
  <si>
    <t>Erlenweg</t>
  </si>
  <si>
    <t>Tannenstraße</t>
  </si>
  <si>
    <t>Bürgermeisterweg</t>
  </si>
  <si>
    <t>Heinrich-Heine-Straße</t>
  </si>
  <si>
    <t>Hirschweg</t>
  </si>
  <si>
    <t>Finkenweg</t>
  </si>
  <si>
    <t>Falkenstraße</t>
  </si>
  <si>
    <t>Hirschstraße</t>
  </si>
  <si>
    <t>Hainweg</t>
  </si>
  <si>
    <t>Weidengasse</t>
  </si>
  <si>
    <t>Sternstraße</t>
  </si>
  <si>
    <t>Sternweg</t>
  </si>
  <si>
    <t>Adlerstraße</t>
  </si>
  <si>
    <t>Lerchenweg</t>
  </si>
  <si>
    <t>Fasanenstraße</t>
  </si>
  <si>
    <t>Kiefernweg</t>
  </si>
  <si>
    <t>Lilienweg</t>
  </si>
  <si>
    <t>Tulpenweg</t>
  </si>
  <si>
    <t>Sonnenweg</t>
  </si>
  <si>
    <t>Marienstraße</t>
  </si>
  <si>
    <t>Kastanienallee</t>
  </si>
  <si>
    <t>Am Rosenhügel</t>
  </si>
  <si>
    <t>Schumannstraße</t>
  </si>
  <si>
    <t>Beethovenplatz</t>
  </si>
  <si>
    <t>Brahmsweg</t>
  </si>
  <si>
    <t>Ringallee</t>
  </si>
  <si>
    <t>Apfelstraße</t>
  </si>
  <si>
    <t>Birkenallee</t>
  </si>
  <si>
    <t>Buchenweg</t>
  </si>
  <si>
    <t>Eichenstraße</t>
  </si>
  <si>
    <t>Elsternweg</t>
  </si>
  <si>
    <t>Eschenweg</t>
  </si>
  <si>
    <t>Fichtenweg</t>
  </si>
  <si>
    <t>Forellenweg</t>
  </si>
  <si>
    <t>Franz-Liszt-Straße</t>
  </si>
  <si>
    <t>Gänseweg</t>
  </si>
  <si>
    <t>Haubenweg</t>
  </si>
  <si>
    <t>Heinrichstraße</t>
  </si>
  <si>
    <t>Heideweg</t>
  </si>
  <si>
    <t>Hühnerweg</t>
  </si>
  <si>
    <t>Johannisweg</t>
  </si>
  <si>
    <t>Kaiserstraße</t>
  </si>
  <si>
    <t>Kastanienweg</t>
  </si>
  <si>
    <t>Kiefernstraße</t>
  </si>
  <si>
    <t>Kirschweg</t>
  </si>
  <si>
    <t>Kolibriweg</t>
  </si>
  <si>
    <t>Löwenweg</t>
  </si>
  <si>
    <t>Meisenweg</t>
  </si>
  <si>
    <t>Nelkenweg</t>
  </si>
  <si>
    <t>Oranienstraße</t>
  </si>
  <si>
    <t>Pappelallee</t>
  </si>
  <si>
    <t>Paprikastraße</t>
  </si>
  <si>
    <t>Petunienweg</t>
  </si>
  <si>
    <t>Postweg</t>
  </si>
  <si>
    <t>Quittenweg</t>
  </si>
  <si>
    <t>Regenbogenstraße</t>
  </si>
  <si>
    <t>Robert-Koch-Straße</t>
  </si>
  <si>
    <t>Schwanenweg</t>
  </si>
  <si>
    <t>Sebastianstraße</t>
  </si>
  <si>
    <t>Ulmenweg</t>
  </si>
  <si>
    <t>Veilchenweg</t>
  </si>
  <si>
    <t>Vogelweg</t>
  </si>
  <si>
    <t>Wacholderweg</t>
  </si>
  <si>
    <t>Weinbergstraße</t>
  </si>
  <si>
    <t>Wiesenweg</t>
  </si>
  <si>
    <t>Zeppelinstraße</t>
  </si>
  <si>
    <t>Albert-Einstein-Straße</t>
  </si>
  <si>
    <t>Marie-Curie-Straße</t>
  </si>
  <si>
    <t>Carl-Friedrich-Gauß-Straße</t>
  </si>
  <si>
    <t>Ludwig-van-Beethoven-Straße</t>
  </si>
  <si>
    <t>Johann-Wolfgang-von-Goethe-Straße</t>
  </si>
  <si>
    <t>Konrad-Adenauer-Straße</t>
  </si>
  <si>
    <t>Theodor-Heuss-Allee</t>
  </si>
  <si>
    <t>Helmut-Kohl-Straße</t>
  </si>
  <si>
    <t>Otto-von-Bismarck-Straße</t>
  </si>
  <si>
    <t>Gerhard-Schröder-Straße</t>
  </si>
  <si>
    <t>Angela-Merkel-Straße</t>
  </si>
  <si>
    <t>Heinrich-Heine-Allee</t>
  </si>
  <si>
    <t>Willy-Brandt-Straße</t>
  </si>
  <si>
    <t>Johannes-Gutenberg-Straße</t>
  </si>
  <si>
    <t>Martin-Luther-Straße</t>
  </si>
  <si>
    <t>Friedrich-Schiller-Straße</t>
  </si>
  <si>
    <t>Karl-Marx-Allee</t>
  </si>
  <si>
    <t>Gustav-Mahler-Straße</t>
  </si>
  <si>
    <t>Hans-Christian-Andersen-Straße</t>
  </si>
  <si>
    <t>Thomas-Mann-Straße</t>
  </si>
  <si>
    <t>Hermann-Hesse-Straße</t>
  </si>
  <si>
    <t>Immanuel-Kant-Straße</t>
  </si>
  <si>
    <t>Rainer-Maria-Rilke-Straße</t>
  </si>
  <si>
    <t>Georg-Wilhelm-Friedrich-Hegel-Straße</t>
  </si>
  <si>
    <t>Johann-Sebastian-Bach-Straße</t>
  </si>
  <si>
    <t>Wolfgang-Amadeus-Mozart-Straße</t>
  </si>
  <si>
    <t>Ludwig-Wittgenstein-Straße</t>
  </si>
  <si>
    <t>Franz-Kafka-Straße</t>
  </si>
  <si>
    <t>Friedrich-Nietzsche-Straße</t>
  </si>
  <si>
    <t>Robert-Schumann-Straße</t>
  </si>
  <si>
    <t>Johannes-Brahms-Straße</t>
  </si>
  <si>
    <t>Ludwig-Erhard-Straße</t>
  </si>
  <si>
    <t>Bertolt-Brecht-Straße</t>
  </si>
  <si>
    <t>Hermann-Hesse-Allee</t>
  </si>
  <si>
    <t>Johannes-Kepler-Straße</t>
  </si>
  <si>
    <t>Carl-Orff-Straße</t>
  </si>
  <si>
    <t>Johann-Gottfried-Herder-Straße</t>
  </si>
  <si>
    <t>Johann-Peter-Hebel-Straße</t>
  </si>
  <si>
    <t>Friedrich-Engels-Straße</t>
  </si>
  <si>
    <t>Karl-Valentin-Straße</t>
  </si>
  <si>
    <t>Erich-Kästner-Straße</t>
  </si>
  <si>
    <t>Georg-Friedrich-Händel-Straße</t>
  </si>
  <si>
    <t>Gustav-Stresemann-Straße</t>
  </si>
  <si>
    <t>Max-Planck-Straße</t>
  </si>
  <si>
    <t>Paul-Hindemith-Straße</t>
  </si>
  <si>
    <t>Friedrich-Dürrenmatt-Straße</t>
  </si>
  <si>
    <t>Kurt-Tucholsky-Straße</t>
  </si>
  <si>
    <t>Max-Frisch-Straße</t>
  </si>
  <si>
    <t>Pariser Platz</t>
  </si>
  <si>
    <t>Wiener Straße</t>
  </si>
  <si>
    <t>Londoner Straße</t>
  </si>
  <si>
    <t>Romstraße</t>
  </si>
  <si>
    <t>Athenstraße</t>
  </si>
  <si>
    <t>Moskauer Allee</t>
  </si>
  <si>
    <t>New Yorker Straße</t>
  </si>
  <si>
    <t>Tokiostraße</t>
  </si>
  <si>
    <t>Pekingweg</t>
  </si>
  <si>
    <t>Kopenhagener Weg</t>
  </si>
  <si>
    <t>Stockholmstraße</t>
  </si>
  <si>
    <t>Oslostraße</t>
  </si>
  <si>
    <t>Amsterdamweg</t>
  </si>
  <si>
    <t>Madridstraße</t>
  </si>
  <si>
    <t>Lissabonstraße</t>
  </si>
  <si>
    <t>Prager Straße</t>
  </si>
  <si>
    <t>Budapeststraße</t>
  </si>
  <si>
    <t>Warschauer Weg</t>
  </si>
  <si>
    <t>Brüsseler Straße</t>
  </si>
  <si>
    <t>Dubliner Weg</t>
  </si>
  <si>
    <t>Berner Straße</t>
  </si>
  <si>
    <t>Züricher Allee</t>
  </si>
  <si>
    <t>Athenweg</t>
  </si>
  <si>
    <t>Istanbulstraße</t>
  </si>
  <si>
    <t>Kapstadtweg</t>
  </si>
  <si>
    <t>Nairobiweg</t>
  </si>
  <si>
    <t>Buenos-Aires-Allee</t>
  </si>
  <si>
    <t>Rio-de-Janeiro-Straße</t>
  </si>
  <si>
    <t>Sydneyweg</t>
  </si>
  <si>
    <t>Montrealplatz</t>
  </si>
  <si>
    <t>Torontostraße</t>
  </si>
  <si>
    <t>Vancouverweg</t>
  </si>
  <si>
    <t>Mexikostraße</t>
  </si>
  <si>
    <t>Buenos-Aires-Weg</t>
  </si>
  <si>
    <t>Limastraße</t>
  </si>
  <si>
    <t>Santiago-Allee</t>
  </si>
  <si>
    <t>Havannastraße</t>
  </si>
  <si>
    <t>San-Francisco-Weg</t>
  </si>
  <si>
    <t>Los-Angeles-Straße</t>
  </si>
  <si>
    <t>Chicagostraße</t>
  </si>
  <si>
    <t>Miamiweg</t>
  </si>
  <si>
    <t>New-Orleans-Allee</t>
  </si>
  <si>
    <t>Seattleplatz</t>
  </si>
  <si>
    <t>Houstonweg</t>
  </si>
  <si>
    <t>Dallasstraße</t>
  </si>
  <si>
    <t>Phoenixweg</t>
  </si>
  <si>
    <t>Las-Vegas-Straße</t>
  </si>
  <si>
    <t>Denverweg</t>
  </si>
  <si>
    <t>Bostonstraße</t>
  </si>
  <si>
    <t>Washington-Allee</t>
  </si>
  <si>
    <t>Philadelphiaweg</t>
  </si>
  <si>
    <t>San-Diego-Straße</t>
  </si>
  <si>
    <t>San-Jose-Weg</t>
  </si>
  <si>
    <t>Austinstraße</t>
  </si>
  <si>
    <t>San-Antonio-Allee</t>
  </si>
  <si>
    <t>Indianapolisweg</t>
  </si>
  <si>
    <t>Detroitstraße</t>
  </si>
  <si>
    <t>Nashvilleplatz</t>
  </si>
  <si>
    <t>Memphisweg</t>
  </si>
  <si>
    <t>Atlantastraße</t>
  </si>
  <si>
    <t>Jacksonville-Weg</t>
  </si>
  <si>
    <t>Charlotte-Allee</t>
  </si>
  <si>
    <t>Richmondstraße</t>
  </si>
  <si>
    <t>Tampa-Straße</t>
  </si>
  <si>
    <t>Orlando-Weg</t>
  </si>
  <si>
    <t>Pittsburghplatz</t>
  </si>
  <si>
    <t>Columbusweg</t>
  </si>
  <si>
    <t>Cincinnati-Straße</t>
  </si>
  <si>
    <t>Cleveland-Allee</t>
  </si>
  <si>
    <t>Baltimoreweg</t>
  </si>
  <si>
    <t>Louisvillestraße</t>
  </si>
  <si>
    <t>Milwaukeeplatz</t>
  </si>
  <si>
    <t>Kansas-City-Weg</t>
  </si>
  <si>
    <t>Minneapolis-Straße</t>
  </si>
  <si>
    <t>St.-Louis-Allee</t>
  </si>
  <si>
    <t>New-Orleans-Platz</t>
  </si>
  <si>
    <t>Houstonstraße</t>
  </si>
  <si>
    <t>San-Antonio-Weg</t>
  </si>
  <si>
    <t>Dallas-Allee</t>
  </si>
  <si>
    <t>Potsdam-Mittelmark</t>
  </si>
  <si>
    <t>Potsdam</t>
  </si>
  <si>
    <t>Teltow</t>
  </si>
  <si>
    <t>Kleinmachnow</t>
  </si>
  <si>
    <t>Stahnsdorf</t>
  </si>
  <si>
    <t>Werder (Havel)</t>
  </si>
  <si>
    <t>Beelitz</t>
  </si>
  <si>
    <t>Michendorf</t>
  </si>
  <si>
    <t>Nuthetal</t>
  </si>
  <si>
    <t>Schwielowsee</t>
  </si>
  <si>
    <t>Seddiner See</t>
  </si>
  <si>
    <t>Borkheide</t>
  </si>
  <si>
    <t>Beetzsee</t>
  </si>
  <si>
    <t>Brück</t>
  </si>
  <si>
    <t>Görzke</t>
  </si>
  <si>
    <t>Wiesenburg/Mark</t>
  </si>
  <si>
    <t>Wusterwitz</t>
  </si>
  <si>
    <t>Kloster Lehnin</t>
  </si>
  <si>
    <t>Bad Belzig</t>
  </si>
  <si>
    <t>Belzig</t>
  </si>
  <si>
    <t>Groß Kreutz</t>
  </si>
  <si>
    <t>Klosterdorf</t>
  </si>
  <si>
    <t>Töplitz</t>
  </si>
  <si>
    <t>Werder</t>
  </si>
  <si>
    <t>Havelland</t>
  </si>
  <si>
    <t>Falkensee</t>
  </si>
  <si>
    <t>Nauen</t>
  </si>
  <si>
    <t>Dallgow-Döberitz</t>
  </si>
  <si>
    <t>Brieselang</t>
  </si>
  <si>
    <t>Schönwalde</t>
  </si>
  <si>
    <t>Wustermark</t>
  </si>
  <si>
    <t>Seeburg</t>
  </si>
  <si>
    <t>Bredow</t>
  </si>
  <si>
    <t>Groß Behnitz</t>
  </si>
  <si>
    <t>Ketzin</t>
  </si>
  <si>
    <t>Paaren im Glien</t>
  </si>
  <si>
    <t>Dallgow</t>
  </si>
  <si>
    <t>Brandenburg an der Havel</t>
  </si>
  <si>
    <t>Hohenstücken</t>
  </si>
  <si>
    <t>Päwesin</t>
  </si>
  <si>
    <t>0331</t>
  </si>
  <si>
    <t>03328</t>
  </si>
  <si>
    <t>033203</t>
  </si>
  <si>
    <t>03329</t>
  </si>
  <si>
    <t>03327</t>
  </si>
  <si>
    <t>033205</t>
  </si>
  <si>
    <t>033200</t>
  </si>
  <si>
    <t>033845</t>
  </si>
  <si>
    <t>03381</t>
  </si>
  <si>
    <t>033844</t>
  </si>
  <si>
    <t>033847</t>
  </si>
  <si>
    <t>033849</t>
  </si>
  <si>
    <t>033834</t>
  </si>
  <si>
    <t>033835</t>
  </si>
  <si>
    <t>033841</t>
  </si>
  <si>
    <t>033207</t>
  </si>
  <si>
    <t>033206</t>
  </si>
  <si>
    <t>033209</t>
  </si>
  <si>
    <t>03322</t>
  </si>
  <si>
    <t>03321</t>
  </si>
  <si>
    <t>033232</t>
  </si>
  <si>
    <t>033234</t>
  </si>
  <si>
    <t>033874</t>
  </si>
  <si>
    <t>033233</t>
  </si>
  <si>
    <t>033230</t>
  </si>
  <si>
    <t>Platanenstraße</t>
  </si>
  <si>
    <t>Adressen</t>
  </si>
  <si>
    <t>=AUFRUNDEN(ZUFALLSZAHL()*$B$2;0</t>
  </si>
  <si>
    <t>Strassen</t>
  </si>
  <si>
    <t>=AUFRUNDEN(ZUFALLSZAHL()*$C$2;0)</t>
  </si>
  <si>
    <t>PLZ</t>
  </si>
  <si>
    <t>=TEXT(GANZZAHL(ZUFALLSZAHL() * (SVERWEIS(B80;Adressen_Zufall;5;WAHR) - SVERWEIS(B80;Adressen_Zufall;5;WAHR)  + 1) + SVERWEIS(B80;Adressen_Zufall;5;WAHR) );"0")</t>
  </si>
  <si>
    <t>Ort</t>
  </si>
  <si>
    <t>Strasse</t>
  </si>
  <si>
    <t>Hausnummer</t>
  </si>
  <si>
    <t>=SVERWEIS(B80;Adressen_Zufall;3;WAHR)</t>
  </si>
  <si>
    <t>=SVERWEIS(C80;Strassen_Zufall;2;WAHR)</t>
  </si>
  <si>
    <t>=ErzeugeHausnummer()   (siehe VBA Methode)</t>
  </si>
  <si>
    <t>Vorwahl</t>
  </si>
  <si>
    <t>Telefonnummer</t>
  </si>
  <si>
    <t>=SVERWEIS(B80;Adressen_Zufall;7;WAHR)</t>
  </si>
  <si>
    <t>=LINKS(TEXT(GANZZAHL(ZUFALLSBEREICH(4;9)) &amp; ZUFALLSBEREICH(100000000000;999999999999); "0");SVERWEIS(B80;Adressen_Zufall;8;WAHR)-LÄNGE(SVERWEIS(B80;Adressen_Zufall;7;WAHR)))</t>
  </si>
  <si>
    <t>0151</t>
  </si>
  <si>
    <t>0152</t>
  </si>
  <si>
    <t>0155</t>
  </si>
  <si>
    <t>0157</t>
  </si>
  <si>
    <t>0159</t>
  </si>
  <si>
    <t>0160</t>
  </si>
  <si>
    <t>0162</t>
  </si>
  <si>
    <t>0163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</si>
  <si>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</si>
  <si>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</si>
  <si>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</si>
  <si>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</si>
  <si>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</si>
  <si>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</si>
  <si>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</si>
  <si>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</si>
  <si>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</si>
  <si>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</si>
  <si>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01511</t>
  </si>
  <si>
    <t>01512</t>
  </si>
  <si>
    <t>01513</t>
  </si>
  <si>
    <t>01514</t>
  </si>
  <si>
    <t>01515</t>
  </si>
  <si>
    <t>01516</t>
  </si>
  <si>
    <t>01517</t>
  </si>
  <si>
    <t>01518</t>
  </si>
  <si>
    <t>01519</t>
  </si>
  <si>
    <t>Bereiche</t>
  </si>
  <si>
    <t>=WENN(A1 &lt; 10; 5; WENN(A1 &lt;= 15; 7; WENN(A1 &lt;= 20; 9; WENN(A1 &lt;= 100; 10; 0))))</t>
  </si>
  <si>
    <t>Address</t>
  </si>
  <si>
    <t>SalaryType</t>
  </si>
  <si>
    <t>SalaryBase</t>
  </si>
  <si>
    <t>'free'</t>
  </si>
  <si>
    <t>'hr'</t>
  </si>
  <si>
    <t>'dy'</t>
  </si>
  <si>
    <t>'mo'</t>
  </si>
  <si>
    <t>'stündlich'</t>
  </si>
  <si>
    <t>'täglich'</t>
  </si>
  <si>
    <t>'monatlich'</t>
  </si>
  <si>
    <t>'Für diesen Lohn / Gehalt gibt es keine Zeitbasis, so dass eine Berechnung nicht möglich ist, oder einmalig'</t>
  </si>
  <si>
    <t>'Dieser Lohn / Gehalt bezieht sich auf eine Stunde (Stundenlohn)'</t>
  </si>
  <si>
    <t>'Dieser Lohn / Gehalt bezieht sich auf einen Tag (Tagessatz)'</t>
  </si>
  <si>
    <t>'Dieser Lohn / Gehalt bezieht sich auf einen Kalendermonat (Monatsgehalt)'</t>
  </si>
  <si>
    <t>'Gehalt'</t>
  </si>
  <si>
    <t>'Lohn'</t>
  </si>
  <si>
    <t>'Lo'</t>
  </si>
  <si>
    <t>'Ge'</t>
  </si>
  <si>
    <t>'Gehaltszahlungen werden als als festvereinbarte monatliche Zahlung geleistet'</t>
  </si>
  <si>
    <t>'Lohnzahlungen beziehen sich auf die im Monat geleisteten Arbeitsstunden. Krankheit und Urlaub wird als tägliche Arbeitszeit berücksichtigt.'</t>
  </si>
  <si>
    <t>'Ausbildung'</t>
  </si>
  <si>
    <t>'AV'</t>
  </si>
  <si>
    <t>'Ausbildungsvergütung wird als fester Betraf im Monat geleistet'</t>
  </si>
  <si>
    <t>'Minijob'</t>
  </si>
  <si>
    <t>'MJ'</t>
  </si>
  <si>
    <t>'Vergütung für geringfügig beschäftigte erfolgt auf monatlicher Basis'</t>
  </si>
  <si>
    <t>'Berater'</t>
  </si>
  <si>
    <t>'BH'</t>
  </si>
  <si>
    <t>'Beratungshonorare für externe Berater oder Zusatzleistungen werden auf Tagessatzbasis vereinbart.'</t>
  </si>
  <si>
    <t>'Prämie/Bonus'</t>
  </si>
  <si>
    <t>'Bo'</t>
  </si>
  <si>
    <t>'einmalige Prämienzahlungen, Bonie oder festvereinbarte Zahlungen'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</si>
</sst>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Courier New"/>
      <family val="3"/>
    </font>
    <font>
      <sz val="9"/>
      <name val="Arial"/>
      <family val="2"/>
    </font>
    <font>
      <i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2" fillId="0" borderId="0" xfId="0" applyFont="1"/>
    <xf numFmtId="49" fontId="0" fillId="0" borderId="0" xfId="0" applyNumberFormat="1"/>
    <xf numFmtId="0" fontId="0" fillId="2" borderId="0" xfId="0" applyFill="1"/>
    <xf numFmtId="0" fontId="1" fillId="0" borderId="0" xfId="0" applyFont="1" applyAlignment="1">
      <alignment horizontal="center"/>
    </xf>
    <xf numFmtId="0" fontId="0" fillId="0" borderId="0" xfId="0" quotePrefix="1"/>
    <xf numFmtId="14" fontId="0" fillId="0" borderId="0" xfId="0" quotePrefix="1" applyNumberFormat="1"/>
    <xf numFmtId="0" fontId="3" fillId="0" borderId="0" xfId="0" applyFont="1"/>
    <xf numFmtId="0" fontId="3" fillId="0" borderId="0" xfId="0" quotePrefix="1" applyFont="1"/>
    <xf numFmtId="0" fontId="1" fillId="0" borderId="0" xfId="0" applyFont="1"/>
    <xf numFmtId="0" fontId="4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E8A7A-B5FD-4059-BD11-0F956539CB25}">
  <sheetPr codeName="Tabelle6"/>
  <dimension ref="A1:C21"/>
  <sheetViews>
    <sheetView workbookViewId="0">
      <selection activeCell="B3" sqref="B3"/>
    </sheetView>
  </sheetViews>
  <sheetFormatPr baseColWidth="10" defaultRowHeight="14.25" x14ac:dyDescent="0.45"/>
  <cols>
    <col min="1" max="1" width="14.86328125" customWidth="1"/>
    <col min="2" max="2" width="135" customWidth="1"/>
  </cols>
  <sheetData>
    <row r="1" spans="1:3" x14ac:dyDescent="0.45">
      <c r="A1" t="s">
        <v>642</v>
      </c>
      <c r="B1" s="7" t="s">
        <v>643</v>
      </c>
      <c r="C1" t="s">
        <v>644</v>
      </c>
    </row>
    <row r="2" spans="1:3" x14ac:dyDescent="0.45">
      <c r="A2" t="s">
        <v>626</v>
      </c>
      <c r="B2" s="6" t="s">
        <v>641</v>
      </c>
      <c r="C2" t="s">
        <v>645</v>
      </c>
    </row>
    <row r="3" spans="1:3" x14ac:dyDescent="0.45">
      <c r="A3" t="s">
        <v>1015</v>
      </c>
      <c r="B3" s="6" t="s">
        <v>1031</v>
      </c>
    </row>
    <row r="5" spans="1:3" x14ac:dyDescent="0.45">
      <c r="B5" s="6"/>
    </row>
    <row r="8" spans="1:3" x14ac:dyDescent="0.45">
      <c r="A8" t="s">
        <v>1439</v>
      </c>
      <c r="B8" s="6" t="s">
        <v>1440</v>
      </c>
    </row>
    <row r="9" spans="1:3" x14ac:dyDescent="0.45">
      <c r="A9" t="s">
        <v>1441</v>
      </c>
      <c r="B9" s="6" t="s">
        <v>1442</v>
      </c>
    </row>
    <row r="11" spans="1:3" x14ac:dyDescent="0.45">
      <c r="A11" t="s">
        <v>1443</v>
      </c>
      <c r="B11" s="6" t="s">
        <v>1444</v>
      </c>
    </row>
    <row r="12" spans="1:3" x14ac:dyDescent="0.45">
      <c r="A12" t="s">
        <v>1445</v>
      </c>
      <c r="B12" s="6" t="s">
        <v>1448</v>
      </c>
    </row>
    <row r="13" spans="1:3" x14ac:dyDescent="0.45">
      <c r="A13" t="s">
        <v>1446</v>
      </c>
      <c r="B13" s="6" t="s">
        <v>1449</v>
      </c>
    </row>
    <row r="14" spans="1:3" x14ac:dyDescent="0.45">
      <c r="A14" t="s">
        <v>1447</v>
      </c>
      <c r="B14" s="6" t="s">
        <v>1450</v>
      </c>
    </row>
    <row r="16" spans="1:3" x14ac:dyDescent="0.45">
      <c r="A16" t="s">
        <v>1451</v>
      </c>
      <c r="B16" s="6" t="s">
        <v>1453</v>
      </c>
    </row>
    <row r="17" spans="1:2" x14ac:dyDescent="0.45">
      <c r="A17" t="s">
        <v>1452</v>
      </c>
      <c r="B17" s="6" t="s">
        <v>1454</v>
      </c>
    </row>
    <row r="21" spans="1:2" x14ac:dyDescent="0.45">
      <c r="A21" t="s">
        <v>1482</v>
      </c>
      <c r="B21" s="6" t="s">
        <v>1483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D0543-A2DC-4D53-A2FD-5D252D7A5CF1}">
  <sheetPr codeName="Tabelle9"/>
  <dimension ref="A2:N303"/>
  <sheetViews>
    <sheetView workbookViewId="0">
      <selection activeCell="B1" sqref="B1"/>
    </sheetView>
  </sheetViews>
  <sheetFormatPr baseColWidth="10" defaultRowHeight="14.25" x14ac:dyDescent="0.45"/>
  <cols>
    <col min="2" max="2" width="20.6640625" bestFit="1" customWidth="1"/>
    <col min="3" max="3" width="17.53125" customWidth="1"/>
    <col min="4" max="4" width="22.86328125" bestFit="1" customWidth="1"/>
    <col min="5" max="5" width="7.33203125" customWidth="1"/>
    <col min="6" max="6" width="7.19921875" customWidth="1"/>
    <col min="7" max="7" width="8.1328125" customWidth="1"/>
    <col min="8" max="8" width="6.3984375" customWidth="1"/>
    <col min="11" max="11" width="32.1328125" customWidth="1"/>
  </cols>
  <sheetData>
    <row r="2" spans="1:14" x14ac:dyDescent="0.45">
      <c r="A2">
        <v>1</v>
      </c>
      <c r="B2" t="s">
        <v>1054</v>
      </c>
      <c r="C2" t="s">
        <v>1054</v>
      </c>
      <c r="D2" t="s">
        <v>1072</v>
      </c>
      <c r="E2">
        <v>10115</v>
      </c>
      <c r="F2">
        <v>10119</v>
      </c>
      <c r="G2" s="6" t="s">
        <v>1068</v>
      </c>
      <c r="H2">
        <v>11</v>
      </c>
      <c r="J2">
        <v>1</v>
      </c>
      <c r="K2" t="s">
        <v>1192</v>
      </c>
      <c r="M2">
        <v>1</v>
      </c>
      <c r="N2" t="s">
        <v>1455</v>
      </c>
    </row>
    <row r="3" spans="1:14" x14ac:dyDescent="0.45">
      <c r="A3">
        <v>2</v>
      </c>
      <c r="B3" t="s">
        <v>1054</v>
      </c>
      <c r="C3" t="s">
        <v>1054</v>
      </c>
      <c r="D3" t="s">
        <v>1072</v>
      </c>
      <c r="E3">
        <v>10115</v>
      </c>
      <c r="F3">
        <v>10119</v>
      </c>
      <c r="G3" s="6" t="s">
        <v>1068</v>
      </c>
      <c r="H3">
        <v>11</v>
      </c>
      <c r="J3">
        <v>2</v>
      </c>
      <c r="K3" t="s">
        <v>1171</v>
      </c>
      <c r="M3">
        <v>2</v>
      </c>
      <c r="N3" t="s">
        <v>1455</v>
      </c>
    </row>
    <row r="4" spans="1:14" x14ac:dyDescent="0.45">
      <c r="A4">
        <v>3</v>
      </c>
      <c r="B4" t="s">
        <v>1054</v>
      </c>
      <c r="C4" t="s">
        <v>1054</v>
      </c>
      <c r="D4" t="s">
        <v>1072</v>
      </c>
      <c r="E4">
        <v>10115</v>
      </c>
      <c r="F4">
        <v>10119</v>
      </c>
      <c r="G4" s="6" t="s">
        <v>1068</v>
      </c>
      <c r="H4">
        <v>11</v>
      </c>
      <c r="J4">
        <v>3</v>
      </c>
      <c r="K4" t="s">
        <v>1061</v>
      </c>
      <c r="M4">
        <v>3</v>
      </c>
      <c r="N4" t="s">
        <v>1456</v>
      </c>
    </row>
    <row r="5" spans="1:14" x14ac:dyDescent="0.45">
      <c r="A5">
        <v>4</v>
      </c>
      <c r="B5" t="s">
        <v>1054</v>
      </c>
      <c r="C5" t="s">
        <v>1054</v>
      </c>
      <c r="D5" t="s">
        <v>1072</v>
      </c>
      <c r="E5">
        <v>10115</v>
      </c>
      <c r="F5">
        <v>10119</v>
      </c>
      <c r="G5" s="6" t="s">
        <v>1068</v>
      </c>
      <c r="H5">
        <v>11</v>
      </c>
      <c r="J5">
        <v>4</v>
      </c>
      <c r="K5" t="s">
        <v>1246</v>
      </c>
      <c r="M5">
        <v>4</v>
      </c>
      <c r="N5" t="s">
        <v>1456</v>
      </c>
    </row>
    <row r="6" spans="1:14" x14ac:dyDescent="0.45">
      <c r="A6">
        <v>5</v>
      </c>
      <c r="B6" t="s">
        <v>1054</v>
      </c>
      <c r="C6" t="s">
        <v>1054</v>
      </c>
      <c r="D6" t="s">
        <v>1073</v>
      </c>
      <c r="E6">
        <v>10243</v>
      </c>
      <c r="F6">
        <v>10249</v>
      </c>
      <c r="G6" s="6" t="s">
        <v>1068</v>
      </c>
      <c r="H6">
        <v>11</v>
      </c>
      <c r="J6">
        <v>5</v>
      </c>
      <c r="K6" t="s">
        <v>1127</v>
      </c>
      <c r="M6">
        <v>5</v>
      </c>
      <c r="N6" t="s">
        <v>1457</v>
      </c>
    </row>
    <row r="7" spans="1:14" x14ac:dyDescent="0.45">
      <c r="A7">
        <v>6</v>
      </c>
      <c r="B7" t="s">
        <v>1054</v>
      </c>
      <c r="C7" t="s">
        <v>1054</v>
      </c>
      <c r="D7" t="s">
        <v>1073</v>
      </c>
      <c r="E7">
        <v>10243</v>
      </c>
      <c r="F7">
        <v>10249</v>
      </c>
      <c r="G7" s="6" t="s">
        <v>1068</v>
      </c>
      <c r="H7">
        <v>11</v>
      </c>
      <c r="J7">
        <v>6</v>
      </c>
      <c r="K7" t="s">
        <v>1164</v>
      </c>
      <c r="M7">
        <v>6</v>
      </c>
      <c r="N7" t="s">
        <v>1457</v>
      </c>
    </row>
    <row r="8" spans="1:14" x14ac:dyDescent="0.45">
      <c r="A8">
        <v>7</v>
      </c>
      <c r="B8" t="s">
        <v>1054</v>
      </c>
      <c r="C8" t="s">
        <v>1054</v>
      </c>
      <c r="D8" t="s">
        <v>1073</v>
      </c>
      <c r="E8">
        <v>10961</v>
      </c>
      <c r="F8">
        <v>10969</v>
      </c>
      <c r="G8" s="6" t="s">
        <v>1068</v>
      </c>
      <c r="H8">
        <v>11</v>
      </c>
      <c r="J8">
        <v>7</v>
      </c>
      <c r="K8" t="s">
        <v>1158</v>
      </c>
      <c r="M8">
        <v>7</v>
      </c>
      <c r="N8" t="s">
        <v>1458</v>
      </c>
    </row>
    <row r="9" spans="1:14" x14ac:dyDescent="0.45">
      <c r="A9">
        <v>8</v>
      </c>
      <c r="B9" t="s">
        <v>1054</v>
      </c>
      <c r="C9" t="s">
        <v>1054</v>
      </c>
      <c r="D9" t="s">
        <v>1074</v>
      </c>
      <c r="E9">
        <v>10405</v>
      </c>
      <c r="F9">
        <v>10409</v>
      </c>
      <c r="G9" s="6" t="s">
        <v>1068</v>
      </c>
      <c r="H9">
        <v>11</v>
      </c>
      <c r="J9">
        <v>8</v>
      </c>
      <c r="K9" t="s">
        <v>1166</v>
      </c>
      <c r="M9">
        <v>8</v>
      </c>
      <c r="N9" t="s">
        <v>1458</v>
      </c>
    </row>
    <row r="10" spans="1:14" x14ac:dyDescent="0.45">
      <c r="A10">
        <v>9</v>
      </c>
      <c r="B10" t="s">
        <v>1054</v>
      </c>
      <c r="C10" t="s">
        <v>1054</v>
      </c>
      <c r="D10" t="s">
        <v>1074</v>
      </c>
      <c r="E10">
        <v>10405</v>
      </c>
      <c r="F10">
        <v>10409</v>
      </c>
      <c r="G10" s="6" t="s">
        <v>1068</v>
      </c>
      <c r="H10">
        <v>11</v>
      </c>
      <c r="J10">
        <v>9</v>
      </c>
      <c r="K10" t="s">
        <v>1063</v>
      </c>
      <c r="M10">
        <v>9</v>
      </c>
      <c r="N10" t="s">
        <v>1459</v>
      </c>
    </row>
    <row r="11" spans="1:14" x14ac:dyDescent="0.45">
      <c r="A11">
        <v>10</v>
      </c>
      <c r="B11" t="s">
        <v>1054</v>
      </c>
      <c r="C11" t="s">
        <v>1054</v>
      </c>
      <c r="D11" t="s">
        <v>1074</v>
      </c>
      <c r="E11">
        <v>10405</v>
      </c>
      <c r="F11">
        <v>10409</v>
      </c>
      <c r="G11" s="6" t="s">
        <v>1068</v>
      </c>
      <c r="H11">
        <v>11</v>
      </c>
      <c r="J11">
        <v>10</v>
      </c>
      <c r="K11" t="s">
        <v>1165</v>
      </c>
      <c r="M11">
        <v>10</v>
      </c>
      <c r="N11" t="s">
        <v>1459</v>
      </c>
    </row>
    <row r="12" spans="1:14" x14ac:dyDescent="0.45">
      <c r="A12">
        <v>11</v>
      </c>
      <c r="B12" t="s">
        <v>1054</v>
      </c>
      <c r="C12" t="s">
        <v>1054</v>
      </c>
      <c r="D12" t="s">
        <v>1074</v>
      </c>
      <c r="E12">
        <v>13125</v>
      </c>
      <c r="F12">
        <v>13129</v>
      </c>
      <c r="G12" s="6" t="s">
        <v>1068</v>
      </c>
      <c r="H12">
        <v>11</v>
      </c>
      <c r="J12">
        <v>11</v>
      </c>
      <c r="K12" t="s">
        <v>1160</v>
      </c>
      <c r="M12">
        <v>11</v>
      </c>
      <c r="N12" t="s">
        <v>1460</v>
      </c>
    </row>
    <row r="13" spans="1:14" x14ac:dyDescent="0.45">
      <c r="A13">
        <v>12</v>
      </c>
      <c r="B13" t="s">
        <v>1054</v>
      </c>
      <c r="C13" t="s">
        <v>1054</v>
      </c>
      <c r="D13" t="s">
        <v>1074</v>
      </c>
      <c r="E13">
        <v>13125</v>
      </c>
      <c r="F13">
        <v>13129</v>
      </c>
      <c r="G13" s="6" t="s">
        <v>1068</v>
      </c>
      <c r="H13">
        <v>11</v>
      </c>
      <c r="J13">
        <v>12</v>
      </c>
      <c r="K13" t="s">
        <v>1097</v>
      </c>
      <c r="M13">
        <v>12</v>
      </c>
      <c r="N13" t="s">
        <v>1460</v>
      </c>
    </row>
    <row r="14" spans="1:14" x14ac:dyDescent="0.45">
      <c r="A14">
        <v>13</v>
      </c>
      <c r="B14" t="s">
        <v>1054</v>
      </c>
      <c r="C14" t="s">
        <v>1054</v>
      </c>
      <c r="D14" t="s">
        <v>1074</v>
      </c>
      <c r="E14">
        <v>13156</v>
      </c>
      <c r="F14">
        <v>13158</v>
      </c>
      <c r="G14" s="6" t="s">
        <v>1068</v>
      </c>
      <c r="H14">
        <v>11</v>
      </c>
      <c r="J14">
        <v>13</v>
      </c>
      <c r="K14" t="s">
        <v>1201</v>
      </c>
      <c r="M14">
        <v>13</v>
      </c>
      <c r="N14" t="s">
        <v>1460</v>
      </c>
    </row>
    <row r="15" spans="1:14" x14ac:dyDescent="0.45">
      <c r="A15">
        <v>14</v>
      </c>
      <c r="B15" t="s">
        <v>1054</v>
      </c>
      <c r="C15" t="s">
        <v>1054</v>
      </c>
      <c r="D15" t="s">
        <v>1074</v>
      </c>
      <c r="E15">
        <v>13156</v>
      </c>
      <c r="F15">
        <v>13158</v>
      </c>
      <c r="G15" s="6" t="s">
        <v>1068</v>
      </c>
      <c r="H15">
        <v>11</v>
      </c>
      <c r="J15">
        <v>14</v>
      </c>
      <c r="K15" t="s">
        <v>1122</v>
      </c>
      <c r="M15">
        <v>14</v>
      </c>
      <c r="N15" t="s">
        <v>1461</v>
      </c>
    </row>
    <row r="16" spans="1:14" x14ac:dyDescent="0.45">
      <c r="A16">
        <v>15</v>
      </c>
      <c r="B16" t="s">
        <v>1054</v>
      </c>
      <c r="C16" t="s">
        <v>1054</v>
      </c>
      <c r="D16" t="s">
        <v>1074</v>
      </c>
      <c r="E16">
        <v>13187</v>
      </c>
      <c r="F16">
        <v>13189</v>
      </c>
      <c r="G16" s="6" t="s">
        <v>1068</v>
      </c>
      <c r="H16">
        <v>11</v>
      </c>
      <c r="J16">
        <v>15</v>
      </c>
      <c r="K16" t="s">
        <v>1155</v>
      </c>
      <c r="M16">
        <v>15</v>
      </c>
      <c r="N16" t="s">
        <v>1461</v>
      </c>
    </row>
    <row r="17" spans="1:14" x14ac:dyDescent="0.45">
      <c r="A17">
        <v>16</v>
      </c>
      <c r="B17" t="s">
        <v>1054</v>
      </c>
      <c r="C17" t="s">
        <v>1054</v>
      </c>
      <c r="D17" t="s">
        <v>1074</v>
      </c>
      <c r="E17">
        <v>13187</v>
      </c>
      <c r="F17">
        <v>13189</v>
      </c>
      <c r="G17" s="6" t="s">
        <v>1068</v>
      </c>
      <c r="H17">
        <v>11</v>
      </c>
      <c r="J17">
        <v>16</v>
      </c>
      <c r="K17" t="s">
        <v>1133</v>
      </c>
      <c r="M17">
        <v>16</v>
      </c>
      <c r="N17" t="s">
        <v>1462</v>
      </c>
    </row>
    <row r="18" spans="1:14" x14ac:dyDescent="0.45">
      <c r="A18">
        <v>17</v>
      </c>
      <c r="B18" t="s">
        <v>1054</v>
      </c>
      <c r="C18" t="s">
        <v>1054</v>
      </c>
      <c r="D18" t="s">
        <v>1074</v>
      </c>
      <c r="E18">
        <v>13187</v>
      </c>
      <c r="F18">
        <v>13189</v>
      </c>
      <c r="G18" s="6" t="s">
        <v>1068</v>
      </c>
      <c r="H18">
        <v>11</v>
      </c>
      <c r="J18">
        <v>17</v>
      </c>
      <c r="K18" t="s">
        <v>1150</v>
      </c>
      <c r="M18">
        <v>17</v>
      </c>
      <c r="N18" t="s">
        <v>1462</v>
      </c>
    </row>
    <row r="19" spans="1:14" x14ac:dyDescent="0.45">
      <c r="A19">
        <v>18</v>
      </c>
      <c r="B19" t="s">
        <v>1054</v>
      </c>
      <c r="C19" t="s">
        <v>1054</v>
      </c>
      <c r="D19" t="s">
        <v>1075</v>
      </c>
      <c r="E19">
        <v>10585</v>
      </c>
      <c r="F19">
        <v>10587</v>
      </c>
      <c r="G19" s="6" t="s">
        <v>1068</v>
      </c>
      <c r="H19">
        <v>11</v>
      </c>
      <c r="J19">
        <v>18</v>
      </c>
      <c r="K19" t="s">
        <v>1306</v>
      </c>
      <c r="M19">
        <v>18</v>
      </c>
      <c r="N19" t="s">
        <v>1462</v>
      </c>
    </row>
    <row r="20" spans="1:14" x14ac:dyDescent="0.45">
      <c r="A20">
        <v>19</v>
      </c>
      <c r="B20" t="s">
        <v>1054</v>
      </c>
      <c r="C20" t="s">
        <v>1054</v>
      </c>
      <c r="D20" t="s">
        <v>1075</v>
      </c>
      <c r="E20">
        <v>10585</v>
      </c>
      <c r="F20">
        <v>10587</v>
      </c>
      <c r="G20" s="6" t="s">
        <v>1068</v>
      </c>
      <c r="H20">
        <v>11</v>
      </c>
      <c r="J20">
        <v>19</v>
      </c>
      <c r="K20" t="s">
        <v>1256</v>
      </c>
      <c r="M20">
        <v>19</v>
      </c>
      <c r="N20" t="s">
        <v>1463</v>
      </c>
    </row>
    <row r="21" spans="1:14" x14ac:dyDescent="0.45">
      <c r="A21">
        <v>20</v>
      </c>
      <c r="B21" t="s">
        <v>1054</v>
      </c>
      <c r="C21" t="s">
        <v>1054</v>
      </c>
      <c r="D21" t="s">
        <v>1075</v>
      </c>
      <c r="E21">
        <v>10623</v>
      </c>
      <c r="F21">
        <v>10629</v>
      </c>
      <c r="G21" s="6" t="s">
        <v>1068</v>
      </c>
      <c r="H21">
        <v>11</v>
      </c>
      <c r="J21">
        <v>20</v>
      </c>
      <c r="K21" t="s">
        <v>1206</v>
      </c>
      <c r="M21">
        <v>20</v>
      </c>
      <c r="N21" t="s">
        <v>1463</v>
      </c>
    </row>
    <row r="22" spans="1:14" x14ac:dyDescent="0.45">
      <c r="A22">
        <v>21</v>
      </c>
      <c r="B22" t="s">
        <v>1054</v>
      </c>
      <c r="C22" t="s">
        <v>1054</v>
      </c>
      <c r="D22" t="s">
        <v>1075</v>
      </c>
      <c r="E22">
        <v>10623</v>
      </c>
      <c r="F22">
        <v>10629</v>
      </c>
      <c r="G22" s="6" t="s">
        <v>1068</v>
      </c>
      <c r="H22">
        <v>11</v>
      </c>
      <c r="J22">
        <v>21</v>
      </c>
      <c r="K22" t="s">
        <v>1298</v>
      </c>
      <c r="M22">
        <v>21</v>
      </c>
      <c r="N22" t="s">
        <v>1463</v>
      </c>
    </row>
    <row r="23" spans="1:14" x14ac:dyDescent="0.45">
      <c r="A23">
        <v>22</v>
      </c>
      <c r="B23" t="s">
        <v>1054</v>
      </c>
      <c r="C23" t="s">
        <v>1054</v>
      </c>
      <c r="D23" t="s">
        <v>1075</v>
      </c>
      <c r="E23">
        <v>10707</v>
      </c>
      <c r="F23">
        <v>10709</v>
      </c>
      <c r="G23" s="6" t="s">
        <v>1068</v>
      </c>
      <c r="H23">
        <v>11</v>
      </c>
      <c r="J23">
        <v>22</v>
      </c>
      <c r="K23" t="s">
        <v>1316</v>
      </c>
      <c r="M23">
        <v>22</v>
      </c>
      <c r="N23" t="s">
        <v>1464</v>
      </c>
    </row>
    <row r="24" spans="1:14" x14ac:dyDescent="0.45">
      <c r="A24">
        <v>23</v>
      </c>
      <c r="B24" t="s">
        <v>1054</v>
      </c>
      <c r="C24" t="s">
        <v>1054</v>
      </c>
      <c r="D24" t="s">
        <v>1075</v>
      </c>
      <c r="E24">
        <v>10707</v>
      </c>
      <c r="F24">
        <v>10709</v>
      </c>
      <c r="G24" s="6" t="s">
        <v>1068</v>
      </c>
      <c r="H24">
        <v>11</v>
      </c>
      <c r="J24">
        <v>23</v>
      </c>
      <c r="K24" t="s">
        <v>1353</v>
      </c>
      <c r="M24">
        <v>23</v>
      </c>
      <c r="N24" t="s">
        <v>1464</v>
      </c>
    </row>
    <row r="25" spans="1:14" x14ac:dyDescent="0.45">
      <c r="A25">
        <v>24</v>
      </c>
      <c r="B25" t="s">
        <v>1054</v>
      </c>
      <c r="C25" t="s">
        <v>1054</v>
      </c>
      <c r="D25" t="s">
        <v>1075</v>
      </c>
      <c r="E25">
        <v>10707</v>
      </c>
      <c r="F25">
        <v>10709</v>
      </c>
      <c r="G25" s="6" t="s">
        <v>1068</v>
      </c>
      <c r="H25">
        <v>11</v>
      </c>
      <c r="J25">
        <v>24</v>
      </c>
      <c r="K25" t="s">
        <v>1100</v>
      </c>
      <c r="M25">
        <v>24</v>
      </c>
      <c r="N25" t="s">
        <v>1464</v>
      </c>
    </row>
    <row r="26" spans="1:14" x14ac:dyDescent="0.45">
      <c r="A26">
        <v>25</v>
      </c>
      <c r="B26" t="s">
        <v>1054</v>
      </c>
      <c r="C26" t="s">
        <v>1054</v>
      </c>
      <c r="D26" t="s">
        <v>1075</v>
      </c>
      <c r="E26">
        <v>10707</v>
      </c>
      <c r="F26">
        <v>10709</v>
      </c>
      <c r="G26" s="6" t="s">
        <v>1068</v>
      </c>
      <c r="H26">
        <v>11</v>
      </c>
      <c r="J26">
        <v>25</v>
      </c>
      <c r="K26" t="s">
        <v>1347</v>
      </c>
      <c r="M26">
        <v>25</v>
      </c>
      <c r="N26" t="s">
        <v>1464</v>
      </c>
    </row>
    <row r="27" spans="1:14" x14ac:dyDescent="0.45">
      <c r="A27">
        <v>26</v>
      </c>
      <c r="B27" t="s">
        <v>1054</v>
      </c>
      <c r="C27" t="s">
        <v>1054</v>
      </c>
      <c r="D27" t="s">
        <v>1075</v>
      </c>
      <c r="E27">
        <v>14052</v>
      </c>
      <c r="F27">
        <v>14059</v>
      </c>
      <c r="G27" s="6" t="s">
        <v>1068</v>
      </c>
      <c r="H27">
        <v>11</v>
      </c>
      <c r="J27">
        <v>26</v>
      </c>
      <c r="K27" t="s">
        <v>1347</v>
      </c>
      <c r="M27">
        <v>26</v>
      </c>
      <c r="N27" t="s">
        <v>1465</v>
      </c>
    </row>
    <row r="28" spans="1:14" x14ac:dyDescent="0.45">
      <c r="A28">
        <v>27</v>
      </c>
      <c r="B28" t="s">
        <v>1054</v>
      </c>
      <c r="C28" t="s">
        <v>1054</v>
      </c>
      <c r="D28" t="s">
        <v>1075</v>
      </c>
      <c r="E28">
        <v>14052</v>
      </c>
      <c r="F28">
        <v>14059</v>
      </c>
      <c r="G28" s="6" t="s">
        <v>1068</v>
      </c>
      <c r="H28">
        <v>11</v>
      </c>
      <c r="J28">
        <v>27</v>
      </c>
      <c r="K28" t="s">
        <v>1177</v>
      </c>
      <c r="M28">
        <v>27</v>
      </c>
      <c r="N28" t="s">
        <v>1465</v>
      </c>
    </row>
    <row r="29" spans="1:14" x14ac:dyDescent="0.45">
      <c r="A29">
        <v>28</v>
      </c>
      <c r="B29" t="s">
        <v>1054</v>
      </c>
      <c r="C29" t="s">
        <v>1054</v>
      </c>
      <c r="D29" t="s">
        <v>1075</v>
      </c>
      <c r="E29">
        <v>14052</v>
      </c>
      <c r="F29">
        <v>14059</v>
      </c>
      <c r="G29" s="6" t="s">
        <v>1068</v>
      </c>
      <c r="H29">
        <v>11</v>
      </c>
      <c r="J29">
        <v>28</v>
      </c>
      <c r="K29" t="s">
        <v>1098</v>
      </c>
      <c r="M29">
        <v>28</v>
      </c>
      <c r="N29" t="s">
        <v>1465</v>
      </c>
    </row>
    <row r="30" spans="1:14" x14ac:dyDescent="0.45">
      <c r="A30">
        <v>29</v>
      </c>
      <c r="B30" t="s">
        <v>1054</v>
      </c>
      <c r="C30" t="s">
        <v>1054</v>
      </c>
      <c r="D30" t="s">
        <v>1075</v>
      </c>
      <c r="E30">
        <v>14052</v>
      </c>
      <c r="F30">
        <v>14059</v>
      </c>
      <c r="G30" s="6" t="s">
        <v>1068</v>
      </c>
      <c r="H30">
        <v>11</v>
      </c>
      <c r="J30">
        <v>29</v>
      </c>
      <c r="K30" t="s">
        <v>1104</v>
      </c>
      <c r="M30">
        <v>29</v>
      </c>
      <c r="N30" t="s">
        <v>1465</v>
      </c>
    </row>
    <row r="31" spans="1:14" x14ac:dyDescent="0.45">
      <c r="A31">
        <v>30</v>
      </c>
      <c r="B31" t="s">
        <v>1054</v>
      </c>
      <c r="C31" t="s">
        <v>1054</v>
      </c>
      <c r="D31" t="s">
        <v>1076</v>
      </c>
      <c r="E31">
        <v>13581</v>
      </c>
      <c r="F31">
        <v>13593</v>
      </c>
      <c r="G31" s="6" t="s">
        <v>1068</v>
      </c>
      <c r="H31">
        <v>11</v>
      </c>
      <c r="J31">
        <v>30</v>
      </c>
      <c r="K31" t="s">
        <v>1084</v>
      </c>
      <c r="M31">
        <v>30</v>
      </c>
      <c r="N31" t="s">
        <v>1465</v>
      </c>
    </row>
    <row r="32" spans="1:14" x14ac:dyDescent="0.45">
      <c r="A32">
        <v>31</v>
      </c>
      <c r="B32" t="s">
        <v>1054</v>
      </c>
      <c r="C32" t="s">
        <v>1054</v>
      </c>
      <c r="D32" t="s">
        <v>1076</v>
      </c>
      <c r="E32">
        <v>13581</v>
      </c>
      <c r="F32">
        <v>13593</v>
      </c>
      <c r="G32" s="6" t="s">
        <v>1068</v>
      </c>
      <c r="H32">
        <v>11</v>
      </c>
      <c r="J32">
        <v>31</v>
      </c>
      <c r="K32" t="s">
        <v>1115</v>
      </c>
      <c r="M32">
        <v>31</v>
      </c>
      <c r="N32" t="s">
        <v>1466</v>
      </c>
    </row>
    <row r="33" spans="1:14" x14ac:dyDescent="0.45">
      <c r="A33">
        <v>32</v>
      </c>
      <c r="B33" t="s">
        <v>1054</v>
      </c>
      <c r="C33" t="s">
        <v>1054</v>
      </c>
      <c r="D33" t="s">
        <v>1076</v>
      </c>
      <c r="E33">
        <v>13581</v>
      </c>
      <c r="F33">
        <v>13593</v>
      </c>
      <c r="G33" s="6" t="s">
        <v>1068</v>
      </c>
      <c r="H33">
        <v>11</v>
      </c>
      <c r="J33">
        <v>32</v>
      </c>
      <c r="K33" t="s">
        <v>1363</v>
      </c>
      <c r="M33">
        <v>32</v>
      </c>
      <c r="N33" t="s">
        <v>1466</v>
      </c>
    </row>
    <row r="34" spans="1:14" x14ac:dyDescent="0.45">
      <c r="A34">
        <v>33</v>
      </c>
      <c r="B34" t="s">
        <v>1054</v>
      </c>
      <c r="C34" t="s">
        <v>1054</v>
      </c>
      <c r="D34" t="s">
        <v>1076</v>
      </c>
      <c r="E34">
        <v>13581</v>
      </c>
      <c r="F34">
        <v>13593</v>
      </c>
      <c r="G34" s="6" t="s">
        <v>1068</v>
      </c>
      <c r="H34">
        <v>11</v>
      </c>
      <c r="J34">
        <v>33</v>
      </c>
      <c r="K34" t="s">
        <v>1203</v>
      </c>
      <c r="M34">
        <v>33</v>
      </c>
      <c r="N34" t="s">
        <v>1466</v>
      </c>
    </row>
    <row r="35" spans="1:14" x14ac:dyDescent="0.45">
      <c r="A35">
        <v>34</v>
      </c>
      <c r="B35" t="s">
        <v>1054</v>
      </c>
      <c r="C35" t="s">
        <v>1054</v>
      </c>
      <c r="D35" t="s">
        <v>1076</v>
      </c>
      <c r="E35">
        <v>13581</v>
      </c>
      <c r="F35">
        <v>13593</v>
      </c>
      <c r="G35" s="6" t="s">
        <v>1068</v>
      </c>
      <c r="H35">
        <v>11</v>
      </c>
      <c r="J35">
        <v>34</v>
      </c>
      <c r="K35" t="s">
        <v>1137</v>
      </c>
      <c r="M35">
        <v>34</v>
      </c>
      <c r="N35" t="s">
        <v>1467</v>
      </c>
    </row>
    <row r="36" spans="1:14" x14ac:dyDescent="0.45">
      <c r="A36">
        <v>35</v>
      </c>
      <c r="B36" t="s">
        <v>1054</v>
      </c>
      <c r="C36" t="s">
        <v>1054</v>
      </c>
      <c r="D36" t="s">
        <v>1076</v>
      </c>
      <c r="E36">
        <v>13581</v>
      </c>
      <c r="F36">
        <v>13593</v>
      </c>
      <c r="G36" s="6" t="s">
        <v>1068</v>
      </c>
      <c r="H36">
        <v>11</v>
      </c>
      <c r="J36">
        <v>35</v>
      </c>
      <c r="K36" t="s">
        <v>1175</v>
      </c>
      <c r="M36">
        <v>35</v>
      </c>
      <c r="N36" t="s">
        <v>1467</v>
      </c>
    </row>
    <row r="37" spans="1:14" x14ac:dyDescent="0.45">
      <c r="A37">
        <v>36</v>
      </c>
      <c r="B37" t="s">
        <v>1054</v>
      </c>
      <c r="C37" t="s">
        <v>1054</v>
      </c>
      <c r="D37" t="s">
        <v>1076</v>
      </c>
      <c r="E37">
        <v>13581</v>
      </c>
      <c r="F37">
        <v>13593</v>
      </c>
      <c r="G37" s="6" t="s">
        <v>1068</v>
      </c>
      <c r="H37">
        <v>11</v>
      </c>
      <c r="J37">
        <v>36</v>
      </c>
      <c r="K37" t="s">
        <v>1148</v>
      </c>
      <c r="M37">
        <v>36</v>
      </c>
      <c r="N37" t="s">
        <v>1467</v>
      </c>
    </row>
    <row r="38" spans="1:14" x14ac:dyDescent="0.45">
      <c r="A38">
        <v>37</v>
      </c>
      <c r="B38" t="s">
        <v>1054</v>
      </c>
      <c r="C38" t="s">
        <v>1054</v>
      </c>
      <c r="D38" t="s">
        <v>1076</v>
      </c>
      <c r="E38">
        <v>13581</v>
      </c>
      <c r="F38">
        <v>13593</v>
      </c>
      <c r="G38" s="6" t="s">
        <v>1068</v>
      </c>
      <c r="H38">
        <v>11</v>
      </c>
      <c r="J38">
        <v>37</v>
      </c>
      <c r="K38" t="s">
        <v>1058</v>
      </c>
      <c r="M38">
        <v>37</v>
      </c>
      <c r="N38" t="s">
        <v>1467</v>
      </c>
    </row>
    <row r="39" spans="1:14" x14ac:dyDescent="0.45">
      <c r="A39">
        <v>38</v>
      </c>
      <c r="B39" t="s">
        <v>1054</v>
      </c>
      <c r="C39" t="s">
        <v>1054</v>
      </c>
      <c r="D39" t="s">
        <v>1076</v>
      </c>
      <c r="E39">
        <v>13581</v>
      </c>
      <c r="F39">
        <v>13593</v>
      </c>
      <c r="G39" s="6" t="s">
        <v>1068</v>
      </c>
      <c r="H39">
        <v>11</v>
      </c>
      <c r="J39">
        <v>38</v>
      </c>
      <c r="K39" t="s">
        <v>1139</v>
      </c>
      <c r="M39">
        <v>38</v>
      </c>
      <c r="N39" t="s">
        <v>1468</v>
      </c>
    </row>
    <row r="40" spans="1:14" x14ac:dyDescent="0.45">
      <c r="A40">
        <v>39</v>
      </c>
      <c r="B40" t="s">
        <v>1054</v>
      </c>
      <c r="C40" t="s">
        <v>1054</v>
      </c>
      <c r="D40" t="s">
        <v>1076</v>
      </c>
      <c r="E40">
        <v>13581</v>
      </c>
      <c r="F40">
        <v>13593</v>
      </c>
      <c r="G40" s="6" t="s">
        <v>1068</v>
      </c>
      <c r="H40">
        <v>11</v>
      </c>
      <c r="J40">
        <v>39</v>
      </c>
      <c r="K40" t="s">
        <v>1085</v>
      </c>
      <c r="M40">
        <v>39</v>
      </c>
      <c r="N40" t="s">
        <v>1468</v>
      </c>
    </row>
    <row r="41" spans="1:14" x14ac:dyDescent="0.45">
      <c r="A41">
        <v>40</v>
      </c>
      <c r="B41" t="s">
        <v>1054</v>
      </c>
      <c r="C41" t="s">
        <v>1054</v>
      </c>
      <c r="D41" t="s">
        <v>1076</v>
      </c>
      <c r="E41">
        <v>13581</v>
      </c>
      <c r="F41">
        <v>13593</v>
      </c>
      <c r="G41" s="6" t="s">
        <v>1068</v>
      </c>
      <c r="H41">
        <v>11</v>
      </c>
      <c r="J41">
        <v>40</v>
      </c>
      <c r="K41" t="s">
        <v>1314</v>
      </c>
      <c r="M41">
        <v>40</v>
      </c>
      <c r="N41" t="s">
        <v>1468</v>
      </c>
    </row>
    <row r="42" spans="1:14" x14ac:dyDescent="0.45">
      <c r="A42">
        <v>41</v>
      </c>
      <c r="B42" t="s">
        <v>1054</v>
      </c>
      <c r="C42" t="s">
        <v>1054</v>
      </c>
      <c r="D42" t="s">
        <v>1076</v>
      </c>
      <c r="E42">
        <v>13581</v>
      </c>
      <c r="F42">
        <v>13593</v>
      </c>
      <c r="G42" s="6" t="s">
        <v>1068</v>
      </c>
      <c r="H42">
        <v>11</v>
      </c>
      <c r="J42">
        <v>41</v>
      </c>
      <c r="K42" t="s">
        <v>1278</v>
      </c>
      <c r="M42">
        <v>41</v>
      </c>
      <c r="N42" t="s">
        <v>1468</v>
      </c>
    </row>
    <row r="43" spans="1:14" x14ac:dyDescent="0.45">
      <c r="A43">
        <v>42</v>
      </c>
      <c r="B43" t="s">
        <v>1054</v>
      </c>
      <c r="C43" t="s">
        <v>1054</v>
      </c>
      <c r="D43" t="s">
        <v>1076</v>
      </c>
      <c r="E43">
        <v>13581</v>
      </c>
      <c r="F43">
        <v>13593</v>
      </c>
      <c r="G43" s="6" t="s">
        <v>1068</v>
      </c>
      <c r="H43">
        <v>11</v>
      </c>
      <c r="J43">
        <v>42</v>
      </c>
      <c r="K43" t="s">
        <v>1207</v>
      </c>
      <c r="M43">
        <v>42</v>
      </c>
      <c r="N43" t="s">
        <v>1469</v>
      </c>
    </row>
    <row r="44" spans="1:14" x14ac:dyDescent="0.45">
      <c r="A44">
        <v>43</v>
      </c>
      <c r="B44" t="s">
        <v>1054</v>
      </c>
      <c r="C44" t="s">
        <v>1054</v>
      </c>
      <c r="D44" t="s">
        <v>1076</v>
      </c>
      <c r="E44">
        <v>13581</v>
      </c>
      <c r="F44">
        <v>13593</v>
      </c>
      <c r="G44" s="6" t="s">
        <v>1068</v>
      </c>
      <c r="H44">
        <v>11</v>
      </c>
      <c r="J44">
        <v>43</v>
      </c>
      <c r="K44" t="s">
        <v>1140</v>
      </c>
      <c r="M44">
        <v>43</v>
      </c>
      <c r="N44" t="s">
        <v>1469</v>
      </c>
    </row>
    <row r="45" spans="1:14" x14ac:dyDescent="0.45">
      <c r="A45">
        <v>44</v>
      </c>
      <c r="B45" t="s">
        <v>1054</v>
      </c>
      <c r="C45" t="s">
        <v>1054</v>
      </c>
      <c r="D45" t="s">
        <v>1076</v>
      </c>
      <c r="E45">
        <v>13581</v>
      </c>
      <c r="F45">
        <v>13593</v>
      </c>
      <c r="G45" s="6" t="s">
        <v>1068</v>
      </c>
      <c r="H45">
        <v>11</v>
      </c>
      <c r="J45">
        <v>44</v>
      </c>
      <c r="K45" t="s">
        <v>1112</v>
      </c>
      <c r="M45">
        <v>44</v>
      </c>
      <c r="N45" t="s">
        <v>1470</v>
      </c>
    </row>
    <row r="46" spans="1:14" x14ac:dyDescent="0.45">
      <c r="A46">
        <v>45</v>
      </c>
      <c r="B46" t="s">
        <v>1054</v>
      </c>
      <c r="C46" t="s">
        <v>1054</v>
      </c>
      <c r="D46" t="s">
        <v>1076</v>
      </c>
      <c r="E46">
        <v>13581</v>
      </c>
      <c r="F46">
        <v>13593</v>
      </c>
      <c r="G46" s="6" t="s">
        <v>1068</v>
      </c>
      <c r="H46">
        <v>11</v>
      </c>
      <c r="J46">
        <v>45</v>
      </c>
      <c r="K46" t="s">
        <v>1161</v>
      </c>
      <c r="M46">
        <v>45</v>
      </c>
      <c r="N46" t="s">
        <v>1470</v>
      </c>
    </row>
    <row r="47" spans="1:14" x14ac:dyDescent="0.45">
      <c r="A47">
        <v>46</v>
      </c>
      <c r="B47" t="s">
        <v>1054</v>
      </c>
      <c r="C47" t="s">
        <v>1054</v>
      </c>
      <c r="D47" t="s">
        <v>1076</v>
      </c>
      <c r="E47">
        <v>13581</v>
      </c>
      <c r="F47">
        <v>13593</v>
      </c>
      <c r="G47" s="6" t="s">
        <v>1068</v>
      </c>
      <c r="H47">
        <v>11</v>
      </c>
      <c r="J47">
        <v>46</v>
      </c>
      <c r="K47" t="s">
        <v>1342</v>
      </c>
      <c r="M47">
        <v>46</v>
      </c>
      <c r="N47" t="s">
        <v>1471</v>
      </c>
    </row>
    <row r="48" spans="1:14" x14ac:dyDescent="0.45">
      <c r="A48">
        <v>47</v>
      </c>
      <c r="B48" t="s">
        <v>1054</v>
      </c>
      <c r="C48" t="s">
        <v>1054</v>
      </c>
      <c r="D48" t="s">
        <v>1076</v>
      </c>
      <c r="E48">
        <v>13581</v>
      </c>
      <c r="F48">
        <v>13593</v>
      </c>
      <c r="G48" s="6" t="s">
        <v>1068</v>
      </c>
      <c r="H48">
        <v>11</v>
      </c>
      <c r="J48">
        <v>47</v>
      </c>
      <c r="K48" t="s">
        <v>1204</v>
      </c>
      <c r="M48">
        <v>47</v>
      </c>
      <c r="N48" t="s">
        <v>1471</v>
      </c>
    </row>
    <row r="49" spans="1:14" x14ac:dyDescent="0.45">
      <c r="A49">
        <v>48</v>
      </c>
      <c r="B49" t="s">
        <v>1054</v>
      </c>
      <c r="C49" t="s">
        <v>1054</v>
      </c>
      <c r="D49" t="s">
        <v>1076</v>
      </c>
      <c r="E49">
        <v>13581</v>
      </c>
      <c r="F49">
        <v>13593</v>
      </c>
      <c r="G49" s="6" t="s">
        <v>1068</v>
      </c>
      <c r="H49">
        <v>11</v>
      </c>
      <c r="J49">
        <v>48</v>
      </c>
      <c r="K49" t="s">
        <v>1105</v>
      </c>
      <c r="M49">
        <v>48</v>
      </c>
      <c r="N49" t="s">
        <v>1471</v>
      </c>
    </row>
    <row r="50" spans="1:14" x14ac:dyDescent="0.45">
      <c r="A50">
        <v>49</v>
      </c>
      <c r="B50" t="s">
        <v>1054</v>
      </c>
      <c r="C50" t="s">
        <v>1054</v>
      </c>
      <c r="D50" t="s">
        <v>1076</v>
      </c>
      <c r="E50">
        <v>13581</v>
      </c>
      <c r="F50">
        <v>13593</v>
      </c>
      <c r="G50" s="6" t="s">
        <v>1068</v>
      </c>
      <c r="H50">
        <v>11</v>
      </c>
      <c r="J50">
        <v>49</v>
      </c>
      <c r="K50" t="s">
        <v>1312</v>
      </c>
      <c r="M50">
        <v>49</v>
      </c>
      <c r="N50" t="s">
        <v>1472</v>
      </c>
    </row>
    <row r="51" spans="1:14" x14ac:dyDescent="0.45">
      <c r="A51">
        <v>50</v>
      </c>
      <c r="B51" t="s">
        <v>1054</v>
      </c>
      <c r="C51" t="s">
        <v>1054</v>
      </c>
      <c r="D51" t="s">
        <v>1076</v>
      </c>
      <c r="E51">
        <v>13581</v>
      </c>
      <c r="F51">
        <v>13593</v>
      </c>
      <c r="G51" s="6" t="s">
        <v>1068</v>
      </c>
      <c r="H51">
        <v>11</v>
      </c>
      <c r="J51">
        <v>50</v>
      </c>
      <c r="K51" t="s">
        <v>1208</v>
      </c>
      <c r="M51">
        <v>50</v>
      </c>
      <c r="N51" t="s">
        <v>1472</v>
      </c>
    </row>
    <row r="52" spans="1:14" x14ac:dyDescent="0.45">
      <c r="A52">
        <v>51</v>
      </c>
      <c r="B52" t="s">
        <v>1054</v>
      </c>
      <c r="C52" t="s">
        <v>1054</v>
      </c>
      <c r="D52" t="s">
        <v>1076</v>
      </c>
      <c r="E52">
        <v>13581</v>
      </c>
      <c r="F52">
        <v>13593</v>
      </c>
      <c r="G52" s="6" t="s">
        <v>1068</v>
      </c>
      <c r="H52">
        <v>11</v>
      </c>
      <c r="J52">
        <v>51</v>
      </c>
      <c r="K52" t="s">
        <v>1310</v>
      </c>
      <c r="M52">
        <v>51</v>
      </c>
      <c r="N52" t="s">
        <v>1472</v>
      </c>
    </row>
    <row r="53" spans="1:14" x14ac:dyDescent="0.45">
      <c r="A53">
        <v>52</v>
      </c>
      <c r="B53" t="s">
        <v>1054</v>
      </c>
      <c r="C53" t="s">
        <v>1054</v>
      </c>
      <c r="D53" t="s">
        <v>1076</v>
      </c>
      <c r="E53">
        <v>13581</v>
      </c>
      <c r="F53">
        <v>13593</v>
      </c>
      <c r="G53" s="6" t="s">
        <v>1068</v>
      </c>
      <c r="H53">
        <v>11</v>
      </c>
      <c r="J53">
        <v>52</v>
      </c>
      <c r="K53" t="s">
        <v>1320</v>
      </c>
      <c r="M53">
        <v>52</v>
      </c>
      <c r="N53" t="s">
        <v>1473</v>
      </c>
    </row>
    <row r="54" spans="1:14" x14ac:dyDescent="0.45">
      <c r="A54">
        <v>53</v>
      </c>
      <c r="B54" t="s">
        <v>1054</v>
      </c>
      <c r="C54" t="s">
        <v>1054</v>
      </c>
      <c r="D54" t="s">
        <v>1076</v>
      </c>
      <c r="E54">
        <v>13597</v>
      </c>
      <c r="F54">
        <v>13599</v>
      </c>
      <c r="G54" s="6" t="s">
        <v>1068</v>
      </c>
      <c r="H54">
        <v>11</v>
      </c>
      <c r="J54">
        <v>53</v>
      </c>
      <c r="K54" t="s">
        <v>1327</v>
      </c>
      <c r="M54">
        <v>53</v>
      </c>
      <c r="N54" t="s">
        <v>1474</v>
      </c>
    </row>
    <row r="55" spans="1:14" x14ac:dyDescent="0.45">
      <c r="A55">
        <v>54</v>
      </c>
      <c r="B55" t="s">
        <v>1054</v>
      </c>
      <c r="C55" t="s">
        <v>1054</v>
      </c>
      <c r="D55" t="s">
        <v>1076</v>
      </c>
      <c r="E55">
        <v>13597</v>
      </c>
      <c r="F55">
        <v>13599</v>
      </c>
      <c r="G55" s="6" t="s">
        <v>1068</v>
      </c>
      <c r="H55">
        <v>11</v>
      </c>
      <c r="J55">
        <v>54</v>
      </c>
      <c r="K55" t="s">
        <v>1182</v>
      </c>
      <c r="M55">
        <v>54</v>
      </c>
      <c r="N55" t="s">
        <v>1475</v>
      </c>
    </row>
    <row r="56" spans="1:14" x14ac:dyDescent="0.45">
      <c r="A56">
        <v>55</v>
      </c>
      <c r="B56" t="s">
        <v>1054</v>
      </c>
      <c r="C56" t="s">
        <v>1054</v>
      </c>
      <c r="D56" t="s">
        <v>1076</v>
      </c>
      <c r="E56">
        <v>13597</v>
      </c>
      <c r="F56">
        <v>13599</v>
      </c>
      <c r="G56" s="6" t="s">
        <v>1068</v>
      </c>
      <c r="H56">
        <v>11</v>
      </c>
      <c r="J56">
        <v>55</v>
      </c>
      <c r="K56" t="s">
        <v>1248</v>
      </c>
      <c r="M56">
        <v>55</v>
      </c>
      <c r="N56" t="s">
        <v>1476</v>
      </c>
    </row>
    <row r="57" spans="1:14" x14ac:dyDescent="0.45">
      <c r="A57">
        <v>56</v>
      </c>
      <c r="B57" t="s">
        <v>1054</v>
      </c>
      <c r="C57" t="s">
        <v>1054</v>
      </c>
      <c r="D57" t="s">
        <v>1076</v>
      </c>
      <c r="E57">
        <v>13597</v>
      </c>
      <c r="F57">
        <v>13599</v>
      </c>
      <c r="G57" s="6" t="s">
        <v>1068</v>
      </c>
      <c r="H57">
        <v>11</v>
      </c>
      <c r="J57">
        <v>56</v>
      </c>
      <c r="K57" t="s">
        <v>1281</v>
      </c>
      <c r="M57">
        <v>56</v>
      </c>
      <c r="N57" t="s">
        <v>1477</v>
      </c>
    </row>
    <row r="58" spans="1:14" x14ac:dyDescent="0.45">
      <c r="A58">
        <v>57</v>
      </c>
      <c r="B58" t="s">
        <v>1054</v>
      </c>
      <c r="C58" t="s">
        <v>1054</v>
      </c>
      <c r="D58" t="s">
        <v>1076</v>
      </c>
      <c r="E58">
        <v>13597</v>
      </c>
      <c r="F58">
        <v>13599</v>
      </c>
      <c r="G58" s="6" t="s">
        <v>1068</v>
      </c>
      <c r="H58">
        <v>11</v>
      </c>
      <c r="J58">
        <v>57</v>
      </c>
      <c r="K58" t="s">
        <v>1355</v>
      </c>
      <c r="M58">
        <v>57</v>
      </c>
      <c r="N58" t="s">
        <v>1478</v>
      </c>
    </row>
    <row r="59" spans="1:14" x14ac:dyDescent="0.45">
      <c r="A59">
        <v>58</v>
      </c>
      <c r="B59" t="s">
        <v>1054</v>
      </c>
      <c r="C59" t="s">
        <v>1054</v>
      </c>
      <c r="D59" t="s">
        <v>1076</v>
      </c>
      <c r="E59">
        <v>13597</v>
      </c>
      <c r="F59">
        <v>13599</v>
      </c>
      <c r="G59" s="6" t="s">
        <v>1068</v>
      </c>
      <c r="H59">
        <v>11</v>
      </c>
      <c r="J59">
        <v>58</v>
      </c>
      <c r="K59" t="s">
        <v>1333</v>
      </c>
      <c r="M59">
        <v>58</v>
      </c>
      <c r="N59" t="s">
        <v>1479</v>
      </c>
    </row>
    <row r="60" spans="1:14" x14ac:dyDescent="0.45">
      <c r="A60">
        <v>59</v>
      </c>
      <c r="B60" t="s">
        <v>1054</v>
      </c>
      <c r="C60" t="s">
        <v>1054</v>
      </c>
      <c r="D60" t="s">
        <v>1076</v>
      </c>
      <c r="E60">
        <v>13597</v>
      </c>
      <c r="F60">
        <v>13599</v>
      </c>
      <c r="G60" s="6" t="s">
        <v>1068</v>
      </c>
      <c r="H60">
        <v>11</v>
      </c>
      <c r="J60">
        <v>59</v>
      </c>
      <c r="K60" t="s">
        <v>1361</v>
      </c>
      <c r="M60">
        <v>59</v>
      </c>
      <c r="N60" t="s">
        <v>1480</v>
      </c>
    </row>
    <row r="61" spans="1:14" x14ac:dyDescent="0.45">
      <c r="A61">
        <v>60</v>
      </c>
      <c r="B61" t="s">
        <v>1054</v>
      </c>
      <c r="C61" t="s">
        <v>1054</v>
      </c>
      <c r="D61" t="s">
        <v>1076</v>
      </c>
      <c r="E61">
        <v>13597</v>
      </c>
      <c r="F61">
        <v>13599</v>
      </c>
      <c r="G61" s="6" t="s">
        <v>1068</v>
      </c>
      <c r="H61">
        <v>11</v>
      </c>
      <c r="J61">
        <v>60</v>
      </c>
      <c r="K61" t="s">
        <v>1362</v>
      </c>
      <c r="M61">
        <v>60</v>
      </c>
      <c r="N61" t="s">
        <v>1481</v>
      </c>
    </row>
    <row r="62" spans="1:14" x14ac:dyDescent="0.45">
      <c r="A62">
        <v>61</v>
      </c>
      <c r="B62" t="s">
        <v>1054</v>
      </c>
      <c r="C62" t="s">
        <v>1054</v>
      </c>
      <c r="D62" t="s">
        <v>1076</v>
      </c>
      <c r="E62">
        <v>13597</v>
      </c>
      <c r="F62">
        <v>13599</v>
      </c>
      <c r="G62" s="6" t="s">
        <v>1068</v>
      </c>
      <c r="H62">
        <v>11</v>
      </c>
      <c r="J62">
        <v>61</v>
      </c>
      <c r="K62" t="s">
        <v>1360</v>
      </c>
    </row>
    <row r="63" spans="1:14" x14ac:dyDescent="0.45">
      <c r="A63">
        <v>62</v>
      </c>
      <c r="B63" t="s">
        <v>1054</v>
      </c>
      <c r="C63" t="s">
        <v>1054</v>
      </c>
      <c r="D63" t="s">
        <v>1076</v>
      </c>
      <c r="E63">
        <v>13597</v>
      </c>
      <c r="F63">
        <v>13599</v>
      </c>
      <c r="G63" s="6" t="s">
        <v>1068</v>
      </c>
      <c r="H63">
        <v>11</v>
      </c>
      <c r="J63">
        <v>62</v>
      </c>
      <c r="K63" t="s">
        <v>1372</v>
      </c>
    </row>
    <row r="64" spans="1:14" x14ac:dyDescent="0.45">
      <c r="A64">
        <v>63</v>
      </c>
      <c r="B64" t="s">
        <v>1054</v>
      </c>
      <c r="C64" t="s">
        <v>1054</v>
      </c>
      <c r="D64" t="s">
        <v>1076</v>
      </c>
      <c r="E64">
        <v>13597</v>
      </c>
      <c r="F64">
        <v>13599</v>
      </c>
      <c r="G64" s="6" t="s">
        <v>1068</v>
      </c>
      <c r="H64">
        <v>11</v>
      </c>
      <c r="J64">
        <v>63</v>
      </c>
      <c r="K64" t="s">
        <v>1338</v>
      </c>
    </row>
    <row r="65" spans="1:11" x14ac:dyDescent="0.45">
      <c r="A65">
        <v>64</v>
      </c>
      <c r="B65" t="s">
        <v>1054</v>
      </c>
      <c r="C65" t="s">
        <v>1054</v>
      </c>
      <c r="D65" t="s">
        <v>1076</v>
      </c>
      <c r="E65">
        <v>13597</v>
      </c>
      <c r="F65">
        <v>13599</v>
      </c>
      <c r="G65" s="6" t="s">
        <v>1068</v>
      </c>
      <c r="H65">
        <v>11</v>
      </c>
      <c r="J65">
        <v>64</v>
      </c>
      <c r="K65" t="s">
        <v>1341</v>
      </c>
    </row>
    <row r="66" spans="1:11" x14ac:dyDescent="0.45">
      <c r="A66">
        <v>65</v>
      </c>
      <c r="B66" t="s">
        <v>1054</v>
      </c>
      <c r="C66" t="s">
        <v>1054</v>
      </c>
      <c r="D66" t="s">
        <v>1076</v>
      </c>
      <c r="E66">
        <v>13597</v>
      </c>
      <c r="F66">
        <v>13599</v>
      </c>
      <c r="G66" s="6" t="s">
        <v>1068</v>
      </c>
      <c r="H66">
        <v>11</v>
      </c>
      <c r="J66">
        <v>65</v>
      </c>
      <c r="K66" t="s">
        <v>1350</v>
      </c>
    </row>
    <row r="67" spans="1:11" x14ac:dyDescent="0.45">
      <c r="A67">
        <v>66</v>
      </c>
      <c r="B67" t="s">
        <v>1054</v>
      </c>
      <c r="C67" t="s">
        <v>1054</v>
      </c>
      <c r="D67" t="s">
        <v>1076</v>
      </c>
      <c r="E67">
        <v>13597</v>
      </c>
      <c r="F67">
        <v>13599</v>
      </c>
      <c r="G67" s="6" t="s">
        <v>1068</v>
      </c>
      <c r="H67">
        <v>11</v>
      </c>
      <c r="J67">
        <v>66</v>
      </c>
      <c r="K67" t="s">
        <v>1057</v>
      </c>
    </row>
    <row r="68" spans="1:11" x14ac:dyDescent="0.45">
      <c r="A68">
        <v>67</v>
      </c>
      <c r="B68" t="s">
        <v>1054</v>
      </c>
      <c r="C68" t="s">
        <v>1054</v>
      </c>
      <c r="D68" t="s">
        <v>1076</v>
      </c>
      <c r="E68">
        <v>13597</v>
      </c>
      <c r="F68">
        <v>13599</v>
      </c>
      <c r="G68" s="6" t="s">
        <v>1068</v>
      </c>
      <c r="H68">
        <v>11</v>
      </c>
      <c r="J68">
        <v>67</v>
      </c>
      <c r="K68" t="s">
        <v>1170</v>
      </c>
    </row>
    <row r="69" spans="1:11" x14ac:dyDescent="0.45">
      <c r="A69">
        <v>68</v>
      </c>
      <c r="B69" t="s">
        <v>1054</v>
      </c>
      <c r="C69" t="s">
        <v>1054</v>
      </c>
      <c r="D69" t="s">
        <v>1076</v>
      </c>
      <c r="E69">
        <v>14050</v>
      </c>
      <c r="F69">
        <v>14055</v>
      </c>
      <c r="G69" s="6" t="s">
        <v>1068</v>
      </c>
      <c r="H69">
        <v>11</v>
      </c>
      <c r="J69">
        <v>68</v>
      </c>
      <c r="K69" t="s">
        <v>1313</v>
      </c>
    </row>
    <row r="70" spans="1:11" x14ac:dyDescent="0.45">
      <c r="A70">
        <v>69</v>
      </c>
      <c r="B70" t="s">
        <v>1054</v>
      </c>
      <c r="C70" t="s">
        <v>1054</v>
      </c>
      <c r="D70" t="s">
        <v>1076</v>
      </c>
      <c r="E70">
        <v>14050</v>
      </c>
      <c r="F70">
        <v>14055</v>
      </c>
      <c r="G70" s="6" t="s">
        <v>1068</v>
      </c>
      <c r="H70">
        <v>11</v>
      </c>
      <c r="J70">
        <v>69</v>
      </c>
      <c r="K70" t="s">
        <v>1209</v>
      </c>
    </row>
    <row r="71" spans="1:11" x14ac:dyDescent="0.45">
      <c r="A71">
        <v>70</v>
      </c>
      <c r="B71" t="s">
        <v>1054</v>
      </c>
      <c r="C71" t="s">
        <v>1054</v>
      </c>
      <c r="D71" t="s">
        <v>1076</v>
      </c>
      <c r="E71">
        <v>14050</v>
      </c>
      <c r="F71">
        <v>14055</v>
      </c>
      <c r="G71" s="6" t="s">
        <v>1068</v>
      </c>
      <c r="H71">
        <v>11</v>
      </c>
      <c r="J71">
        <v>70</v>
      </c>
      <c r="K71" t="s">
        <v>1117</v>
      </c>
    </row>
    <row r="72" spans="1:11" x14ac:dyDescent="0.45">
      <c r="A72">
        <v>71</v>
      </c>
      <c r="B72" t="s">
        <v>1054</v>
      </c>
      <c r="C72" t="s">
        <v>1054</v>
      </c>
      <c r="D72" t="s">
        <v>1076</v>
      </c>
      <c r="E72">
        <v>14050</v>
      </c>
      <c r="F72">
        <v>14055</v>
      </c>
      <c r="G72" s="6" t="s">
        <v>1068</v>
      </c>
      <c r="H72">
        <v>11</v>
      </c>
      <c r="J72">
        <v>71</v>
      </c>
      <c r="K72" t="s">
        <v>1167</v>
      </c>
    </row>
    <row r="73" spans="1:11" x14ac:dyDescent="0.45">
      <c r="A73">
        <v>72</v>
      </c>
      <c r="B73" t="s">
        <v>1054</v>
      </c>
      <c r="C73" t="s">
        <v>1054</v>
      </c>
      <c r="D73" t="s">
        <v>1076</v>
      </c>
      <c r="E73">
        <v>14050</v>
      </c>
      <c r="F73">
        <v>14055</v>
      </c>
      <c r="G73" s="6" t="s">
        <v>1068</v>
      </c>
      <c r="H73">
        <v>11</v>
      </c>
      <c r="J73">
        <v>72</v>
      </c>
      <c r="K73" t="s">
        <v>1210</v>
      </c>
    </row>
    <row r="74" spans="1:11" x14ac:dyDescent="0.45">
      <c r="A74">
        <v>73</v>
      </c>
      <c r="B74" t="s">
        <v>1054</v>
      </c>
      <c r="C74" t="s">
        <v>1054</v>
      </c>
      <c r="D74" t="s">
        <v>1076</v>
      </c>
      <c r="E74">
        <v>14050</v>
      </c>
      <c r="F74">
        <v>14055</v>
      </c>
      <c r="G74" s="6" t="s">
        <v>1068</v>
      </c>
      <c r="H74">
        <v>11</v>
      </c>
      <c r="J74">
        <v>73</v>
      </c>
      <c r="K74" t="s">
        <v>1286</v>
      </c>
    </row>
    <row r="75" spans="1:11" x14ac:dyDescent="0.45">
      <c r="A75">
        <v>74</v>
      </c>
      <c r="B75" t="s">
        <v>1054</v>
      </c>
      <c r="C75" t="s">
        <v>1054</v>
      </c>
      <c r="D75" t="s">
        <v>1076</v>
      </c>
      <c r="E75">
        <v>14050</v>
      </c>
      <c r="F75">
        <v>14055</v>
      </c>
      <c r="G75" s="6" t="s">
        <v>1068</v>
      </c>
      <c r="H75">
        <v>11</v>
      </c>
      <c r="J75">
        <v>74</v>
      </c>
      <c r="K75" t="s">
        <v>1180</v>
      </c>
    </row>
    <row r="76" spans="1:11" x14ac:dyDescent="0.45">
      <c r="A76">
        <v>75</v>
      </c>
      <c r="B76" t="s">
        <v>1054</v>
      </c>
      <c r="C76" t="s">
        <v>1054</v>
      </c>
      <c r="D76" t="s">
        <v>1076</v>
      </c>
      <c r="E76">
        <v>14050</v>
      </c>
      <c r="F76">
        <v>14055</v>
      </c>
      <c r="G76" s="6" t="s">
        <v>1068</v>
      </c>
      <c r="H76">
        <v>11</v>
      </c>
      <c r="J76">
        <v>75</v>
      </c>
      <c r="K76" t="s">
        <v>1211</v>
      </c>
    </row>
    <row r="77" spans="1:11" x14ac:dyDescent="0.45">
      <c r="A77">
        <v>76</v>
      </c>
      <c r="B77" t="s">
        <v>1054</v>
      </c>
      <c r="C77" t="s">
        <v>1054</v>
      </c>
      <c r="D77" t="s">
        <v>1076</v>
      </c>
      <c r="E77">
        <v>14050</v>
      </c>
      <c r="F77">
        <v>14055</v>
      </c>
      <c r="G77" s="6" t="s">
        <v>1068</v>
      </c>
      <c r="H77">
        <v>11</v>
      </c>
      <c r="J77">
        <v>76</v>
      </c>
      <c r="K77" t="s">
        <v>1109</v>
      </c>
    </row>
    <row r="78" spans="1:11" x14ac:dyDescent="0.45">
      <c r="A78">
        <v>77</v>
      </c>
      <c r="B78" t="s">
        <v>1054</v>
      </c>
      <c r="C78" t="s">
        <v>1054</v>
      </c>
      <c r="D78" t="s">
        <v>1076</v>
      </c>
      <c r="E78">
        <v>14050</v>
      </c>
      <c r="F78">
        <v>14055</v>
      </c>
      <c r="G78" s="6" t="s">
        <v>1068</v>
      </c>
      <c r="H78">
        <v>11</v>
      </c>
      <c r="J78">
        <v>77</v>
      </c>
      <c r="K78" t="s">
        <v>1186</v>
      </c>
    </row>
    <row r="79" spans="1:11" x14ac:dyDescent="0.45">
      <c r="A79">
        <v>78</v>
      </c>
      <c r="B79" t="s">
        <v>1054</v>
      </c>
      <c r="C79" t="s">
        <v>1054</v>
      </c>
      <c r="D79" t="s">
        <v>1076</v>
      </c>
      <c r="E79">
        <v>14050</v>
      </c>
      <c r="F79">
        <v>14055</v>
      </c>
      <c r="G79" s="6" t="s">
        <v>1068</v>
      </c>
      <c r="H79">
        <v>11</v>
      </c>
      <c r="J79">
        <v>78</v>
      </c>
      <c r="K79" t="s">
        <v>1194</v>
      </c>
    </row>
    <row r="80" spans="1:11" x14ac:dyDescent="0.45">
      <c r="A80">
        <v>79</v>
      </c>
      <c r="B80" t="s">
        <v>1054</v>
      </c>
      <c r="C80" t="s">
        <v>1054</v>
      </c>
      <c r="D80" t="s">
        <v>1076</v>
      </c>
      <c r="E80">
        <v>14050</v>
      </c>
      <c r="F80">
        <v>14055</v>
      </c>
      <c r="G80" s="6" t="s">
        <v>1068</v>
      </c>
      <c r="H80">
        <v>11</v>
      </c>
      <c r="J80">
        <v>79</v>
      </c>
      <c r="K80" t="s">
        <v>1129</v>
      </c>
    </row>
    <row r="81" spans="1:11" x14ac:dyDescent="0.45">
      <c r="A81">
        <v>80</v>
      </c>
      <c r="B81" t="s">
        <v>1054</v>
      </c>
      <c r="C81" t="s">
        <v>1054</v>
      </c>
      <c r="D81" t="s">
        <v>1076</v>
      </c>
      <c r="E81">
        <v>14050</v>
      </c>
      <c r="F81">
        <v>14055</v>
      </c>
      <c r="G81" s="6" t="s">
        <v>1068</v>
      </c>
      <c r="H81">
        <v>11</v>
      </c>
      <c r="J81">
        <v>80</v>
      </c>
      <c r="K81" t="s">
        <v>1151</v>
      </c>
    </row>
    <row r="82" spans="1:11" x14ac:dyDescent="0.45">
      <c r="A82">
        <v>81</v>
      </c>
      <c r="B82" t="s">
        <v>1054</v>
      </c>
      <c r="C82" t="s">
        <v>1054</v>
      </c>
      <c r="D82" t="s">
        <v>1077</v>
      </c>
      <c r="E82">
        <v>12157</v>
      </c>
      <c r="F82">
        <v>12209</v>
      </c>
      <c r="G82" s="6" t="s">
        <v>1068</v>
      </c>
      <c r="H82">
        <v>11</v>
      </c>
      <c r="J82">
        <v>81</v>
      </c>
      <c r="K82" t="s">
        <v>1212</v>
      </c>
    </row>
    <row r="83" spans="1:11" x14ac:dyDescent="0.45">
      <c r="A83">
        <v>82</v>
      </c>
      <c r="B83" t="s">
        <v>1054</v>
      </c>
      <c r="C83" t="s">
        <v>1054</v>
      </c>
      <c r="D83" t="s">
        <v>1077</v>
      </c>
      <c r="E83">
        <v>12157</v>
      </c>
      <c r="F83">
        <v>12209</v>
      </c>
      <c r="G83" s="6" t="s">
        <v>1068</v>
      </c>
      <c r="H83">
        <v>11</v>
      </c>
      <c r="J83">
        <v>82</v>
      </c>
      <c r="K83" t="s">
        <v>1185</v>
      </c>
    </row>
    <row r="84" spans="1:11" x14ac:dyDescent="0.45">
      <c r="A84">
        <v>83</v>
      </c>
      <c r="B84" t="s">
        <v>1054</v>
      </c>
      <c r="C84" t="s">
        <v>1054</v>
      </c>
      <c r="D84" t="s">
        <v>1077</v>
      </c>
      <c r="E84">
        <v>12157</v>
      </c>
      <c r="F84">
        <v>12209</v>
      </c>
      <c r="G84" s="6" t="s">
        <v>1068</v>
      </c>
      <c r="H84">
        <v>11</v>
      </c>
      <c r="J84">
        <v>83</v>
      </c>
      <c r="K84" t="s">
        <v>1213</v>
      </c>
    </row>
    <row r="85" spans="1:11" x14ac:dyDescent="0.45">
      <c r="A85">
        <v>84</v>
      </c>
      <c r="B85" t="s">
        <v>1054</v>
      </c>
      <c r="C85" t="s">
        <v>1054</v>
      </c>
      <c r="D85" t="s">
        <v>1077</v>
      </c>
      <c r="E85">
        <v>14163</v>
      </c>
      <c r="F85">
        <v>14199</v>
      </c>
      <c r="G85" s="6" t="s">
        <v>1068</v>
      </c>
      <c r="H85">
        <v>11</v>
      </c>
      <c r="J85">
        <v>84</v>
      </c>
      <c r="K85" t="s">
        <v>1273</v>
      </c>
    </row>
    <row r="86" spans="1:11" x14ac:dyDescent="0.45">
      <c r="A86">
        <v>85</v>
      </c>
      <c r="B86" t="s">
        <v>1054</v>
      </c>
      <c r="C86" t="s">
        <v>1054</v>
      </c>
      <c r="D86" t="s">
        <v>1077</v>
      </c>
      <c r="E86">
        <v>14163</v>
      </c>
      <c r="F86">
        <v>14199</v>
      </c>
      <c r="G86" s="6" t="s">
        <v>1068</v>
      </c>
      <c r="H86">
        <v>11</v>
      </c>
      <c r="J86">
        <v>85</v>
      </c>
      <c r="K86" t="s">
        <v>1214</v>
      </c>
    </row>
    <row r="87" spans="1:11" x14ac:dyDescent="0.45">
      <c r="A87">
        <v>86</v>
      </c>
      <c r="B87" t="s">
        <v>1054</v>
      </c>
      <c r="C87" t="s">
        <v>1054</v>
      </c>
      <c r="D87" t="s">
        <v>1078</v>
      </c>
      <c r="E87">
        <v>10825</v>
      </c>
      <c r="F87">
        <v>10829</v>
      </c>
      <c r="G87" s="6" t="s">
        <v>1068</v>
      </c>
      <c r="H87">
        <v>11</v>
      </c>
      <c r="J87">
        <v>86</v>
      </c>
      <c r="K87" t="s">
        <v>1132</v>
      </c>
    </row>
    <row r="88" spans="1:11" x14ac:dyDescent="0.45">
      <c r="A88">
        <v>87</v>
      </c>
      <c r="B88" t="s">
        <v>1054</v>
      </c>
      <c r="C88" t="s">
        <v>1054</v>
      </c>
      <c r="D88" t="s">
        <v>1078</v>
      </c>
      <c r="E88">
        <v>10825</v>
      </c>
      <c r="F88">
        <v>10829</v>
      </c>
      <c r="G88" s="6" t="s">
        <v>1068</v>
      </c>
      <c r="H88">
        <v>11</v>
      </c>
      <c r="J88">
        <v>87</v>
      </c>
      <c r="K88" t="s">
        <v>1291</v>
      </c>
    </row>
    <row r="89" spans="1:11" x14ac:dyDescent="0.45">
      <c r="A89">
        <v>88</v>
      </c>
      <c r="B89" t="s">
        <v>1054</v>
      </c>
      <c r="C89" t="s">
        <v>1054</v>
      </c>
      <c r="D89" t="s">
        <v>1078</v>
      </c>
      <c r="E89">
        <v>12101</v>
      </c>
      <c r="F89">
        <v>12109</v>
      </c>
      <c r="G89" s="6" t="s">
        <v>1068</v>
      </c>
      <c r="H89">
        <v>11</v>
      </c>
      <c r="J89">
        <v>88</v>
      </c>
      <c r="K89" t="s">
        <v>1284</v>
      </c>
    </row>
    <row r="90" spans="1:11" x14ac:dyDescent="0.45">
      <c r="A90">
        <v>89</v>
      </c>
      <c r="B90" t="s">
        <v>1054</v>
      </c>
      <c r="C90" t="s">
        <v>1054</v>
      </c>
      <c r="D90" t="s">
        <v>1078</v>
      </c>
      <c r="E90">
        <v>12157</v>
      </c>
      <c r="F90">
        <v>12169</v>
      </c>
      <c r="G90" s="6" t="s">
        <v>1068</v>
      </c>
      <c r="H90">
        <v>11</v>
      </c>
      <c r="J90">
        <v>89</v>
      </c>
      <c r="K90" t="s">
        <v>1274</v>
      </c>
    </row>
    <row r="91" spans="1:11" x14ac:dyDescent="0.45">
      <c r="A91">
        <v>90</v>
      </c>
      <c r="B91" t="s">
        <v>1054</v>
      </c>
      <c r="C91" t="s">
        <v>1054</v>
      </c>
      <c r="D91" t="s">
        <v>1078</v>
      </c>
      <c r="E91">
        <v>12157</v>
      </c>
      <c r="F91">
        <v>12169</v>
      </c>
      <c r="G91" s="6" t="s">
        <v>1068</v>
      </c>
      <c r="H91">
        <v>11</v>
      </c>
      <c r="J91">
        <v>90</v>
      </c>
      <c r="K91" t="s">
        <v>1261</v>
      </c>
    </row>
    <row r="92" spans="1:11" x14ac:dyDescent="0.45">
      <c r="A92">
        <v>91</v>
      </c>
      <c r="B92" t="s">
        <v>1054</v>
      </c>
      <c r="C92" t="s">
        <v>1054</v>
      </c>
      <c r="D92" t="s">
        <v>1078</v>
      </c>
      <c r="E92">
        <v>12157</v>
      </c>
      <c r="F92">
        <v>12169</v>
      </c>
      <c r="G92" s="6" t="s">
        <v>1068</v>
      </c>
      <c r="H92">
        <v>11</v>
      </c>
      <c r="J92">
        <v>91</v>
      </c>
      <c r="K92" t="s">
        <v>1087</v>
      </c>
    </row>
    <row r="93" spans="1:11" x14ac:dyDescent="0.45">
      <c r="A93">
        <v>92</v>
      </c>
      <c r="B93" t="s">
        <v>1054</v>
      </c>
      <c r="C93" t="s">
        <v>1054</v>
      </c>
      <c r="D93" t="s">
        <v>1078</v>
      </c>
      <c r="E93">
        <v>12247</v>
      </c>
      <c r="F93">
        <v>12249</v>
      </c>
      <c r="G93" s="6" t="s">
        <v>1068</v>
      </c>
      <c r="H93">
        <v>11</v>
      </c>
      <c r="J93">
        <v>92</v>
      </c>
      <c r="K93" t="s">
        <v>1215</v>
      </c>
    </row>
    <row r="94" spans="1:11" x14ac:dyDescent="0.45">
      <c r="A94">
        <v>93</v>
      </c>
      <c r="B94" t="s">
        <v>1054</v>
      </c>
      <c r="C94" t="s">
        <v>1054</v>
      </c>
      <c r="D94" t="s">
        <v>1078</v>
      </c>
      <c r="E94">
        <v>12247</v>
      </c>
      <c r="F94">
        <v>12249</v>
      </c>
      <c r="G94" s="6" t="s">
        <v>1068</v>
      </c>
      <c r="H94">
        <v>11</v>
      </c>
      <c r="J94">
        <v>93</v>
      </c>
      <c r="K94" t="s">
        <v>1092</v>
      </c>
    </row>
    <row r="95" spans="1:11" x14ac:dyDescent="0.45">
      <c r="A95">
        <v>94</v>
      </c>
      <c r="B95" t="s">
        <v>1054</v>
      </c>
      <c r="C95" t="s">
        <v>1054</v>
      </c>
      <c r="D95" t="s">
        <v>1078</v>
      </c>
      <c r="E95">
        <v>12247</v>
      </c>
      <c r="F95">
        <v>12249</v>
      </c>
      <c r="G95" s="6" t="s">
        <v>1068</v>
      </c>
      <c r="H95">
        <v>11</v>
      </c>
      <c r="J95">
        <v>94</v>
      </c>
      <c r="K95" t="s">
        <v>1114</v>
      </c>
    </row>
    <row r="96" spans="1:11" x14ac:dyDescent="0.45">
      <c r="A96">
        <v>95</v>
      </c>
      <c r="B96" t="s">
        <v>1054</v>
      </c>
      <c r="C96" t="s">
        <v>1054</v>
      </c>
      <c r="D96" t="s">
        <v>1079</v>
      </c>
      <c r="E96">
        <v>12043</v>
      </c>
      <c r="F96">
        <v>12055</v>
      </c>
      <c r="G96" s="6" t="s">
        <v>1068</v>
      </c>
      <c r="H96">
        <v>11</v>
      </c>
      <c r="J96">
        <v>95</v>
      </c>
      <c r="K96" t="s">
        <v>1287</v>
      </c>
    </row>
    <row r="97" spans="1:11" x14ac:dyDescent="0.45">
      <c r="A97">
        <v>96</v>
      </c>
      <c r="B97" t="s">
        <v>1054</v>
      </c>
      <c r="C97" t="s">
        <v>1054</v>
      </c>
      <c r="D97" t="s">
        <v>1079</v>
      </c>
      <c r="E97">
        <v>12043</v>
      </c>
      <c r="F97">
        <v>12055</v>
      </c>
      <c r="G97" s="6" t="s">
        <v>1068</v>
      </c>
      <c r="H97">
        <v>11</v>
      </c>
      <c r="J97">
        <v>96</v>
      </c>
      <c r="K97" t="s">
        <v>1269</v>
      </c>
    </row>
    <row r="98" spans="1:11" x14ac:dyDescent="0.45">
      <c r="A98">
        <v>97</v>
      </c>
      <c r="B98" t="s">
        <v>1054</v>
      </c>
      <c r="C98" t="s">
        <v>1054</v>
      </c>
      <c r="D98" t="s">
        <v>1079</v>
      </c>
      <c r="E98">
        <v>12043</v>
      </c>
      <c r="F98">
        <v>12055</v>
      </c>
      <c r="G98" s="6" t="s">
        <v>1068</v>
      </c>
      <c r="H98">
        <v>11</v>
      </c>
      <c r="J98">
        <v>97</v>
      </c>
      <c r="K98" t="s">
        <v>1255</v>
      </c>
    </row>
    <row r="99" spans="1:11" x14ac:dyDescent="0.45">
      <c r="A99">
        <v>98</v>
      </c>
      <c r="B99" t="s">
        <v>1054</v>
      </c>
      <c r="C99" t="s">
        <v>1054</v>
      </c>
      <c r="D99" t="s">
        <v>1079</v>
      </c>
      <c r="E99">
        <v>12057</v>
      </c>
      <c r="F99">
        <v>12059</v>
      </c>
      <c r="G99" s="6" t="s">
        <v>1068</v>
      </c>
      <c r="H99">
        <v>11</v>
      </c>
      <c r="J99">
        <v>98</v>
      </c>
      <c r="K99" t="s">
        <v>1174</v>
      </c>
    </row>
    <row r="100" spans="1:11" x14ac:dyDescent="0.45">
      <c r="A100">
        <v>99</v>
      </c>
      <c r="B100" t="s">
        <v>1054</v>
      </c>
      <c r="C100" t="s">
        <v>1054</v>
      </c>
      <c r="D100" t="s">
        <v>1079</v>
      </c>
      <c r="E100">
        <v>12057</v>
      </c>
      <c r="F100">
        <v>12059</v>
      </c>
      <c r="G100" s="6" t="s">
        <v>1068</v>
      </c>
      <c r="H100">
        <v>11</v>
      </c>
      <c r="J100">
        <v>99</v>
      </c>
      <c r="K100" t="s">
        <v>1123</v>
      </c>
    </row>
    <row r="101" spans="1:11" x14ac:dyDescent="0.45">
      <c r="A101">
        <v>100</v>
      </c>
      <c r="B101" t="s">
        <v>1054</v>
      </c>
      <c r="C101" t="s">
        <v>1054</v>
      </c>
      <c r="D101" t="s">
        <v>1079</v>
      </c>
      <c r="E101">
        <v>12347</v>
      </c>
      <c r="F101">
        <v>12359</v>
      </c>
      <c r="G101" s="6" t="s">
        <v>1068</v>
      </c>
      <c r="H101">
        <v>11</v>
      </c>
      <c r="J101">
        <v>100</v>
      </c>
      <c r="K101" t="s">
        <v>1086</v>
      </c>
    </row>
    <row r="102" spans="1:11" x14ac:dyDescent="0.45">
      <c r="A102">
        <v>101</v>
      </c>
      <c r="B102" t="s">
        <v>1054</v>
      </c>
      <c r="C102" t="s">
        <v>1054</v>
      </c>
      <c r="D102" t="s">
        <v>1079</v>
      </c>
      <c r="E102">
        <v>12347</v>
      </c>
      <c r="F102">
        <v>12359</v>
      </c>
      <c r="G102" s="6" t="s">
        <v>1068</v>
      </c>
      <c r="H102">
        <v>11</v>
      </c>
      <c r="J102">
        <v>101</v>
      </c>
      <c r="K102" t="s">
        <v>1263</v>
      </c>
    </row>
    <row r="103" spans="1:11" x14ac:dyDescent="0.45">
      <c r="A103">
        <v>102</v>
      </c>
      <c r="B103" t="s">
        <v>1054</v>
      </c>
      <c r="C103" t="s">
        <v>1054</v>
      </c>
      <c r="D103" t="s">
        <v>1080</v>
      </c>
      <c r="E103">
        <v>12435</v>
      </c>
      <c r="F103">
        <v>12459</v>
      </c>
      <c r="G103" s="6" t="s">
        <v>1068</v>
      </c>
      <c r="H103">
        <v>11</v>
      </c>
      <c r="J103">
        <v>102</v>
      </c>
      <c r="K103" t="s">
        <v>1288</v>
      </c>
    </row>
    <row r="104" spans="1:11" x14ac:dyDescent="0.45">
      <c r="A104">
        <v>103</v>
      </c>
      <c r="B104" t="s">
        <v>1054</v>
      </c>
      <c r="C104" t="s">
        <v>1054</v>
      </c>
      <c r="D104" t="s">
        <v>1080</v>
      </c>
      <c r="E104">
        <v>12435</v>
      </c>
      <c r="F104">
        <v>12459</v>
      </c>
      <c r="G104" s="6" t="s">
        <v>1068</v>
      </c>
      <c r="H104">
        <v>11</v>
      </c>
      <c r="J104">
        <v>103</v>
      </c>
      <c r="K104" t="s">
        <v>1179</v>
      </c>
    </row>
    <row r="105" spans="1:11" x14ac:dyDescent="0.45">
      <c r="A105">
        <v>104</v>
      </c>
      <c r="B105" t="s">
        <v>1054</v>
      </c>
      <c r="C105" t="s">
        <v>1054</v>
      </c>
      <c r="D105" t="s">
        <v>1080</v>
      </c>
      <c r="E105">
        <v>12524</v>
      </c>
      <c r="F105">
        <v>12529</v>
      </c>
      <c r="G105" s="6" t="s">
        <v>1068</v>
      </c>
      <c r="H105">
        <v>11</v>
      </c>
      <c r="J105">
        <v>104</v>
      </c>
      <c r="K105" t="s">
        <v>1178</v>
      </c>
    </row>
    <row r="106" spans="1:11" x14ac:dyDescent="0.45">
      <c r="A106">
        <v>105</v>
      </c>
      <c r="B106" t="s">
        <v>1054</v>
      </c>
      <c r="C106" t="s">
        <v>1054</v>
      </c>
      <c r="D106" t="s">
        <v>1080</v>
      </c>
      <c r="E106">
        <v>12524</v>
      </c>
      <c r="F106">
        <v>12529</v>
      </c>
      <c r="G106" s="6" t="s">
        <v>1068</v>
      </c>
      <c r="H106">
        <v>11</v>
      </c>
      <c r="J106">
        <v>105</v>
      </c>
      <c r="K106" t="s">
        <v>1188</v>
      </c>
    </row>
    <row r="107" spans="1:11" x14ac:dyDescent="0.45">
      <c r="A107">
        <v>106</v>
      </c>
      <c r="B107" t="s">
        <v>1054</v>
      </c>
      <c r="C107" t="s">
        <v>1054</v>
      </c>
      <c r="D107" t="s">
        <v>1080</v>
      </c>
      <c r="E107">
        <v>12555</v>
      </c>
      <c r="F107">
        <v>12559</v>
      </c>
      <c r="G107" s="6" t="s">
        <v>1068</v>
      </c>
      <c r="H107">
        <v>11</v>
      </c>
      <c r="J107">
        <v>106</v>
      </c>
      <c r="K107" t="s">
        <v>1264</v>
      </c>
    </row>
    <row r="108" spans="1:11" x14ac:dyDescent="0.45">
      <c r="A108">
        <v>107</v>
      </c>
      <c r="B108" t="s">
        <v>1054</v>
      </c>
      <c r="C108" t="s">
        <v>1054</v>
      </c>
      <c r="D108" t="s">
        <v>1080</v>
      </c>
      <c r="E108">
        <v>12587</v>
      </c>
      <c r="F108">
        <v>12589</v>
      </c>
      <c r="G108" s="6" t="s">
        <v>1068</v>
      </c>
      <c r="H108">
        <v>11</v>
      </c>
      <c r="J108">
        <v>107</v>
      </c>
      <c r="K108" t="s">
        <v>1216</v>
      </c>
    </row>
    <row r="109" spans="1:11" x14ac:dyDescent="0.45">
      <c r="A109">
        <v>108</v>
      </c>
      <c r="B109" t="s">
        <v>1054</v>
      </c>
      <c r="C109" t="s">
        <v>1054</v>
      </c>
      <c r="D109" t="s">
        <v>1081</v>
      </c>
      <c r="E109">
        <v>12621</v>
      </c>
      <c r="F109">
        <v>12627</v>
      </c>
      <c r="G109" s="6" t="s">
        <v>1068</v>
      </c>
      <c r="H109">
        <v>11</v>
      </c>
      <c r="J109">
        <v>108</v>
      </c>
      <c r="K109" t="s">
        <v>1102</v>
      </c>
    </row>
    <row r="110" spans="1:11" x14ac:dyDescent="0.45">
      <c r="A110">
        <v>109</v>
      </c>
      <c r="B110" t="s">
        <v>1054</v>
      </c>
      <c r="C110" t="s">
        <v>1054</v>
      </c>
      <c r="D110" t="s">
        <v>1081</v>
      </c>
      <c r="E110">
        <v>12679</v>
      </c>
      <c r="F110">
        <v>12689</v>
      </c>
      <c r="G110" s="6" t="s">
        <v>1068</v>
      </c>
      <c r="H110">
        <v>11</v>
      </c>
      <c r="J110">
        <v>109</v>
      </c>
      <c r="K110" t="s">
        <v>1060</v>
      </c>
    </row>
    <row r="111" spans="1:11" x14ac:dyDescent="0.45">
      <c r="A111">
        <v>110</v>
      </c>
      <c r="B111" t="s">
        <v>1054</v>
      </c>
      <c r="C111" t="s">
        <v>1054</v>
      </c>
      <c r="D111" t="s">
        <v>1082</v>
      </c>
      <c r="E111">
        <v>10315</v>
      </c>
      <c r="F111">
        <v>10319</v>
      </c>
      <c r="G111" s="6" t="s">
        <v>1068</v>
      </c>
      <c r="H111">
        <v>11</v>
      </c>
      <c r="J111">
        <v>110</v>
      </c>
      <c r="K111" t="s">
        <v>1330</v>
      </c>
    </row>
    <row r="112" spans="1:11" x14ac:dyDescent="0.45">
      <c r="A112">
        <v>111</v>
      </c>
      <c r="B112" t="s">
        <v>1054</v>
      </c>
      <c r="C112" t="s">
        <v>1054</v>
      </c>
      <c r="D112" t="s">
        <v>1082</v>
      </c>
      <c r="E112">
        <v>10317</v>
      </c>
      <c r="F112">
        <v>10318</v>
      </c>
      <c r="G112" s="6" t="s">
        <v>1068</v>
      </c>
      <c r="H112">
        <v>11</v>
      </c>
      <c r="J112">
        <v>111</v>
      </c>
      <c r="K112" t="s">
        <v>1218</v>
      </c>
    </row>
    <row r="113" spans="1:11" x14ac:dyDescent="0.45">
      <c r="A113">
        <v>112</v>
      </c>
      <c r="B113" t="s">
        <v>1054</v>
      </c>
      <c r="C113" t="s">
        <v>1054</v>
      </c>
      <c r="D113" t="s">
        <v>1082</v>
      </c>
      <c r="E113">
        <v>10365</v>
      </c>
      <c r="F113">
        <v>10369</v>
      </c>
      <c r="G113" s="6" t="s">
        <v>1068</v>
      </c>
      <c r="H113">
        <v>11</v>
      </c>
      <c r="J113">
        <v>112</v>
      </c>
      <c r="K113" t="s">
        <v>1257</v>
      </c>
    </row>
    <row r="114" spans="1:11" x14ac:dyDescent="0.45">
      <c r="A114">
        <v>113</v>
      </c>
      <c r="B114" t="s">
        <v>1054</v>
      </c>
      <c r="C114" t="s">
        <v>1054</v>
      </c>
      <c r="D114" t="s">
        <v>1082</v>
      </c>
      <c r="E114">
        <v>10369</v>
      </c>
      <c r="F114">
        <v>10369</v>
      </c>
      <c r="G114" s="6" t="s">
        <v>1068</v>
      </c>
      <c r="H114">
        <v>11</v>
      </c>
      <c r="J114">
        <v>113</v>
      </c>
      <c r="K114" t="s">
        <v>1183</v>
      </c>
    </row>
    <row r="115" spans="1:11" x14ac:dyDescent="0.45">
      <c r="A115">
        <v>114</v>
      </c>
      <c r="B115" t="s">
        <v>1054</v>
      </c>
      <c r="C115" t="s">
        <v>1054</v>
      </c>
      <c r="D115" t="s">
        <v>1083</v>
      </c>
      <c r="E115">
        <v>13403</v>
      </c>
      <c r="F115">
        <v>13409</v>
      </c>
      <c r="G115" s="6" t="s">
        <v>1068</v>
      </c>
      <c r="H115">
        <v>11</v>
      </c>
      <c r="J115">
        <v>114</v>
      </c>
      <c r="K115" t="s">
        <v>1217</v>
      </c>
    </row>
    <row r="116" spans="1:11" x14ac:dyDescent="0.45">
      <c r="A116">
        <v>115</v>
      </c>
      <c r="B116" t="s">
        <v>1054</v>
      </c>
      <c r="C116" t="s">
        <v>1054</v>
      </c>
      <c r="D116" t="s">
        <v>1083</v>
      </c>
      <c r="E116">
        <v>13403</v>
      </c>
      <c r="F116">
        <v>13409</v>
      </c>
      <c r="G116" s="6" t="s">
        <v>1068</v>
      </c>
      <c r="H116">
        <v>11</v>
      </c>
      <c r="J116">
        <v>115</v>
      </c>
      <c r="K116" t="s">
        <v>1253</v>
      </c>
    </row>
    <row r="117" spans="1:11" x14ac:dyDescent="0.45">
      <c r="A117">
        <v>116</v>
      </c>
      <c r="B117" t="s">
        <v>1054</v>
      </c>
      <c r="C117" t="s">
        <v>1054</v>
      </c>
      <c r="D117" t="s">
        <v>1083</v>
      </c>
      <c r="E117">
        <v>13407</v>
      </c>
      <c r="F117">
        <v>13409</v>
      </c>
      <c r="G117" s="6" t="s">
        <v>1068</v>
      </c>
      <c r="H117">
        <v>11</v>
      </c>
      <c r="J117">
        <v>116</v>
      </c>
      <c r="K117" t="s">
        <v>1279</v>
      </c>
    </row>
    <row r="118" spans="1:11" x14ac:dyDescent="0.45">
      <c r="A118">
        <v>117</v>
      </c>
      <c r="B118" t="s">
        <v>1054</v>
      </c>
      <c r="C118" t="s">
        <v>1054</v>
      </c>
      <c r="D118" t="s">
        <v>1083</v>
      </c>
      <c r="E118">
        <v>13407</v>
      </c>
      <c r="F118">
        <v>13409</v>
      </c>
      <c r="G118" s="6" t="s">
        <v>1068</v>
      </c>
      <c r="H118">
        <v>11</v>
      </c>
      <c r="J118">
        <v>117</v>
      </c>
      <c r="K118" t="s">
        <v>1266</v>
      </c>
    </row>
    <row r="119" spans="1:11" x14ac:dyDescent="0.45">
      <c r="A119">
        <v>118</v>
      </c>
      <c r="B119" t="s">
        <v>1054</v>
      </c>
      <c r="C119" t="s">
        <v>1054</v>
      </c>
      <c r="D119" t="s">
        <v>1083</v>
      </c>
      <c r="E119">
        <v>13435</v>
      </c>
      <c r="F119">
        <v>13439</v>
      </c>
      <c r="G119" s="6" t="s">
        <v>1068</v>
      </c>
      <c r="H119">
        <v>11</v>
      </c>
      <c r="J119">
        <v>118</v>
      </c>
      <c r="K119" t="s">
        <v>1145</v>
      </c>
    </row>
    <row r="120" spans="1:11" x14ac:dyDescent="0.45">
      <c r="A120">
        <v>119</v>
      </c>
      <c r="B120" t="s">
        <v>1054</v>
      </c>
      <c r="C120" t="s">
        <v>1054</v>
      </c>
      <c r="D120" t="s">
        <v>1083</v>
      </c>
      <c r="E120">
        <v>13435</v>
      </c>
      <c r="F120">
        <v>13439</v>
      </c>
      <c r="G120" s="6" t="s">
        <v>1068</v>
      </c>
      <c r="H120">
        <v>11</v>
      </c>
      <c r="J120">
        <v>119</v>
      </c>
      <c r="K120" t="s">
        <v>1187</v>
      </c>
    </row>
    <row r="121" spans="1:11" x14ac:dyDescent="0.45">
      <c r="A121">
        <v>120</v>
      </c>
      <c r="B121" t="s">
        <v>1054</v>
      </c>
      <c r="C121" t="s">
        <v>1054</v>
      </c>
      <c r="D121" t="s">
        <v>1083</v>
      </c>
      <c r="E121">
        <v>13435</v>
      </c>
      <c r="F121">
        <v>13439</v>
      </c>
      <c r="G121" s="6" t="s">
        <v>1068</v>
      </c>
      <c r="H121">
        <v>11</v>
      </c>
      <c r="J121">
        <v>120</v>
      </c>
      <c r="K121" t="s">
        <v>1184</v>
      </c>
    </row>
    <row r="122" spans="1:11" x14ac:dyDescent="0.45">
      <c r="A122">
        <v>121</v>
      </c>
      <c r="B122" t="s">
        <v>1054</v>
      </c>
      <c r="C122" t="s">
        <v>1054</v>
      </c>
      <c r="D122" t="s">
        <v>1083</v>
      </c>
      <c r="E122">
        <v>13435</v>
      </c>
      <c r="F122">
        <v>13439</v>
      </c>
      <c r="G122" s="6" t="s">
        <v>1068</v>
      </c>
      <c r="H122">
        <v>11</v>
      </c>
      <c r="J122">
        <v>121</v>
      </c>
      <c r="K122" t="s">
        <v>1370</v>
      </c>
    </row>
    <row r="123" spans="1:11" x14ac:dyDescent="0.45">
      <c r="A123">
        <v>122</v>
      </c>
      <c r="B123" t="s">
        <v>1054</v>
      </c>
      <c r="C123" t="s">
        <v>1054</v>
      </c>
      <c r="D123" t="s">
        <v>1083</v>
      </c>
      <c r="E123">
        <v>13435</v>
      </c>
      <c r="F123">
        <v>13439</v>
      </c>
      <c r="G123" s="6" t="s">
        <v>1068</v>
      </c>
      <c r="H123">
        <v>11</v>
      </c>
      <c r="J123">
        <v>122</v>
      </c>
      <c r="K123" t="s">
        <v>1337</v>
      </c>
    </row>
    <row r="124" spans="1:11" x14ac:dyDescent="0.45">
      <c r="A124">
        <v>123</v>
      </c>
      <c r="B124" t="s">
        <v>1373</v>
      </c>
      <c r="C124" t="s">
        <v>1374</v>
      </c>
      <c r="E124">
        <v>14467</v>
      </c>
      <c r="F124">
        <v>14482</v>
      </c>
      <c r="G124" s="6" t="s">
        <v>1413</v>
      </c>
      <c r="H124">
        <v>9</v>
      </c>
      <c r="J124">
        <v>123</v>
      </c>
      <c r="K124" t="s">
        <v>1219</v>
      </c>
    </row>
    <row r="125" spans="1:11" x14ac:dyDescent="0.45">
      <c r="A125">
        <v>124</v>
      </c>
      <c r="B125" t="s">
        <v>1373</v>
      </c>
      <c r="C125" t="s">
        <v>1374</v>
      </c>
      <c r="E125">
        <v>14467</v>
      </c>
      <c r="F125">
        <v>14482</v>
      </c>
      <c r="G125" s="6" t="s">
        <v>1413</v>
      </c>
      <c r="H125">
        <v>9</v>
      </c>
      <c r="J125">
        <v>124</v>
      </c>
      <c r="K125" t="s">
        <v>1168</v>
      </c>
    </row>
    <row r="126" spans="1:11" x14ac:dyDescent="0.45">
      <c r="A126">
        <v>125</v>
      </c>
      <c r="B126" t="s">
        <v>1373</v>
      </c>
      <c r="C126" t="s">
        <v>1374</v>
      </c>
      <c r="E126">
        <v>14467</v>
      </c>
      <c r="F126">
        <v>14482</v>
      </c>
      <c r="G126" s="6" t="s">
        <v>1413</v>
      </c>
      <c r="H126">
        <v>9</v>
      </c>
      <c r="J126">
        <v>125</v>
      </c>
      <c r="K126" t="s">
        <v>1267</v>
      </c>
    </row>
    <row r="127" spans="1:11" x14ac:dyDescent="0.45">
      <c r="A127">
        <v>126</v>
      </c>
      <c r="B127" t="s">
        <v>1373</v>
      </c>
      <c r="C127" t="s">
        <v>1374</v>
      </c>
      <c r="E127">
        <v>14467</v>
      </c>
      <c r="F127">
        <v>14482</v>
      </c>
      <c r="G127" s="6" t="s">
        <v>1413</v>
      </c>
      <c r="H127">
        <v>9</v>
      </c>
      <c r="J127">
        <v>126</v>
      </c>
      <c r="K127" t="s">
        <v>1349</v>
      </c>
    </row>
    <row r="128" spans="1:11" x14ac:dyDescent="0.45">
      <c r="A128">
        <v>127</v>
      </c>
      <c r="B128" t="s">
        <v>1373</v>
      </c>
      <c r="C128" t="s">
        <v>1375</v>
      </c>
      <c r="E128">
        <v>14513</v>
      </c>
      <c r="F128">
        <v>14513</v>
      </c>
      <c r="G128" t="s">
        <v>1414</v>
      </c>
      <c r="H128">
        <v>10</v>
      </c>
      <c r="J128">
        <v>127</v>
      </c>
      <c r="K128" t="s">
        <v>1349</v>
      </c>
    </row>
    <row r="129" spans="1:11" x14ac:dyDescent="0.45">
      <c r="A129">
        <v>128</v>
      </c>
      <c r="B129" t="s">
        <v>1373</v>
      </c>
      <c r="C129" t="s">
        <v>1376</v>
      </c>
      <c r="E129">
        <v>14532</v>
      </c>
      <c r="F129">
        <v>14532</v>
      </c>
      <c r="G129" t="s">
        <v>1415</v>
      </c>
      <c r="H129">
        <v>10</v>
      </c>
      <c r="J129">
        <v>128</v>
      </c>
      <c r="K129" t="s">
        <v>1162</v>
      </c>
    </row>
    <row r="130" spans="1:11" x14ac:dyDescent="0.45">
      <c r="A130">
        <v>129</v>
      </c>
      <c r="B130" t="s">
        <v>1373</v>
      </c>
      <c r="C130" t="s">
        <v>1376</v>
      </c>
      <c r="E130">
        <v>14532</v>
      </c>
      <c r="F130">
        <v>14532</v>
      </c>
      <c r="G130" t="s">
        <v>1415</v>
      </c>
      <c r="H130">
        <v>10</v>
      </c>
      <c r="J130">
        <v>129</v>
      </c>
      <c r="K130" t="s">
        <v>1317</v>
      </c>
    </row>
    <row r="131" spans="1:11" x14ac:dyDescent="0.45">
      <c r="A131">
        <v>130</v>
      </c>
      <c r="B131" t="s">
        <v>1373</v>
      </c>
      <c r="C131" t="s">
        <v>1377</v>
      </c>
      <c r="E131">
        <v>14532</v>
      </c>
      <c r="F131">
        <v>14532</v>
      </c>
      <c r="G131" t="s">
        <v>1416</v>
      </c>
      <c r="H131">
        <v>10</v>
      </c>
      <c r="J131">
        <v>130</v>
      </c>
      <c r="K131" t="s">
        <v>1354</v>
      </c>
    </row>
    <row r="132" spans="1:11" x14ac:dyDescent="0.45">
      <c r="A132">
        <v>131</v>
      </c>
      <c r="B132" t="s">
        <v>1373</v>
      </c>
      <c r="C132" t="s">
        <v>1378</v>
      </c>
      <c r="E132">
        <v>14542</v>
      </c>
      <c r="F132">
        <v>14542</v>
      </c>
      <c r="G132" t="s">
        <v>1417</v>
      </c>
      <c r="H132">
        <v>10</v>
      </c>
      <c r="J132">
        <v>131</v>
      </c>
      <c r="K132" t="s">
        <v>1276</v>
      </c>
    </row>
    <row r="133" spans="1:11" x14ac:dyDescent="0.45">
      <c r="A133">
        <v>132</v>
      </c>
      <c r="B133" t="s">
        <v>1373</v>
      </c>
      <c r="C133" t="s">
        <v>1378</v>
      </c>
      <c r="E133">
        <v>14542</v>
      </c>
      <c r="F133">
        <v>14542</v>
      </c>
      <c r="G133" t="s">
        <v>1417</v>
      </c>
      <c r="H133">
        <v>10</v>
      </c>
      <c r="J133">
        <v>132</v>
      </c>
      <c r="K133" t="s">
        <v>1259</v>
      </c>
    </row>
    <row r="134" spans="1:11" x14ac:dyDescent="0.45">
      <c r="A134">
        <v>133</v>
      </c>
      <c r="B134" t="s">
        <v>1373</v>
      </c>
      <c r="C134" t="s">
        <v>1379</v>
      </c>
      <c r="E134">
        <v>14547</v>
      </c>
      <c r="F134">
        <v>14547</v>
      </c>
      <c r="G134" t="s">
        <v>1070</v>
      </c>
      <c r="H134">
        <v>10</v>
      </c>
      <c r="J134">
        <v>133</v>
      </c>
      <c r="K134" t="s">
        <v>1280</v>
      </c>
    </row>
    <row r="135" spans="1:11" x14ac:dyDescent="0.45">
      <c r="A135">
        <v>134</v>
      </c>
      <c r="B135" t="s">
        <v>1373</v>
      </c>
      <c r="C135" t="s">
        <v>1380</v>
      </c>
      <c r="E135">
        <v>14552</v>
      </c>
      <c r="F135">
        <v>14552</v>
      </c>
      <c r="G135" t="s">
        <v>1418</v>
      </c>
      <c r="H135">
        <v>10</v>
      </c>
      <c r="J135">
        <v>134</v>
      </c>
      <c r="K135" t="s">
        <v>1282</v>
      </c>
    </row>
    <row r="136" spans="1:11" x14ac:dyDescent="0.45">
      <c r="A136">
        <v>135</v>
      </c>
      <c r="B136" t="s">
        <v>1373</v>
      </c>
      <c r="C136" t="s">
        <v>1381</v>
      </c>
      <c r="E136">
        <v>14558</v>
      </c>
      <c r="F136">
        <v>14558</v>
      </c>
      <c r="G136" t="s">
        <v>1419</v>
      </c>
      <c r="H136">
        <v>10</v>
      </c>
      <c r="J136">
        <v>135</v>
      </c>
      <c r="K136" t="s">
        <v>1220</v>
      </c>
    </row>
    <row r="137" spans="1:11" x14ac:dyDescent="0.45">
      <c r="A137">
        <v>136</v>
      </c>
      <c r="B137" t="s">
        <v>1373</v>
      </c>
      <c r="C137" t="s">
        <v>1382</v>
      </c>
      <c r="E137">
        <v>14548</v>
      </c>
      <c r="F137">
        <v>14548</v>
      </c>
      <c r="G137" t="s">
        <v>1417</v>
      </c>
      <c r="H137">
        <v>10</v>
      </c>
      <c r="J137">
        <v>136</v>
      </c>
      <c r="K137" t="s">
        <v>1283</v>
      </c>
    </row>
    <row r="138" spans="1:11" x14ac:dyDescent="0.45">
      <c r="A138">
        <v>137</v>
      </c>
      <c r="B138" t="s">
        <v>1373</v>
      </c>
      <c r="C138" t="s">
        <v>1383</v>
      </c>
      <c r="E138">
        <v>14554</v>
      </c>
      <c r="F138">
        <v>14554</v>
      </c>
      <c r="G138" t="s">
        <v>1418</v>
      </c>
      <c r="H138">
        <v>10</v>
      </c>
      <c r="J138">
        <v>137</v>
      </c>
      <c r="K138" t="s">
        <v>1270</v>
      </c>
    </row>
    <row r="139" spans="1:11" x14ac:dyDescent="0.45">
      <c r="A139">
        <v>138</v>
      </c>
      <c r="B139" t="s">
        <v>1373</v>
      </c>
      <c r="C139" t="s">
        <v>1384</v>
      </c>
      <c r="E139">
        <v>14822</v>
      </c>
      <c r="F139">
        <v>14822</v>
      </c>
      <c r="G139" t="s">
        <v>1420</v>
      </c>
      <c r="H139">
        <v>10</v>
      </c>
      <c r="J139">
        <v>138</v>
      </c>
      <c r="K139" t="s">
        <v>1250</v>
      </c>
    </row>
    <row r="140" spans="1:11" x14ac:dyDescent="0.45">
      <c r="A140">
        <v>139</v>
      </c>
      <c r="B140" t="s">
        <v>1373</v>
      </c>
      <c r="C140" t="s">
        <v>1385</v>
      </c>
      <c r="E140">
        <v>14778</v>
      </c>
      <c r="F140">
        <v>14778</v>
      </c>
      <c r="G140" t="s">
        <v>1421</v>
      </c>
      <c r="H140">
        <v>10</v>
      </c>
      <c r="J140">
        <v>139</v>
      </c>
      <c r="K140" t="s">
        <v>1221</v>
      </c>
    </row>
    <row r="141" spans="1:11" x14ac:dyDescent="0.45">
      <c r="A141">
        <v>140</v>
      </c>
      <c r="B141" t="s">
        <v>1373</v>
      </c>
      <c r="C141" t="s">
        <v>1386</v>
      </c>
      <c r="E141">
        <v>14822</v>
      </c>
      <c r="F141">
        <v>14822</v>
      </c>
      <c r="G141" t="s">
        <v>1422</v>
      </c>
      <c r="H141">
        <v>10</v>
      </c>
      <c r="J141">
        <v>140</v>
      </c>
      <c r="K141" t="s">
        <v>1366</v>
      </c>
    </row>
    <row r="142" spans="1:11" x14ac:dyDescent="0.45">
      <c r="A142">
        <v>141</v>
      </c>
      <c r="B142" t="s">
        <v>1373</v>
      </c>
      <c r="C142" t="s">
        <v>1387</v>
      </c>
      <c r="E142">
        <v>14828</v>
      </c>
      <c r="F142">
        <v>14828</v>
      </c>
      <c r="G142" t="s">
        <v>1423</v>
      </c>
      <c r="H142">
        <v>10</v>
      </c>
      <c r="J142">
        <v>141</v>
      </c>
      <c r="K142" t="s">
        <v>1318</v>
      </c>
    </row>
    <row r="143" spans="1:11" x14ac:dyDescent="0.45">
      <c r="A143">
        <v>142</v>
      </c>
      <c r="B143" t="s">
        <v>1373</v>
      </c>
      <c r="C143" t="s">
        <v>1388</v>
      </c>
      <c r="E143">
        <v>14827</v>
      </c>
      <c r="F143">
        <v>14827</v>
      </c>
      <c r="G143" t="s">
        <v>1424</v>
      </c>
      <c r="H143">
        <v>10</v>
      </c>
      <c r="J143">
        <v>142</v>
      </c>
      <c r="K143" t="s">
        <v>1262</v>
      </c>
    </row>
    <row r="144" spans="1:11" x14ac:dyDescent="0.45">
      <c r="A144">
        <v>143</v>
      </c>
      <c r="B144" t="s">
        <v>1373</v>
      </c>
      <c r="C144" t="s">
        <v>1389</v>
      </c>
      <c r="E144">
        <v>14789</v>
      </c>
      <c r="F144">
        <v>14789</v>
      </c>
      <c r="G144" t="s">
        <v>1425</v>
      </c>
      <c r="H144">
        <v>10</v>
      </c>
      <c r="J144">
        <v>143</v>
      </c>
      <c r="K144" t="s">
        <v>1090</v>
      </c>
    </row>
    <row r="145" spans="1:11" x14ac:dyDescent="0.45">
      <c r="A145">
        <v>144</v>
      </c>
      <c r="B145" t="s">
        <v>1373</v>
      </c>
      <c r="C145" t="s">
        <v>1390</v>
      </c>
      <c r="E145">
        <v>14797</v>
      </c>
      <c r="F145">
        <v>14797</v>
      </c>
      <c r="G145" t="s">
        <v>1426</v>
      </c>
      <c r="H145">
        <v>10</v>
      </c>
      <c r="J145">
        <v>144</v>
      </c>
      <c r="K145" t="s">
        <v>1130</v>
      </c>
    </row>
    <row r="146" spans="1:11" x14ac:dyDescent="0.45">
      <c r="A146">
        <v>145</v>
      </c>
      <c r="B146" t="s">
        <v>1373</v>
      </c>
      <c r="C146" t="s">
        <v>1064</v>
      </c>
      <c r="E146">
        <v>14797</v>
      </c>
      <c r="F146">
        <v>14797</v>
      </c>
      <c r="G146" t="s">
        <v>1426</v>
      </c>
      <c r="H146">
        <v>10</v>
      </c>
      <c r="J146">
        <v>145</v>
      </c>
      <c r="K146" t="s">
        <v>1285</v>
      </c>
    </row>
    <row r="147" spans="1:11" x14ac:dyDescent="0.45">
      <c r="A147">
        <v>146</v>
      </c>
      <c r="B147" t="s">
        <v>1373</v>
      </c>
      <c r="C147" t="s">
        <v>1391</v>
      </c>
      <c r="E147">
        <v>14806</v>
      </c>
      <c r="F147">
        <v>14806</v>
      </c>
      <c r="G147" t="s">
        <v>1427</v>
      </c>
      <c r="H147">
        <v>10</v>
      </c>
      <c r="J147">
        <v>146</v>
      </c>
      <c r="K147" t="s">
        <v>1200</v>
      </c>
    </row>
    <row r="148" spans="1:11" x14ac:dyDescent="0.45">
      <c r="A148">
        <v>147</v>
      </c>
      <c r="B148" t="s">
        <v>1373</v>
      </c>
      <c r="C148" t="s">
        <v>1392</v>
      </c>
      <c r="E148">
        <v>14806</v>
      </c>
      <c r="F148">
        <v>14806</v>
      </c>
      <c r="G148" t="s">
        <v>1427</v>
      </c>
      <c r="H148">
        <v>10</v>
      </c>
      <c r="J148">
        <v>147</v>
      </c>
      <c r="K148" t="s">
        <v>1222</v>
      </c>
    </row>
    <row r="149" spans="1:11" x14ac:dyDescent="0.45">
      <c r="A149">
        <v>148</v>
      </c>
      <c r="B149" t="s">
        <v>1373</v>
      </c>
      <c r="C149" t="s">
        <v>1393</v>
      </c>
      <c r="E149">
        <v>14550</v>
      </c>
      <c r="F149">
        <v>14550</v>
      </c>
      <c r="G149" t="s">
        <v>1428</v>
      </c>
      <c r="H149">
        <v>10</v>
      </c>
      <c r="J149">
        <v>148</v>
      </c>
      <c r="K149" t="s">
        <v>1169</v>
      </c>
    </row>
    <row r="150" spans="1:11" x14ac:dyDescent="0.45">
      <c r="A150">
        <v>149</v>
      </c>
      <c r="B150" t="s">
        <v>1373</v>
      </c>
      <c r="C150" t="s">
        <v>1394</v>
      </c>
      <c r="E150">
        <v>14547</v>
      </c>
      <c r="F150">
        <v>14547</v>
      </c>
      <c r="G150" t="s">
        <v>1429</v>
      </c>
      <c r="H150">
        <v>10</v>
      </c>
      <c r="J150">
        <v>149</v>
      </c>
      <c r="K150" t="s">
        <v>1223</v>
      </c>
    </row>
    <row r="151" spans="1:11" x14ac:dyDescent="0.45">
      <c r="A151">
        <v>150</v>
      </c>
      <c r="B151" t="s">
        <v>1373</v>
      </c>
      <c r="C151" t="s">
        <v>1395</v>
      </c>
      <c r="E151">
        <v>14550</v>
      </c>
      <c r="F151">
        <v>14550</v>
      </c>
      <c r="G151" t="s">
        <v>1430</v>
      </c>
      <c r="H151">
        <v>10</v>
      </c>
      <c r="J151">
        <v>150</v>
      </c>
      <c r="K151" t="s">
        <v>1195</v>
      </c>
    </row>
    <row r="152" spans="1:11" x14ac:dyDescent="0.45">
      <c r="A152">
        <v>151</v>
      </c>
      <c r="B152" t="s">
        <v>1373</v>
      </c>
      <c r="C152" t="s">
        <v>1396</v>
      </c>
      <c r="E152">
        <v>14542</v>
      </c>
      <c r="F152">
        <v>14542</v>
      </c>
      <c r="G152" t="s">
        <v>1071</v>
      </c>
      <c r="H152">
        <v>10</v>
      </c>
      <c r="J152">
        <v>151</v>
      </c>
      <c r="K152" t="s">
        <v>1143</v>
      </c>
    </row>
    <row r="153" spans="1:11" x14ac:dyDescent="0.45">
      <c r="A153">
        <v>152</v>
      </c>
      <c r="B153" t="s">
        <v>1373</v>
      </c>
      <c r="C153" t="s">
        <v>1378</v>
      </c>
      <c r="E153">
        <v>14542</v>
      </c>
      <c r="F153">
        <v>14542</v>
      </c>
      <c r="G153" t="s">
        <v>1417</v>
      </c>
      <c r="H153">
        <v>10</v>
      </c>
      <c r="J153">
        <v>152</v>
      </c>
      <c r="K153" t="s">
        <v>1106</v>
      </c>
    </row>
    <row r="154" spans="1:11" x14ac:dyDescent="0.45">
      <c r="A154">
        <v>153</v>
      </c>
      <c r="B154" t="s">
        <v>1373</v>
      </c>
      <c r="C154" t="s">
        <v>1059</v>
      </c>
      <c r="E154">
        <v>14554</v>
      </c>
      <c r="F154">
        <v>14554</v>
      </c>
      <c r="G154" t="s">
        <v>1429</v>
      </c>
      <c r="H154">
        <v>10</v>
      </c>
      <c r="J154">
        <v>153</v>
      </c>
      <c r="K154" t="s">
        <v>1119</v>
      </c>
    </row>
    <row r="155" spans="1:11" x14ac:dyDescent="0.45">
      <c r="A155">
        <v>154</v>
      </c>
      <c r="B155" t="s">
        <v>1397</v>
      </c>
      <c r="C155" t="s">
        <v>1398</v>
      </c>
      <c r="E155">
        <v>14612</v>
      </c>
      <c r="F155">
        <v>14612</v>
      </c>
      <c r="G155" t="s">
        <v>1431</v>
      </c>
      <c r="H155">
        <v>10</v>
      </c>
      <c r="J155">
        <v>154</v>
      </c>
      <c r="K155" t="s">
        <v>1093</v>
      </c>
    </row>
    <row r="156" spans="1:11" x14ac:dyDescent="0.45">
      <c r="A156">
        <v>155</v>
      </c>
      <c r="B156" t="s">
        <v>1397</v>
      </c>
      <c r="C156" t="s">
        <v>1399</v>
      </c>
      <c r="E156">
        <v>14641</v>
      </c>
      <c r="F156">
        <v>14641</v>
      </c>
      <c r="G156" t="s">
        <v>1432</v>
      </c>
      <c r="H156">
        <v>10</v>
      </c>
      <c r="J156">
        <v>155</v>
      </c>
      <c r="K156" t="s">
        <v>1224</v>
      </c>
    </row>
    <row r="157" spans="1:11" x14ac:dyDescent="0.45">
      <c r="A157">
        <v>156</v>
      </c>
      <c r="B157" t="s">
        <v>1397</v>
      </c>
      <c r="C157" t="s">
        <v>1400</v>
      </c>
      <c r="E157">
        <v>14624</v>
      </c>
      <c r="F157">
        <v>14624</v>
      </c>
      <c r="G157" t="s">
        <v>1431</v>
      </c>
      <c r="H157">
        <v>10</v>
      </c>
      <c r="J157">
        <v>156</v>
      </c>
      <c r="K157" t="s">
        <v>1225</v>
      </c>
    </row>
    <row r="158" spans="1:11" x14ac:dyDescent="0.45">
      <c r="A158">
        <v>157</v>
      </c>
      <c r="B158" t="s">
        <v>1397</v>
      </c>
      <c r="C158" t="s">
        <v>1401</v>
      </c>
      <c r="E158">
        <v>14656</v>
      </c>
      <c r="F158">
        <v>14656</v>
      </c>
      <c r="G158" t="s">
        <v>1433</v>
      </c>
      <c r="H158">
        <v>10</v>
      </c>
      <c r="J158">
        <v>157</v>
      </c>
      <c r="K158" t="s">
        <v>1110</v>
      </c>
    </row>
    <row r="159" spans="1:11" x14ac:dyDescent="0.45">
      <c r="A159">
        <v>158</v>
      </c>
      <c r="B159" t="s">
        <v>1397</v>
      </c>
      <c r="C159" t="s">
        <v>1402</v>
      </c>
      <c r="E159">
        <v>14621</v>
      </c>
      <c r="F159">
        <v>14621</v>
      </c>
      <c r="G159" t="s">
        <v>1431</v>
      </c>
      <c r="H159">
        <v>10</v>
      </c>
      <c r="J159">
        <v>158</v>
      </c>
      <c r="K159" t="s">
        <v>1251</v>
      </c>
    </row>
    <row r="160" spans="1:11" x14ac:dyDescent="0.45">
      <c r="A160">
        <v>159</v>
      </c>
      <c r="B160" t="s">
        <v>1397</v>
      </c>
      <c r="C160" t="s">
        <v>1403</v>
      </c>
      <c r="E160">
        <v>14641</v>
      </c>
      <c r="F160">
        <v>14641</v>
      </c>
      <c r="G160" t="s">
        <v>1434</v>
      </c>
      <c r="H160">
        <v>10</v>
      </c>
      <c r="J160">
        <v>159</v>
      </c>
      <c r="K160" t="s">
        <v>1303</v>
      </c>
    </row>
    <row r="161" spans="1:11" x14ac:dyDescent="0.45">
      <c r="A161">
        <v>160</v>
      </c>
      <c r="B161" t="s">
        <v>1397</v>
      </c>
      <c r="C161" t="s">
        <v>1056</v>
      </c>
      <c r="E161">
        <v>14641</v>
      </c>
      <c r="F161">
        <v>14641</v>
      </c>
      <c r="G161" t="s">
        <v>1434</v>
      </c>
      <c r="H161">
        <v>10</v>
      </c>
      <c r="J161">
        <v>160</v>
      </c>
      <c r="K161" t="s">
        <v>1292</v>
      </c>
    </row>
    <row r="162" spans="1:11" x14ac:dyDescent="0.45">
      <c r="A162">
        <v>161</v>
      </c>
      <c r="B162" t="s">
        <v>1397</v>
      </c>
      <c r="C162" t="s">
        <v>1404</v>
      </c>
      <c r="E162">
        <v>14624</v>
      </c>
      <c r="F162">
        <v>14624</v>
      </c>
      <c r="G162" t="s">
        <v>1431</v>
      </c>
      <c r="H162">
        <v>10</v>
      </c>
      <c r="J162">
        <v>161</v>
      </c>
      <c r="K162" t="s">
        <v>1340</v>
      </c>
    </row>
    <row r="163" spans="1:11" x14ac:dyDescent="0.45">
      <c r="A163">
        <v>162</v>
      </c>
      <c r="B163" t="s">
        <v>1397</v>
      </c>
      <c r="C163" t="s">
        <v>1405</v>
      </c>
      <c r="E163">
        <v>14641</v>
      </c>
      <c r="F163">
        <v>14641</v>
      </c>
      <c r="G163" t="s">
        <v>1434</v>
      </c>
      <c r="H163">
        <v>10</v>
      </c>
      <c r="J163">
        <v>162</v>
      </c>
      <c r="K163" t="s">
        <v>1193</v>
      </c>
    </row>
    <row r="164" spans="1:11" x14ac:dyDescent="0.45">
      <c r="A164">
        <v>163</v>
      </c>
      <c r="B164" t="s">
        <v>1397</v>
      </c>
      <c r="C164" t="s">
        <v>380</v>
      </c>
      <c r="E164">
        <v>14476</v>
      </c>
      <c r="F164">
        <v>14476</v>
      </c>
      <c r="G164" t="s">
        <v>1421</v>
      </c>
      <c r="H164">
        <v>10</v>
      </c>
      <c r="J164">
        <v>163</v>
      </c>
      <c r="K164" t="s">
        <v>1196</v>
      </c>
    </row>
    <row r="165" spans="1:11" x14ac:dyDescent="0.45">
      <c r="A165">
        <v>164</v>
      </c>
      <c r="B165" t="s">
        <v>1397</v>
      </c>
      <c r="C165" t="s">
        <v>1067</v>
      </c>
      <c r="E165">
        <v>14715</v>
      </c>
      <c r="F165">
        <v>14715</v>
      </c>
      <c r="G165" t="s">
        <v>1435</v>
      </c>
      <c r="H165">
        <v>10</v>
      </c>
      <c r="J165">
        <v>164</v>
      </c>
      <c r="K165" t="s">
        <v>1328</v>
      </c>
    </row>
    <row r="166" spans="1:11" x14ac:dyDescent="0.45">
      <c r="A166">
        <v>165</v>
      </c>
      <c r="B166" t="s">
        <v>1397</v>
      </c>
      <c r="C166" t="s">
        <v>1406</v>
      </c>
      <c r="E166">
        <v>14641</v>
      </c>
      <c r="F166">
        <v>14641</v>
      </c>
      <c r="G166" t="s">
        <v>1434</v>
      </c>
      <c r="H166">
        <v>10</v>
      </c>
      <c r="J166">
        <v>165</v>
      </c>
      <c r="K166" t="s">
        <v>1149</v>
      </c>
    </row>
    <row r="167" spans="1:11" x14ac:dyDescent="0.45">
      <c r="A167">
        <v>166</v>
      </c>
      <c r="B167" t="s">
        <v>1397</v>
      </c>
      <c r="C167" t="s">
        <v>1407</v>
      </c>
      <c r="E167">
        <v>14669</v>
      </c>
      <c r="F167">
        <v>14669</v>
      </c>
      <c r="G167" t="s">
        <v>1436</v>
      </c>
      <c r="H167">
        <v>10</v>
      </c>
      <c r="J167">
        <v>166</v>
      </c>
      <c r="K167" t="s">
        <v>1062</v>
      </c>
    </row>
    <row r="168" spans="1:11" x14ac:dyDescent="0.45">
      <c r="A168">
        <v>167</v>
      </c>
      <c r="B168" t="s">
        <v>1397</v>
      </c>
      <c r="C168" t="s">
        <v>1408</v>
      </c>
      <c r="E168">
        <v>14621</v>
      </c>
      <c r="F168">
        <v>14621</v>
      </c>
      <c r="G168" t="s">
        <v>1437</v>
      </c>
      <c r="H168">
        <v>10</v>
      </c>
      <c r="J168">
        <v>167</v>
      </c>
      <c r="K168" t="s">
        <v>1138</v>
      </c>
    </row>
    <row r="169" spans="1:11" x14ac:dyDescent="0.45">
      <c r="A169">
        <v>168</v>
      </c>
      <c r="B169" t="s">
        <v>1397</v>
      </c>
      <c r="C169" t="s">
        <v>1402</v>
      </c>
      <c r="E169">
        <v>14621</v>
      </c>
      <c r="F169">
        <v>14621</v>
      </c>
      <c r="G169" t="s">
        <v>1431</v>
      </c>
      <c r="H169">
        <v>10</v>
      </c>
      <c r="J169">
        <v>168</v>
      </c>
      <c r="K169" t="s">
        <v>1308</v>
      </c>
    </row>
    <row r="170" spans="1:11" x14ac:dyDescent="0.45">
      <c r="A170">
        <v>169</v>
      </c>
      <c r="B170" t="s">
        <v>1397</v>
      </c>
      <c r="C170" t="s">
        <v>1409</v>
      </c>
      <c r="E170">
        <v>14624</v>
      </c>
      <c r="F170">
        <v>14624</v>
      </c>
      <c r="G170" t="s">
        <v>1431</v>
      </c>
      <c r="H170">
        <v>10</v>
      </c>
      <c r="J170">
        <v>169</v>
      </c>
      <c r="K170" t="s">
        <v>1296</v>
      </c>
    </row>
    <row r="171" spans="1:11" x14ac:dyDescent="0.45">
      <c r="A171">
        <v>170</v>
      </c>
      <c r="B171" t="s">
        <v>1397</v>
      </c>
      <c r="C171" t="s">
        <v>1409</v>
      </c>
      <c r="E171">
        <v>14624</v>
      </c>
      <c r="F171">
        <v>14624</v>
      </c>
      <c r="G171" t="s">
        <v>1431</v>
      </c>
      <c r="H171">
        <v>10</v>
      </c>
      <c r="J171">
        <v>170</v>
      </c>
      <c r="K171" t="s">
        <v>1332</v>
      </c>
    </row>
    <row r="172" spans="1:11" x14ac:dyDescent="0.45">
      <c r="A172">
        <v>171</v>
      </c>
      <c r="B172" t="s">
        <v>1374</v>
      </c>
      <c r="C172" t="s">
        <v>1378</v>
      </c>
      <c r="E172">
        <v>14542</v>
      </c>
      <c r="F172">
        <v>14542</v>
      </c>
      <c r="G172" t="s">
        <v>1417</v>
      </c>
      <c r="H172">
        <v>10</v>
      </c>
      <c r="J172">
        <v>171</v>
      </c>
      <c r="K172" t="s">
        <v>1364</v>
      </c>
    </row>
    <row r="173" spans="1:11" x14ac:dyDescent="0.45">
      <c r="A173">
        <v>172</v>
      </c>
      <c r="B173" t="s">
        <v>1374</v>
      </c>
      <c r="C173" t="s">
        <v>1378</v>
      </c>
      <c r="E173">
        <v>14542</v>
      </c>
      <c r="F173">
        <v>14542</v>
      </c>
      <c r="G173" t="s">
        <v>1417</v>
      </c>
      <c r="H173">
        <v>10</v>
      </c>
      <c r="J173">
        <v>172</v>
      </c>
      <c r="K173" t="s">
        <v>1226</v>
      </c>
    </row>
    <row r="174" spans="1:11" x14ac:dyDescent="0.45">
      <c r="A174">
        <v>173</v>
      </c>
      <c r="B174" t="s">
        <v>1374</v>
      </c>
      <c r="C174" t="s">
        <v>1379</v>
      </c>
      <c r="E174">
        <v>14547</v>
      </c>
      <c r="F174">
        <v>14547</v>
      </c>
      <c r="G174" t="s">
        <v>1070</v>
      </c>
      <c r="H174">
        <v>10</v>
      </c>
      <c r="J174">
        <v>173</v>
      </c>
      <c r="K174" t="s">
        <v>1277</v>
      </c>
    </row>
    <row r="175" spans="1:11" x14ac:dyDescent="0.45">
      <c r="A175">
        <v>174</v>
      </c>
      <c r="B175" t="s">
        <v>1374</v>
      </c>
      <c r="C175" t="s">
        <v>1380</v>
      </c>
      <c r="E175">
        <v>14552</v>
      </c>
      <c r="F175">
        <v>14552</v>
      </c>
      <c r="G175" t="s">
        <v>1418</v>
      </c>
      <c r="H175">
        <v>10</v>
      </c>
      <c r="J175">
        <v>174</v>
      </c>
      <c r="K175" t="s">
        <v>1128</v>
      </c>
    </row>
    <row r="176" spans="1:11" x14ac:dyDescent="0.45">
      <c r="A176">
        <v>175</v>
      </c>
      <c r="B176" t="s">
        <v>1374</v>
      </c>
      <c r="C176" t="s">
        <v>1381</v>
      </c>
      <c r="E176">
        <v>14558</v>
      </c>
      <c r="F176">
        <v>14558</v>
      </c>
      <c r="G176" t="s">
        <v>1419</v>
      </c>
      <c r="H176">
        <v>10</v>
      </c>
      <c r="J176">
        <v>175</v>
      </c>
      <c r="K176" t="s">
        <v>1249</v>
      </c>
    </row>
    <row r="177" spans="1:11" x14ac:dyDescent="0.45">
      <c r="A177">
        <v>176</v>
      </c>
      <c r="B177" t="s">
        <v>1374</v>
      </c>
      <c r="C177" t="s">
        <v>1382</v>
      </c>
      <c r="E177">
        <v>14548</v>
      </c>
      <c r="F177">
        <v>14548</v>
      </c>
      <c r="G177" t="s">
        <v>1417</v>
      </c>
      <c r="H177">
        <v>10</v>
      </c>
      <c r="J177">
        <v>176</v>
      </c>
      <c r="K177" t="s">
        <v>1272</v>
      </c>
    </row>
    <row r="178" spans="1:11" x14ac:dyDescent="0.45">
      <c r="A178">
        <v>177</v>
      </c>
      <c r="B178" t="s">
        <v>1374</v>
      </c>
      <c r="C178" t="s">
        <v>1383</v>
      </c>
      <c r="E178">
        <v>14554</v>
      </c>
      <c r="F178">
        <v>14554</v>
      </c>
      <c r="G178" t="s">
        <v>1418</v>
      </c>
      <c r="H178">
        <v>10</v>
      </c>
      <c r="J178">
        <v>177</v>
      </c>
      <c r="K178" t="s">
        <v>1307</v>
      </c>
    </row>
    <row r="179" spans="1:11" x14ac:dyDescent="0.45">
      <c r="A179">
        <v>178</v>
      </c>
      <c r="B179" t="s">
        <v>1374</v>
      </c>
      <c r="C179" t="s">
        <v>1384</v>
      </c>
      <c r="E179">
        <v>14822</v>
      </c>
      <c r="F179">
        <v>14822</v>
      </c>
      <c r="G179" t="s">
        <v>1420</v>
      </c>
      <c r="H179">
        <v>10</v>
      </c>
      <c r="J179">
        <v>178</v>
      </c>
      <c r="K179" t="s">
        <v>1247</v>
      </c>
    </row>
    <row r="180" spans="1:11" x14ac:dyDescent="0.45">
      <c r="A180">
        <v>179</v>
      </c>
      <c r="B180" t="s">
        <v>1374</v>
      </c>
      <c r="C180" t="s">
        <v>1385</v>
      </c>
      <c r="E180">
        <v>14778</v>
      </c>
      <c r="F180">
        <v>14778</v>
      </c>
      <c r="G180" t="s">
        <v>1421</v>
      </c>
      <c r="H180">
        <v>10</v>
      </c>
      <c r="J180">
        <v>179</v>
      </c>
      <c r="K180" t="s">
        <v>1199</v>
      </c>
    </row>
    <row r="181" spans="1:11" x14ac:dyDescent="0.45">
      <c r="A181">
        <v>180</v>
      </c>
      <c r="B181" t="s">
        <v>1374</v>
      </c>
      <c r="C181" t="s">
        <v>1386</v>
      </c>
      <c r="E181">
        <v>14822</v>
      </c>
      <c r="F181">
        <v>14822</v>
      </c>
      <c r="G181" t="s">
        <v>1422</v>
      </c>
      <c r="H181">
        <v>10</v>
      </c>
      <c r="J181">
        <v>180</v>
      </c>
      <c r="K181" t="s">
        <v>1124</v>
      </c>
    </row>
    <row r="182" spans="1:11" x14ac:dyDescent="0.45">
      <c r="A182">
        <v>181</v>
      </c>
      <c r="B182" t="s">
        <v>1374</v>
      </c>
      <c r="C182" t="s">
        <v>1387</v>
      </c>
      <c r="E182">
        <v>14828</v>
      </c>
      <c r="F182">
        <v>14828</v>
      </c>
      <c r="G182" t="s">
        <v>1423</v>
      </c>
      <c r="H182">
        <v>10</v>
      </c>
      <c r="J182">
        <v>181</v>
      </c>
      <c r="K182" t="s">
        <v>1096</v>
      </c>
    </row>
    <row r="183" spans="1:11" x14ac:dyDescent="0.45">
      <c r="A183">
        <v>182</v>
      </c>
      <c r="B183" t="s">
        <v>1374</v>
      </c>
      <c r="C183" t="s">
        <v>1388</v>
      </c>
      <c r="E183">
        <v>14827</v>
      </c>
      <c r="F183">
        <v>14827</v>
      </c>
      <c r="G183" t="s">
        <v>1424</v>
      </c>
      <c r="H183">
        <v>10</v>
      </c>
      <c r="J183">
        <v>182</v>
      </c>
      <c r="K183" t="s">
        <v>1260</v>
      </c>
    </row>
    <row r="184" spans="1:11" x14ac:dyDescent="0.45">
      <c r="A184">
        <v>183</v>
      </c>
      <c r="B184" t="s">
        <v>1374</v>
      </c>
      <c r="C184" t="s">
        <v>1389</v>
      </c>
      <c r="E184">
        <v>14789</v>
      </c>
      <c r="F184">
        <v>14789</v>
      </c>
      <c r="G184" t="s">
        <v>1425</v>
      </c>
      <c r="H184">
        <v>10</v>
      </c>
      <c r="J184">
        <v>183</v>
      </c>
      <c r="K184" t="s">
        <v>1293</v>
      </c>
    </row>
    <row r="185" spans="1:11" x14ac:dyDescent="0.45">
      <c r="A185">
        <v>184</v>
      </c>
      <c r="B185" t="s">
        <v>1374</v>
      </c>
      <c r="C185" t="s">
        <v>1390</v>
      </c>
      <c r="E185">
        <v>14797</v>
      </c>
      <c r="F185">
        <v>14797</v>
      </c>
      <c r="G185" t="s">
        <v>1426</v>
      </c>
      <c r="H185">
        <v>10</v>
      </c>
      <c r="J185">
        <v>184</v>
      </c>
      <c r="K185" t="s">
        <v>1289</v>
      </c>
    </row>
    <row r="186" spans="1:11" x14ac:dyDescent="0.45">
      <c r="A186">
        <v>185</v>
      </c>
      <c r="B186" t="s">
        <v>1374</v>
      </c>
      <c r="C186" t="s">
        <v>1064</v>
      </c>
      <c r="E186">
        <v>14797</v>
      </c>
      <c r="F186">
        <v>14797</v>
      </c>
      <c r="G186" t="s">
        <v>1426</v>
      </c>
      <c r="H186">
        <v>10</v>
      </c>
      <c r="J186">
        <v>185</v>
      </c>
      <c r="K186" t="s">
        <v>1227</v>
      </c>
    </row>
    <row r="187" spans="1:11" x14ac:dyDescent="0.45">
      <c r="A187">
        <v>186</v>
      </c>
      <c r="B187" t="s">
        <v>1374</v>
      </c>
      <c r="C187" t="s">
        <v>1391</v>
      </c>
      <c r="E187">
        <v>14806</v>
      </c>
      <c r="F187">
        <v>14806</v>
      </c>
      <c r="G187" t="s">
        <v>1427</v>
      </c>
      <c r="H187">
        <v>10</v>
      </c>
      <c r="J187">
        <v>186</v>
      </c>
      <c r="K187" t="s">
        <v>1352</v>
      </c>
    </row>
    <row r="188" spans="1:11" x14ac:dyDescent="0.45">
      <c r="A188">
        <v>187</v>
      </c>
      <c r="B188" t="s">
        <v>1374</v>
      </c>
      <c r="C188" t="s">
        <v>1392</v>
      </c>
      <c r="E188">
        <v>14806</v>
      </c>
      <c r="F188">
        <v>14806</v>
      </c>
      <c r="G188" t="s">
        <v>1427</v>
      </c>
      <c r="H188">
        <v>10</v>
      </c>
      <c r="J188">
        <v>187</v>
      </c>
      <c r="K188" t="s">
        <v>1326</v>
      </c>
    </row>
    <row r="189" spans="1:11" x14ac:dyDescent="0.45">
      <c r="A189">
        <v>188</v>
      </c>
      <c r="B189" t="s">
        <v>1374</v>
      </c>
      <c r="C189" t="s">
        <v>1393</v>
      </c>
      <c r="E189">
        <v>14550</v>
      </c>
      <c r="F189">
        <v>14550</v>
      </c>
      <c r="G189" t="s">
        <v>1428</v>
      </c>
      <c r="H189">
        <v>10</v>
      </c>
      <c r="J189">
        <v>188</v>
      </c>
      <c r="K189" t="s">
        <v>1334</v>
      </c>
    </row>
    <row r="190" spans="1:11" x14ac:dyDescent="0.45">
      <c r="A190">
        <v>189</v>
      </c>
      <c r="B190" t="s">
        <v>1374</v>
      </c>
      <c r="C190" t="s">
        <v>1394</v>
      </c>
      <c r="E190">
        <v>14547</v>
      </c>
      <c r="F190">
        <v>14547</v>
      </c>
      <c r="G190" t="s">
        <v>1429</v>
      </c>
      <c r="H190">
        <v>10</v>
      </c>
      <c r="J190">
        <v>189</v>
      </c>
      <c r="K190" t="s">
        <v>1365</v>
      </c>
    </row>
    <row r="191" spans="1:11" x14ac:dyDescent="0.45">
      <c r="A191">
        <v>190</v>
      </c>
      <c r="B191" t="s">
        <v>1374</v>
      </c>
      <c r="C191" t="s">
        <v>1395</v>
      </c>
      <c r="E191">
        <v>14550</v>
      </c>
      <c r="F191">
        <v>14550</v>
      </c>
      <c r="G191" t="s">
        <v>1430</v>
      </c>
      <c r="H191">
        <v>10</v>
      </c>
      <c r="J191">
        <v>190</v>
      </c>
      <c r="K191" t="s">
        <v>1367</v>
      </c>
    </row>
    <row r="192" spans="1:11" x14ac:dyDescent="0.45">
      <c r="A192">
        <v>191</v>
      </c>
      <c r="B192" t="s">
        <v>1374</v>
      </c>
      <c r="C192" t="s">
        <v>1396</v>
      </c>
      <c r="E192">
        <v>14542</v>
      </c>
      <c r="F192">
        <v>14542</v>
      </c>
      <c r="G192" t="s">
        <v>1071</v>
      </c>
      <c r="H192">
        <v>10</v>
      </c>
      <c r="J192">
        <v>191</v>
      </c>
      <c r="K192" t="s">
        <v>1323</v>
      </c>
    </row>
    <row r="193" spans="1:11" x14ac:dyDescent="0.45">
      <c r="A193">
        <v>192</v>
      </c>
      <c r="B193" t="s">
        <v>1374</v>
      </c>
      <c r="C193" t="s">
        <v>1378</v>
      </c>
      <c r="E193">
        <v>14542</v>
      </c>
      <c r="F193">
        <v>14542</v>
      </c>
      <c r="G193" t="s">
        <v>1417</v>
      </c>
      <c r="H193">
        <v>10</v>
      </c>
      <c r="J193">
        <v>192</v>
      </c>
      <c r="K193" t="s">
        <v>1299</v>
      </c>
    </row>
    <row r="194" spans="1:11" x14ac:dyDescent="0.45">
      <c r="A194">
        <v>193</v>
      </c>
      <c r="B194" t="s">
        <v>1374</v>
      </c>
      <c r="C194" t="s">
        <v>1059</v>
      </c>
      <c r="E194">
        <v>14554</v>
      </c>
      <c r="F194">
        <v>14554</v>
      </c>
      <c r="G194" t="s">
        <v>1429</v>
      </c>
      <c r="H194">
        <v>10</v>
      </c>
      <c r="J194">
        <v>193</v>
      </c>
      <c r="K194" t="s">
        <v>1118</v>
      </c>
    </row>
    <row r="195" spans="1:11" x14ac:dyDescent="0.45">
      <c r="A195">
        <v>194</v>
      </c>
      <c r="B195" t="s">
        <v>1410</v>
      </c>
      <c r="C195" t="s">
        <v>1410</v>
      </c>
      <c r="E195">
        <v>14770</v>
      </c>
      <c r="F195">
        <v>14778</v>
      </c>
      <c r="G195" t="s">
        <v>1421</v>
      </c>
      <c r="H195">
        <v>10</v>
      </c>
      <c r="J195">
        <v>194</v>
      </c>
      <c r="K195" t="s">
        <v>1116</v>
      </c>
    </row>
    <row r="196" spans="1:11" x14ac:dyDescent="0.45">
      <c r="A196">
        <v>195</v>
      </c>
      <c r="B196" t="s">
        <v>1410</v>
      </c>
      <c r="C196" t="s">
        <v>1385</v>
      </c>
      <c r="E196">
        <v>14778</v>
      </c>
      <c r="F196">
        <v>14778</v>
      </c>
      <c r="G196" t="s">
        <v>1421</v>
      </c>
      <c r="H196">
        <v>10</v>
      </c>
      <c r="J196">
        <v>195</v>
      </c>
      <c r="K196" t="s">
        <v>1089</v>
      </c>
    </row>
    <row r="197" spans="1:11" x14ac:dyDescent="0.45">
      <c r="A197">
        <v>196</v>
      </c>
      <c r="B197" t="s">
        <v>1410</v>
      </c>
      <c r="C197" t="s">
        <v>1410</v>
      </c>
      <c r="E197">
        <v>14776</v>
      </c>
      <c r="F197">
        <v>14776</v>
      </c>
      <c r="G197" t="s">
        <v>1421</v>
      </c>
      <c r="H197">
        <v>10</v>
      </c>
      <c r="J197">
        <v>196</v>
      </c>
      <c r="K197" t="s">
        <v>1101</v>
      </c>
    </row>
    <row r="198" spans="1:11" x14ac:dyDescent="0.45">
      <c r="A198">
        <v>197</v>
      </c>
      <c r="B198" t="s">
        <v>1410</v>
      </c>
      <c r="C198" t="s">
        <v>1411</v>
      </c>
      <c r="E198">
        <v>14772</v>
      </c>
      <c r="F198">
        <v>14774</v>
      </c>
      <c r="G198" t="s">
        <v>1421</v>
      </c>
      <c r="H198">
        <v>10</v>
      </c>
      <c r="J198">
        <v>197</v>
      </c>
      <c r="K198" t="s">
        <v>1113</v>
      </c>
    </row>
    <row r="199" spans="1:11" x14ac:dyDescent="0.45">
      <c r="A199">
        <v>198</v>
      </c>
      <c r="B199" t="s">
        <v>1410</v>
      </c>
      <c r="C199" t="s">
        <v>1412</v>
      </c>
      <c r="E199">
        <v>14778</v>
      </c>
      <c r="F199">
        <v>14778</v>
      </c>
      <c r="G199" t="s">
        <v>1421</v>
      </c>
      <c r="H199">
        <v>10</v>
      </c>
      <c r="J199">
        <v>198</v>
      </c>
      <c r="K199" t="s">
        <v>1157</v>
      </c>
    </row>
    <row r="200" spans="1:11" x14ac:dyDescent="0.45">
      <c r="A200">
        <v>199</v>
      </c>
      <c r="B200" t="s">
        <v>1410</v>
      </c>
      <c r="C200" t="s">
        <v>1410</v>
      </c>
      <c r="E200">
        <v>14772</v>
      </c>
      <c r="F200">
        <v>14772</v>
      </c>
      <c r="G200" t="s">
        <v>1421</v>
      </c>
      <c r="H200">
        <v>10</v>
      </c>
      <c r="J200">
        <v>199</v>
      </c>
      <c r="K200" t="s">
        <v>1319</v>
      </c>
    </row>
    <row r="201" spans="1:11" x14ac:dyDescent="0.45">
      <c r="A201">
        <v>200</v>
      </c>
      <c r="B201" t="s">
        <v>1410</v>
      </c>
      <c r="C201" t="s">
        <v>1410</v>
      </c>
      <c r="E201">
        <v>14776</v>
      </c>
      <c r="F201">
        <v>14776</v>
      </c>
      <c r="G201" t="s">
        <v>1421</v>
      </c>
      <c r="H201">
        <v>10</v>
      </c>
      <c r="J201">
        <v>200</v>
      </c>
      <c r="K201" t="s">
        <v>1351</v>
      </c>
    </row>
    <row r="202" spans="1:11" x14ac:dyDescent="0.45">
      <c r="J202">
        <v>201</v>
      </c>
      <c r="K202" t="s">
        <v>1228</v>
      </c>
    </row>
    <row r="203" spans="1:11" x14ac:dyDescent="0.45">
      <c r="J203">
        <v>202</v>
      </c>
      <c r="K203" t="s">
        <v>1147</v>
      </c>
    </row>
    <row r="204" spans="1:11" x14ac:dyDescent="0.45">
      <c r="J204">
        <v>203</v>
      </c>
      <c r="K204" t="s">
        <v>1300</v>
      </c>
    </row>
    <row r="205" spans="1:11" x14ac:dyDescent="0.45">
      <c r="J205">
        <v>204</v>
      </c>
      <c r="K205" t="s">
        <v>1335</v>
      </c>
    </row>
    <row r="206" spans="1:11" x14ac:dyDescent="0.45">
      <c r="J206">
        <v>205</v>
      </c>
      <c r="K206" t="s">
        <v>1369</v>
      </c>
    </row>
    <row r="207" spans="1:11" x14ac:dyDescent="0.45">
      <c r="J207">
        <v>206</v>
      </c>
      <c r="K207" t="s">
        <v>1229</v>
      </c>
    </row>
    <row r="208" spans="1:11" x14ac:dyDescent="0.45">
      <c r="J208">
        <v>207</v>
      </c>
      <c r="K208" t="s">
        <v>1358</v>
      </c>
    </row>
    <row r="209" spans="10:11" x14ac:dyDescent="0.45">
      <c r="J209">
        <v>208</v>
      </c>
      <c r="K209" t="s">
        <v>1305</v>
      </c>
    </row>
    <row r="210" spans="10:11" x14ac:dyDescent="0.45">
      <c r="J210">
        <v>209</v>
      </c>
      <c r="K210" t="s">
        <v>1254</v>
      </c>
    </row>
    <row r="211" spans="10:11" x14ac:dyDescent="0.45">
      <c r="J211">
        <v>210</v>
      </c>
      <c r="K211" t="s">
        <v>1230</v>
      </c>
    </row>
    <row r="212" spans="10:11" x14ac:dyDescent="0.45">
      <c r="J212">
        <v>211</v>
      </c>
      <c r="K212" t="s">
        <v>1231</v>
      </c>
    </row>
    <row r="213" spans="10:11" x14ac:dyDescent="0.45">
      <c r="J213">
        <v>212</v>
      </c>
      <c r="K213" t="s">
        <v>1294</v>
      </c>
    </row>
    <row r="214" spans="10:11" x14ac:dyDescent="0.45">
      <c r="J214">
        <v>213</v>
      </c>
      <c r="K214" t="s">
        <v>1144</v>
      </c>
    </row>
    <row r="215" spans="10:11" x14ac:dyDescent="0.45">
      <c r="J215">
        <v>214</v>
      </c>
      <c r="K215" t="s">
        <v>1094</v>
      </c>
    </row>
    <row r="216" spans="10:11" x14ac:dyDescent="0.45">
      <c r="J216">
        <v>215</v>
      </c>
      <c r="K216" t="s">
        <v>1120</v>
      </c>
    </row>
    <row r="217" spans="10:11" x14ac:dyDescent="0.45">
      <c r="J217">
        <v>216</v>
      </c>
      <c r="K217" t="s">
        <v>1290</v>
      </c>
    </row>
    <row r="218" spans="10:11" x14ac:dyDescent="0.45">
      <c r="J218">
        <v>217</v>
      </c>
      <c r="K218" t="s">
        <v>1302</v>
      </c>
    </row>
    <row r="219" spans="10:11" x14ac:dyDescent="0.45">
      <c r="J219">
        <v>218</v>
      </c>
      <c r="K219" t="s">
        <v>1232</v>
      </c>
    </row>
    <row r="220" spans="10:11" x14ac:dyDescent="0.45">
      <c r="J220">
        <v>219</v>
      </c>
      <c r="K220" t="s">
        <v>1344</v>
      </c>
    </row>
    <row r="221" spans="10:11" x14ac:dyDescent="0.45">
      <c r="J221">
        <v>220</v>
      </c>
      <c r="K221" t="s">
        <v>1339</v>
      </c>
    </row>
    <row r="222" spans="10:11" x14ac:dyDescent="0.45">
      <c r="J222">
        <v>221</v>
      </c>
      <c r="K222" t="s">
        <v>1359</v>
      </c>
    </row>
    <row r="223" spans="10:11" x14ac:dyDescent="0.45">
      <c r="J223">
        <v>222</v>
      </c>
      <c r="K223" t="s">
        <v>1438</v>
      </c>
    </row>
    <row r="224" spans="10:11" x14ac:dyDescent="0.45">
      <c r="J224">
        <v>223</v>
      </c>
      <c r="K224" t="s">
        <v>1163</v>
      </c>
    </row>
    <row r="225" spans="10:11" x14ac:dyDescent="0.45">
      <c r="J225">
        <v>224</v>
      </c>
      <c r="K225" t="s">
        <v>1111</v>
      </c>
    </row>
    <row r="226" spans="10:11" x14ac:dyDescent="0.45">
      <c r="J226">
        <v>225</v>
      </c>
      <c r="K226" t="s">
        <v>1233</v>
      </c>
    </row>
    <row r="227" spans="10:11" x14ac:dyDescent="0.45">
      <c r="J227">
        <v>226</v>
      </c>
      <c r="K227" t="s">
        <v>1309</v>
      </c>
    </row>
    <row r="228" spans="10:11" x14ac:dyDescent="0.45">
      <c r="J228">
        <v>227</v>
      </c>
      <c r="K228" t="s">
        <v>1234</v>
      </c>
    </row>
    <row r="229" spans="10:11" x14ac:dyDescent="0.45">
      <c r="J229">
        <v>228</v>
      </c>
      <c r="K229" t="s">
        <v>1268</v>
      </c>
    </row>
    <row r="230" spans="10:11" x14ac:dyDescent="0.45">
      <c r="J230">
        <v>229</v>
      </c>
      <c r="K230" t="s">
        <v>1235</v>
      </c>
    </row>
    <row r="231" spans="10:11" x14ac:dyDescent="0.45">
      <c r="J231">
        <v>230</v>
      </c>
      <c r="K231" t="s">
        <v>1126</v>
      </c>
    </row>
    <row r="232" spans="10:11" x14ac:dyDescent="0.45">
      <c r="J232">
        <v>231</v>
      </c>
      <c r="K232" t="s">
        <v>1356</v>
      </c>
    </row>
    <row r="233" spans="10:11" x14ac:dyDescent="0.45">
      <c r="J233">
        <v>232</v>
      </c>
      <c r="K233" t="s">
        <v>1205</v>
      </c>
    </row>
    <row r="234" spans="10:11" x14ac:dyDescent="0.45">
      <c r="J234">
        <v>233</v>
      </c>
      <c r="K234" t="s">
        <v>1065</v>
      </c>
    </row>
    <row r="235" spans="10:11" x14ac:dyDescent="0.45">
      <c r="J235">
        <v>234</v>
      </c>
      <c r="K235" t="s">
        <v>1321</v>
      </c>
    </row>
    <row r="236" spans="10:11" x14ac:dyDescent="0.45">
      <c r="J236">
        <v>235</v>
      </c>
      <c r="K236" t="s">
        <v>1236</v>
      </c>
    </row>
    <row r="237" spans="10:11" x14ac:dyDescent="0.45">
      <c r="J237">
        <v>236</v>
      </c>
      <c r="K237" t="s">
        <v>1275</v>
      </c>
    </row>
    <row r="238" spans="10:11" x14ac:dyDescent="0.45">
      <c r="J238">
        <v>237</v>
      </c>
      <c r="K238" t="s">
        <v>1297</v>
      </c>
    </row>
    <row r="239" spans="10:11" x14ac:dyDescent="0.45">
      <c r="J239">
        <v>238</v>
      </c>
      <c r="K239" t="s">
        <v>1142</v>
      </c>
    </row>
    <row r="240" spans="10:11" x14ac:dyDescent="0.45">
      <c r="J240">
        <v>239</v>
      </c>
      <c r="K240" t="s">
        <v>1091</v>
      </c>
    </row>
    <row r="241" spans="10:11" x14ac:dyDescent="0.45">
      <c r="J241">
        <v>240</v>
      </c>
      <c r="K241" t="s">
        <v>1121</v>
      </c>
    </row>
    <row r="242" spans="10:11" x14ac:dyDescent="0.45">
      <c r="J242">
        <v>241</v>
      </c>
      <c r="K242" t="s">
        <v>1348</v>
      </c>
    </row>
    <row r="243" spans="10:11" x14ac:dyDescent="0.45">
      <c r="J243">
        <v>242</v>
      </c>
      <c r="K243" t="s">
        <v>1371</v>
      </c>
    </row>
    <row r="244" spans="10:11" x14ac:dyDescent="0.45">
      <c r="J244">
        <v>243</v>
      </c>
      <c r="K244" t="s">
        <v>1345</v>
      </c>
    </row>
    <row r="245" spans="10:11" x14ac:dyDescent="0.45">
      <c r="J245">
        <v>244</v>
      </c>
      <c r="K245" t="s">
        <v>1331</v>
      </c>
    </row>
    <row r="246" spans="10:11" x14ac:dyDescent="0.45">
      <c r="J246">
        <v>245</v>
      </c>
      <c r="K246" t="s">
        <v>1346</v>
      </c>
    </row>
    <row r="247" spans="10:11" x14ac:dyDescent="0.45">
      <c r="J247">
        <v>246</v>
      </c>
      <c r="K247" t="s">
        <v>1329</v>
      </c>
    </row>
    <row r="248" spans="10:11" x14ac:dyDescent="0.45">
      <c r="J248">
        <v>247</v>
      </c>
      <c r="K248" t="s">
        <v>1135</v>
      </c>
    </row>
    <row r="249" spans="10:11" x14ac:dyDescent="0.45">
      <c r="J249">
        <v>248</v>
      </c>
      <c r="K249" t="s">
        <v>1095</v>
      </c>
    </row>
    <row r="250" spans="10:11" x14ac:dyDescent="0.45">
      <c r="J250">
        <v>249</v>
      </c>
      <c r="K250" t="s">
        <v>1173</v>
      </c>
    </row>
    <row r="251" spans="10:11" x14ac:dyDescent="0.45">
      <c r="J251">
        <v>250</v>
      </c>
      <c r="K251" t="s">
        <v>1156</v>
      </c>
    </row>
    <row r="252" spans="10:11" x14ac:dyDescent="0.45">
      <c r="J252">
        <v>251</v>
      </c>
      <c r="K252" t="s">
        <v>1146</v>
      </c>
    </row>
    <row r="253" spans="10:11" x14ac:dyDescent="0.45">
      <c r="J253">
        <v>252</v>
      </c>
      <c r="K253" t="s">
        <v>1066</v>
      </c>
    </row>
    <row r="254" spans="10:11" x14ac:dyDescent="0.45">
      <c r="J254">
        <v>253</v>
      </c>
      <c r="K254" t="s">
        <v>1131</v>
      </c>
    </row>
    <row r="255" spans="10:11" x14ac:dyDescent="0.45">
      <c r="J255">
        <v>254</v>
      </c>
      <c r="K255" t="s">
        <v>1131</v>
      </c>
    </row>
    <row r="256" spans="10:11" x14ac:dyDescent="0.45">
      <c r="J256">
        <v>255</v>
      </c>
      <c r="K256" t="s">
        <v>1153</v>
      </c>
    </row>
    <row r="257" spans="10:11" x14ac:dyDescent="0.45">
      <c r="J257">
        <v>256</v>
      </c>
      <c r="K257" t="s">
        <v>1125</v>
      </c>
    </row>
    <row r="258" spans="10:11" x14ac:dyDescent="0.45">
      <c r="J258">
        <v>257</v>
      </c>
      <c r="K258" t="s">
        <v>1088</v>
      </c>
    </row>
    <row r="259" spans="10:11" x14ac:dyDescent="0.45">
      <c r="J259">
        <v>258</v>
      </c>
      <c r="K259" t="s">
        <v>1108</v>
      </c>
    </row>
    <row r="260" spans="10:11" x14ac:dyDescent="0.45">
      <c r="J260">
        <v>259</v>
      </c>
      <c r="K260" t="s">
        <v>1202</v>
      </c>
    </row>
    <row r="261" spans="10:11" x14ac:dyDescent="0.45">
      <c r="J261">
        <v>260</v>
      </c>
      <c r="K261" t="s">
        <v>1176</v>
      </c>
    </row>
    <row r="262" spans="10:11" x14ac:dyDescent="0.45">
      <c r="J262">
        <v>261</v>
      </c>
      <c r="K262" t="s">
        <v>1237</v>
      </c>
    </row>
    <row r="263" spans="10:11" x14ac:dyDescent="0.45">
      <c r="J263">
        <v>262</v>
      </c>
      <c r="K263" t="s">
        <v>1336</v>
      </c>
    </row>
    <row r="264" spans="10:11" x14ac:dyDescent="0.45">
      <c r="J264">
        <v>263</v>
      </c>
      <c r="K264" t="s">
        <v>1238</v>
      </c>
    </row>
    <row r="265" spans="10:11" x14ac:dyDescent="0.45">
      <c r="J265">
        <v>264</v>
      </c>
      <c r="K265" t="s">
        <v>1136</v>
      </c>
    </row>
    <row r="266" spans="10:11" x14ac:dyDescent="0.45">
      <c r="J266">
        <v>265</v>
      </c>
      <c r="K266" t="s">
        <v>1055</v>
      </c>
    </row>
    <row r="267" spans="10:11" x14ac:dyDescent="0.45">
      <c r="J267">
        <v>266</v>
      </c>
      <c r="K267" t="s">
        <v>1159</v>
      </c>
    </row>
    <row r="268" spans="10:11" x14ac:dyDescent="0.45">
      <c r="J268">
        <v>267</v>
      </c>
      <c r="K268" t="s">
        <v>1107</v>
      </c>
    </row>
    <row r="269" spans="10:11" x14ac:dyDescent="0.45">
      <c r="J269">
        <v>268</v>
      </c>
      <c r="K269" t="s">
        <v>1198</v>
      </c>
    </row>
    <row r="270" spans="10:11" x14ac:dyDescent="0.45">
      <c r="J270">
        <v>269</v>
      </c>
      <c r="K270" t="s">
        <v>1141</v>
      </c>
    </row>
    <row r="271" spans="10:11" x14ac:dyDescent="0.45">
      <c r="J271">
        <v>270</v>
      </c>
      <c r="K271" t="s">
        <v>1368</v>
      </c>
    </row>
    <row r="272" spans="10:11" x14ac:dyDescent="0.45">
      <c r="J272">
        <v>271</v>
      </c>
      <c r="K272" t="s">
        <v>1190</v>
      </c>
    </row>
    <row r="273" spans="10:11" x14ac:dyDescent="0.45">
      <c r="J273">
        <v>272</v>
      </c>
      <c r="K273" t="s">
        <v>1191</v>
      </c>
    </row>
    <row r="274" spans="10:11" x14ac:dyDescent="0.45">
      <c r="J274">
        <v>273</v>
      </c>
      <c r="K274" t="s">
        <v>1304</v>
      </c>
    </row>
    <row r="275" spans="10:11" x14ac:dyDescent="0.45">
      <c r="J275">
        <v>274</v>
      </c>
      <c r="K275" t="s">
        <v>1322</v>
      </c>
    </row>
    <row r="276" spans="10:11" x14ac:dyDescent="0.45">
      <c r="J276">
        <v>275</v>
      </c>
      <c r="K276" t="s">
        <v>1357</v>
      </c>
    </row>
    <row r="277" spans="10:11" x14ac:dyDescent="0.45">
      <c r="J277">
        <v>276</v>
      </c>
      <c r="K277" t="s">
        <v>1181</v>
      </c>
    </row>
    <row r="278" spans="10:11" x14ac:dyDescent="0.45">
      <c r="J278">
        <v>277</v>
      </c>
      <c r="K278" t="s">
        <v>1134</v>
      </c>
    </row>
    <row r="279" spans="10:11" x14ac:dyDescent="0.45">
      <c r="J279">
        <v>278</v>
      </c>
      <c r="K279" t="s">
        <v>1172</v>
      </c>
    </row>
    <row r="280" spans="10:11" x14ac:dyDescent="0.45">
      <c r="J280">
        <v>279</v>
      </c>
      <c r="K280" t="s">
        <v>1252</v>
      </c>
    </row>
    <row r="281" spans="10:11" x14ac:dyDescent="0.45">
      <c r="J281">
        <v>280</v>
      </c>
      <c r="K281" t="s">
        <v>1265</v>
      </c>
    </row>
    <row r="282" spans="10:11" x14ac:dyDescent="0.45">
      <c r="J282">
        <v>281</v>
      </c>
      <c r="K282" t="s">
        <v>1301</v>
      </c>
    </row>
    <row r="283" spans="10:11" x14ac:dyDescent="0.45">
      <c r="J283">
        <v>282</v>
      </c>
      <c r="K283" t="s">
        <v>1324</v>
      </c>
    </row>
    <row r="284" spans="10:11" x14ac:dyDescent="0.45">
      <c r="J284">
        <v>283</v>
      </c>
      <c r="K284" t="s">
        <v>1197</v>
      </c>
    </row>
    <row r="285" spans="10:11" x14ac:dyDescent="0.45">
      <c r="J285">
        <v>284</v>
      </c>
      <c r="K285" t="s">
        <v>1239</v>
      </c>
    </row>
    <row r="286" spans="10:11" x14ac:dyDescent="0.45">
      <c r="J286">
        <v>285</v>
      </c>
      <c r="K286" t="s">
        <v>1325</v>
      </c>
    </row>
    <row r="287" spans="10:11" x14ac:dyDescent="0.45">
      <c r="J287">
        <v>286</v>
      </c>
      <c r="K287" t="s">
        <v>1240</v>
      </c>
    </row>
    <row r="288" spans="10:11" x14ac:dyDescent="0.45">
      <c r="J288">
        <v>287</v>
      </c>
      <c r="K288" t="s">
        <v>1241</v>
      </c>
    </row>
    <row r="289" spans="10:11" x14ac:dyDescent="0.45">
      <c r="J289">
        <v>288</v>
      </c>
      <c r="K289" t="s">
        <v>1242</v>
      </c>
    </row>
    <row r="290" spans="10:11" x14ac:dyDescent="0.45">
      <c r="J290">
        <v>289</v>
      </c>
      <c r="K290" t="s">
        <v>1099</v>
      </c>
    </row>
    <row r="291" spans="10:11" x14ac:dyDescent="0.45">
      <c r="J291">
        <v>290</v>
      </c>
      <c r="K291" t="s">
        <v>1154</v>
      </c>
    </row>
    <row r="292" spans="10:11" x14ac:dyDescent="0.45">
      <c r="J292">
        <v>291</v>
      </c>
      <c r="K292" t="s">
        <v>1311</v>
      </c>
    </row>
    <row r="293" spans="10:11" x14ac:dyDescent="0.45">
      <c r="J293">
        <v>292</v>
      </c>
      <c r="K293" t="s">
        <v>1343</v>
      </c>
    </row>
    <row r="294" spans="10:11" x14ac:dyDescent="0.45">
      <c r="J294">
        <v>293</v>
      </c>
      <c r="K294" t="s">
        <v>1189</v>
      </c>
    </row>
    <row r="295" spans="10:11" x14ac:dyDescent="0.45">
      <c r="J295">
        <v>294</v>
      </c>
      <c r="K295" t="s">
        <v>1152</v>
      </c>
    </row>
    <row r="296" spans="10:11" x14ac:dyDescent="0.45">
      <c r="J296">
        <v>295</v>
      </c>
      <c r="K296" t="s">
        <v>1243</v>
      </c>
    </row>
    <row r="297" spans="10:11" x14ac:dyDescent="0.45">
      <c r="J297">
        <v>296</v>
      </c>
      <c r="K297" t="s">
        <v>1295</v>
      </c>
    </row>
    <row r="298" spans="10:11" x14ac:dyDescent="0.45">
      <c r="J298">
        <v>297</v>
      </c>
      <c r="K298" t="s">
        <v>1244</v>
      </c>
    </row>
    <row r="299" spans="10:11" x14ac:dyDescent="0.45">
      <c r="J299">
        <v>298</v>
      </c>
      <c r="K299" t="s">
        <v>1103</v>
      </c>
    </row>
    <row r="300" spans="10:11" x14ac:dyDescent="0.45">
      <c r="J300">
        <v>299</v>
      </c>
      <c r="K300" t="s">
        <v>1258</v>
      </c>
    </row>
    <row r="301" spans="10:11" x14ac:dyDescent="0.45">
      <c r="J301">
        <v>300</v>
      </c>
      <c r="K301" t="s">
        <v>1271</v>
      </c>
    </row>
    <row r="302" spans="10:11" x14ac:dyDescent="0.45">
      <c r="J302">
        <v>301</v>
      </c>
      <c r="K302" t="s">
        <v>1245</v>
      </c>
    </row>
    <row r="303" spans="10:11" x14ac:dyDescent="0.45">
      <c r="J303">
        <v>302</v>
      </c>
      <c r="K303" t="s">
        <v>1315</v>
      </c>
    </row>
  </sheetData>
  <sortState xmlns:xlrd2="http://schemas.microsoft.com/office/spreadsheetml/2017/richdata2" ref="K2:K343">
    <sortCondition ref="K343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9CBE6-CD42-4E7F-B0FF-C3A0F8561847}">
  <sheetPr codeName="Tabelle1"/>
  <dimension ref="A1:AU307"/>
  <sheetViews>
    <sheetView workbookViewId="0">
      <pane xSplit="6" ySplit="2" topLeftCell="G87" activePane="bottomRight" state="frozen"/>
      <selection pane="topRight" activeCell="E1" sqref="E1"/>
      <selection pane="bottomLeft" activeCell="A3" sqref="A3"/>
      <selection pane="bottomRight" activeCell="J102" sqref="J102"/>
    </sheetView>
  </sheetViews>
  <sheetFormatPr baseColWidth="10" defaultRowHeight="14.25" x14ac:dyDescent="0.45"/>
  <cols>
    <col min="2" max="2" width="4.9296875" customWidth="1"/>
    <col min="5" max="5" width="17.53125" customWidth="1"/>
    <col min="6" max="6" width="19.33203125" bestFit="1" customWidth="1"/>
    <col min="8" max="8" width="4.796875" customWidth="1"/>
    <col min="11" max="11" width="4.33203125" customWidth="1"/>
    <col min="15" max="15" width="8.6640625" customWidth="1"/>
    <col min="17" max="17" width="5.06640625" customWidth="1"/>
    <col min="23" max="23" width="14.9296875" customWidth="1"/>
    <col min="24" max="24" width="3.73046875" customWidth="1"/>
    <col min="27" max="27" width="14.53125" customWidth="1"/>
    <col min="28" max="28" width="32.265625" customWidth="1"/>
    <col min="31" max="31" width="3.3984375" customWidth="1"/>
    <col min="36" max="36" width="4.59765625" customWidth="1"/>
    <col min="37" max="37" width="8.53125" customWidth="1"/>
    <col min="38" max="38" width="21.73046875" customWidth="1"/>
    <col min="39" max="39" width="4.06640625" customWidth="1"/>
  </cols>
  <sheetData>
    <row r="1" spans="1:47" x14ac:dyDescent="0.45">
      <c r="A1" s="15" t="s">
        <v>640</v>
      </c>
      <c r="B1" s="15"/>
      <c r="C1" s="15"/>
      <c r="D1" s="15"/>
      <c r="E1" s="15"/>
      <c r="F1" s="15"/>
      <c r="G1" s="15"/>
      <c r="H1" s="15"/>
      <c r="I1" s="15"/>
      <c r="J1" s="15"/>
      <c r="L1" s="15" t="s">
        <v>1039</v>
      </c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Y1" s="15" t="s">
        <v>1038</v>
      </c>
      <c r="Z1" s="15"/>
      <c r="AA1" s="15"/>
      <c r="AB1" s="15"/>
      <c r="AC1" s="15"/>
      <c r="AD1" s="15"/>
      <c r="AF1" s="15" t="s">
        <v>1046</v>
      </c>
      <c r="AG1" s="15"/>
      <c r="AH1" s="15"/>
      <c r="AI1" s="15"/>
      <c r="AK1" s="15" t="s">
        <v>1045</v>
      </c>
      <c r="AL1" s="15"/>
      <c r="AN1" s="15" t="s">
        <v>1052</v>
      </c>
      <c r="AO1" s="15"/>
      <c r="AP1" s="15"/>
      <c r="AQ1" s="15"/>
      <c r="AR1" s="15"/>
      <c r="AS1" s="15"/>
      <c r="AT1" s="15"/>
      <c r="AU1" s="15"/>
    </row>
    <row r="2" spans="1:47" x14ac:dyDescent="0.45">
      <c r="A2" s="5"/>
      <c r="B2" s="5">
        <v>200</v>
      </c>
      <c r="C2" s="5">
        <v>302</v>
      </c>
      <c r="D2" s="5" t="s">
        <v>622</v>
      </c>
      <c r="E2" s="5" t="s">
        <v>646</v>
      </c>
      <c r="F2" s="5" t="s">
        <v>319</v>
      </c>
      <c r="G2" s="5" t="s">
        <v>647</v>
      </c>
      <c r="H2" s="5" t="s">
        <v>648</v>
      </c>
      <c r="I2" s="5" t="s">
        <v>630</v>
      </c>
      <c r="J2" s="5" t="s">
        <v>649</v>
      </c>
      <c r="L2" s="10" t="s">
        <v>1012</v>
      </c>
      <c r="M2" s="10" t="s">
        <v>1013</v>
      </c>
      <c r="N2" s="10" t="s">
        <v>1053</v>
      </c>
      <c r="O2" s="10" t="s">
        <v>1014</v>
      </c>
      <c r="P2" s="10" t="s">
        <v>1015</v>
      </c>
      <c r="Q2" s="10"/>
      <c r="R2" s="10" t="s">
        <v>1016</v>
      </c>
      <c r="S2" s="10" t="s">
        <v>1017</v>
      </c>
      <c r="T2" s="10" t="s">
        <v>1018</v>
      </c>
      <c r="U2" s="10" t="s">
        <v>1019</v>
      </c>
      <c r="V2" s="10" t="s">
        <v>1020</v>
      </c>
      <c r="W2" s="10" t="s">
        <v>1021</v>
      </c>
      <c r="Y2" s="10" t="s">
        <v>1032</v>
      </c>
      <c r="Z2" s="10" t="s">
        <v>1033</v>
      </c>
      <c r="AA2" s="10" t="s">
        <v>1034</v>
      </c>
      <c r="AB2" s="10" t="s">
        <v>1035</v>
      </c>
      <c r="AC2" s="10" t="s">
        <v>1036</v>
      </c>
      <c r="AD2" s="10" t="s">
        <v>1037</v>
      </c>
      <c r="AF2" s="10" t="s">
        <v>1040</v>
      </c>
      <c r="AG2" s="10" t="s">
        <v>1041</v>
      </c>
      <c r="AH2" s="10" t="s">
        <v>1042</v>
      </c>
      <c r="AI2" s="10" t="s">
        <v>1037</v>
      </c>
      <c r="AK2" s="10" t="s">
        <v>1043</v>
      </c>
      <c r="AL2" s="10" t="s">
        <v>1044</v>
      </c>
      <c r="AN2" s="10" t="s">
        <v>1047</v>
      </c>
      <c r="AO2" s="10" t="s">
        <v>1048</v>
      </c>
      <c r="AP2" s="10"/>
      <c r="AQ2" s="10"/>
      <c r="AR2" s="10" t="s">
        <v>1049</v>
      </c>
      <c r="AS2" s="10" t="s">
        <v>1050</v>
      </c>
      <c r="AT2" s="10" t="s">
        <v>1051</v>
      </c>
      <c r="AU2" s="10" t="s">
        <v>1037</v>
      </c>
    </row>
    <row r="3" spans="1:47" x14ac:dyDescent="0.45">
      <c r="A3">
        <v>1</v>
      </c>
      <c r="B3">
        <v>181</v>
      </c>
      <c r="C3">
        <v>171</v>
      </c>
      <c r="D3" t="s">
        <v>0</v>
      </c>
      <c r="E3" t="s">
        <v>1</v>
      </c>
      <c r="F3" t="s">
        <v>2</v>
      </c>
      <c r="G3" s="1">
        <v>21765</v>
      </c>
      <c r="H3" s="11">
        <f ca="1">YEAR(TODAY())-YEAR(G3) - (DAY(TODAY()) &lt; DAY(G3))</f>
        <v>65</v>
      </c>
      <c r="I3" t="s">
        <v>625</v>
      </c>
      <c r="J3" s="1">
        <v>42526</v>
      </c>
      <c r="P3" s="1">
        <f ca="1">G3 + ROUND(RAND()*(50*365-18*365) + 18*365, 0)</f>
        <v>31508</v>
      </c>
      <c r="Q3">
        <f t="shared" ref="Q3:Q68" ca="1" si="0">YEAR(P3)-YEAR(G3) - (DAY(P3) &lt; DAY(G3))</f>
        <v>27</v>
      </c>
      <c r="Y3">
        <v>1</v>
      </c>
      <c r="Z3" t="str">
        <f t="shared" ref="Z3:Z66" ca="1" si="1">TEXT(INT(RAND() * (VLOOKUP(B3,Adressen_Zufall,5,TRUE) - VLOOKUP(B3,Adressen_Zufall,5,TRUE)  + 1) + VLOOKUP(B3,Adressen_Zufall,5,TRUE) ),"0")</f>
        <v>14828</v>
      </c>
      <c r="AA3" t="str">
        <f t="shared" ref="AA3:AA66" si="2">VLOOKUP(B3,Adressen_Zufall,3,TRUE)</f>
        <v>Görzke</v>
      </c>
      <c r="AB3" t="str">
        <f t="shared" ref="AB3:AB66" si="3">VLOOKUP(C3,Strassen_Zufall,2,TRUE)</f>
        <v>Louisvillestraße</v>
      </c>
      <c r="AC3" t="str" cm="1">
        <f t="array" ref="AC3">ErzeugeHausnummer()</f>
        <v>11</v>
      </c>
      <c r="AD3">
        <v>1</v>
      </c>
      <c r="AF3">
        <v>1</v>
      </c>
      <c r="AG3" s="6" t="str">
        <f t="shared" ref="AG3:AG66" si="4">VLOOKUP(B3,Adressen_Zufall,7,TRUE)</f>
        <v>033847</v>
      </c>
      <c r="AH3" t="str">
        <f t="shared" ref="AH3:AH66" ca="1" si="5">LEFT(TEXT(INT(RANDBETWEEN(4,9)) &amp; RANDBETWEEN(100000000000,999999999999), "0"),VLOOKUP(B3,Adressen_Zufall,8,TRUE)-LEN(VLOOKUP(B3,Adressen_Zufall,7,TRUE)))</f>
        <v>6353</v>
      </c>
      <c r="AI3">
        <v>1</v>
      </c>
      <c r="AK3">
        <v>2</v>
      </c>
      <c r="AN3">
        <v>1</v>
      </c>
      <c r="AU3">
        <v>1</v>
      </c>
    </row>
    <row r="4" spans="1:47" x14ac:dyDescent="0.45">
      <c r="A4">
        <v>2</v>
      </c>
      <c r="B4">
        <v>75</v>
      </c>
      <c r="C4">
        <v>217</v>
      </c>
      <c r="D4" t="s">
        <v>3</v>
      </c>
      <c r="E4" t="s">
        <v>4</v>
      </c>
      <c r="F4" t="s">
        <v>5</v>
      </c>
      <c r="G4" s="1">
        <v>28795</v>
      </c>
      <c r="H4" s="11">
        <f t="shared" ref="H4:H67" ca="1" si="6">YEAR(TODAY())-YEAR(G4) - (DAY(TODAY()) &lt; DAY(G4))</f>
        <v>46</v>
      </c>
      <c r="I4" t="s">
        <v>626</v>
      </c>
      <c r="J4" s="1">
        <v>39349</v>
      </c>
      <c r="P4" s="1">
        <f t="shared" ref="P4:P67" ca="1" si="7">G4 + ROUND(RAND()*(50*365-18*365) + 18*365, 0)</f>
        <v>38036</v>
      </c>
      <c r="Q4">
        <f ca="1">YEAR(P4)-YEAR(G4) - (DAY(P4) &lt; DAY(G4))</f>
        <v>26</v>
      </c>
      <c r="Y4">
        <v>1</v>
      </c>
      <c r="Z4" t="str">
        <f t="shared" ca="1" si="1"/>
        <v>14050</v>
      </c>
      <c r="AA4" t="str">
        <f t="shared" si="2"/>
        <v>Berlin</v>
      </c>
      <c r="AB4" t="str">
        <f t="shared" si="3"/>
        <v>Pekingweg</v>
      </c>
      <c r="AC4" t="str" cm="1">
        <f t="array" ref="AC4">ErzeugeHausnummer()</f>
        <v>53</v>
      </c>
      <c r="AD4">
        <v>1</v>
      </c>
      <c r="AF4">
        <v>1</v>
      </c>
      <c r="AG4" s="6" t="str">
        <f t="shared" si="4"/>
        <v>030</v>
      </c>
      <c r="AH4" t="str">
        <f t="shared" ca="1" si="5"/>
        <v>41275869</v>
      </c>
      <c r="AI4">
        <v>1</v>
      </c>
      <c r="AK4">
        <v>2</v>
      </c>
      <c r="AN4">
        <v>1</v>
      </c>
      <c r="AU4">
        <v>1</v>
      </c>
    </row>
    <row r="5" spans="1:47" x14ac:dyDescent="0.45">
      <c r="A5">
        <v>3</v>
      </c>
      <c r="B5">
        <v>104</v>
      </c>
      <c r="C5">
        <v>128</v>
      </c>
      <c r="D5" t="s">
        <v>0</v>
      </c>
      <c r="E5" t="s">
        <v>6</v>
      </c>
      <c r="F5" t="s">
        <v>7</v>
      </c>
      <c r="G5" s="1">
        <v>35858</v>
      </c>
      <c r="H5" s="11">
        <f t="shared" ca="1" si="6"/>
        <v>26</v>
      </c>
      <c r="I5" t="s">
        <v>624</v>
      </c>
      <c r="O5" s="6" t="s">
        <v>1023</v>
      </c>
      <c r="P5" s="1">
        <f t="shared" ca="1" si="7"/>
        <v>47232</v>
      </c>
      <c r="Q5">
        <f t="shared" ca="1" si="0"/>
        <v>31</v>
      </c>
      <c r="Y5">
        <v>1</v>
      </c>
      <c r="Z5" t="str">
        <f t="shared" ca="1" si="1"/>
        <v>12524</v>
      </c>
      <c r="AA5" t="str">
        <f t="shared" si="2"/>
        <v>Berlin</v>
      </c>
      <c r="AB5" t="str">
        <f t="shared" si="3"/>
        <v>Industriestraße</v>
      </c>
      <c r="AC5" t="str" cm="1">
        <f t="array" ref="AC5">ErzeugeHausnummer()</f>
        <v>56</v>
      </c>
      <c r="AD5">
        <v>1</v>
      </c>
      <c r="AF5">
        <v>1</v>
      </c>
      <c r="AG5" s="6" t="str">
        <f t="shared" si="4"/>
        <v>030</v>
      </c>
      <c r="AH5" t="str">
        <f t="shared" ca="1" si="5"/>
        <v>41775525</v>
      </c>
      <c r="AI5">
        <v>1</v>
      </c>
      <c r="AK5">
        <v>2</v>
      </c>
      <c r="AN5">
        <v>1</v>
      </c>
      <c r="AU5">
        <v>1</v>
      </c>
    </row>
    <row r="6" spans="1:47" x14ac:dyDescent="0.45">
      <c r="A6">
        <v>4</v>
      </c>
      <c r="B6">
        <v>87</v>
      </c>
      <c r="C6">
        <v>287</v>
      </c>
      <c r="D6" t="s">
        <v>3</v>
      </c>
      <c r="E6" t="s">
        <v>8</v>
      </c>
      <c r="F6" t="s">
        <v>9</v>
      </c>
      <c r="G6" s="1">
        <v>25838</v>
      </c>
      <c r="H6" s="11">
        <f t="shared" ca="1" si="6"/>
        <v>53</v>
      </c>
      <c r="I6" t="s">
        <v>624</v>
      </c>
      <c r="O6" s="6" t="s">
        <v>1023</v>
      </c>
      <c r="P6" s="1">
        <f t="shared" ca="1" si="7"/>
        <v>40516</v>
      </c>
      <c r="Q6">
        <f t="shared" ca="1" si="0"/>
        <v>39</v>
      </c>
      <c r="Y6">
        <v>1</v>
      </c>
      <c r="Z6" t="str">
        <f t="shared" ca="1" si="1"/>
        <v>10825</v>
      </c>
      <c r="AA6" t="str">
        <f t="shared" si="2"/>
        <v>Berlin</v>
      </c>
      <c r="AB6" t="str">
        <f t="shared" si="3"/>
        <v>Vogelweg</v>
      </c>
      <c r="AC6" t="str" cm="1">
        <f t="array" ref="AC6">ErzeugeHausnummer()</f>
        <v>15</v>
      </c>
      <c r="AD6">
        <v>1</v>
      </c>
      <c r="AF6">
        <v>1</v>
      </c>
      <c r="AG6" s="6" t="str">
        <f t="shared" si="4"/>
        <v>030</v>
      </c>
      <c r="AH6" t="str">
        <f t="shared" ca="1" si="5"/>
        <v>83253194</v>
      </c>
      <c r="AI6">
        <v>1</v>
      </c>
      <c r="AK6">
        <v>2</v>
      </c>
      <c r="AN6">
        <v>1</v>
      </c>
      <c r="AU6">
        <v>1</v>
      </c>
    </row>
    <row r="7" spans="1:47" x14ac:dyDescent="0.45">
      <c r="A7">
        <v>5</v>
      </c>
      <c r="B7">
        <v>164</v>
      </c>
      <c r="C7">
        <v>18</v>
      </c>
      <c r="D7" t="s">
        <v>0</v>
      </c>
      <c r="E7" t="s">
        <v>10</v>
      </c>
      <c r="F7" t="s">
        <v>11</v>
      </c>
      <c r="G7" s="1">
        <v>20668</v>
      </c>
      <c r="H7" s="11">
        <f t="shared" ca="1" si="6"/>
        <v>68</v>
      </c>
      <c r="I7" t="s">
        <v>624</v>
      </c>
      <c r="O7" s="6" t="s">
        <v>1023</v>
      </c>
      <c r="P7" s="1">
        <f t="shared" ca="1" si="7"/>
        <v>30472</v>
      </c>
      <c r="Q7">
        <f t="shared" ca="1" si="0"/>
        <v>27</v>
      </c>
      <c r="R7" s="1">
        <f>DATE(IF(MONTH(G7)=12,YEAR(G7)+66,YEAR(G7)+65),IF(MONTH(G7)=12,1,MONTH(G7)+1),1)</f>
        <v>44440</v>
      </c>
      <c r="S7" t="s">
        <v>1022</v>
      </c>
      <c r="Y7">
        <v>1</v>
      </c>
      <c r="Z7" t="str">
        <f t="shared" ca="1" si="1"/>
        <v>14715</v>
      </c>
      <c r="AA7" t="str">
        <f t="shared" si="2"/>
        <v>Berge</v>
      </c>
      <c r="AB7" t="str">
        <f t="shared" si="3"/>
        <v>Amsterdamweg</v>
      </c>
      <c r="AC7" t="str" cm="1">
        <f t="array" ref="AC7">ErzeugeHausnummer()</f>
        <v>21</v>
      </c>
      <c r="AD7">
        <v>1</v>
      </c>
      <c r="AF7">
        <v>1</v>
      </c>
      <c r="AG7" s="6" t="str">
        <f t="shared" si="4"/>
        <v>033874</v>
      </c>
      <c r="AH7" t="str">
        <f t="shared" ca="1" si="5"/>
        <v>8365</v>
      </c>
      <c r="AI7">
        <v>1</v>
      </c>
      <c r="AK7">
        <v>2</v>
      </c>
      <c r="AN7">
        <v>1</v>
      </c>
      <c r="AU7">
        <v>1</v>
      </c>
    </row>
    <row r="8" spans="1:47" x14ac:dyDescent="0.45">
      <c r="A8">
        <v>6</v>
      </c>
      <c r="B8">
        <v>163</v>
      </c>
      <c r="C8">
        <v>169</v>
      </c>
      <c r="D8" t="s">
        <v>3</v>
      </c>
      <c r="E8" t="s">
        <v>12</v>
      </c>
      <c r="F8" t="s">
        <v>13</v>
      </c>
      <c r="G8" s="1">
        <v>27228</v>
      </c>
      <c r="H8" s="11">
        <f t="shared" ca="1" si="6"/>
        <v>50</v>
      </c>
      <c r="I8" t="s">
        <v>624</v>
      </c>
      <c r="O8" t="s">
        <v>1024</v>
      </c>
      <c r="P8" s="1">
        <f t="shared" ca="1" si="7"/>
        <v>43515</v>
      </c>
      <c r="Q8">
        <f t="shared" ca="1" si="0"/>
        <v>45</v>
      </c>
      <c r="Y8">
        <v>1</v>
      </c>
      <c r="Z8" t="str">
        <f t="shared" ca="1" si="1"/>
        <v>14476</v>
      </c>
      <c r="AA8" t="str">
        <f t="shared" si="2"/>
        <v>Marquardt</v>
      </c>
      <c r="AB8" t="str">
        <f t="shared" si="3"/>
        <v>Londoner Straße</v>
      </c>
      <c r="AC8" t="str" cm="1">
        <f t="array" ref="AC8">ErzeugeHausnummer()</f>
        <v>92</v>
      </c>
      <c r="AD8">
        <v>1</v>
      </c>
      <c r="AF8">
        <v>1</v>
      </c>
      <c r="AG8" s="6" t="str">
        <f t="shared" si="4"/>
        <v>03381</v>
      </c>
      <c r="AH8" t="str">
        <f t="shared" ca="1" si="5"/>
        <v>79490</v>
      </c>
      <c r="AI8">
        <v>1</v>
      </c>
      <c r="AK8">
        <v>2</v>
      </c>
      <c r="AN8">
        <v>1</v>
      </c>
      <c r="AU8">
        <v>1</v>
      </c>
    </row>
    <row r="9" spans="1:47" x14ac:dyDescent="0.45">
      <c r="A9">
        <v>7</v>
      </c>
      <c r="B9">
        <v>65</v>
      </c>
      <c r="C9">
        <v>52</v>
      </c>
      <c r="D9" t="s">
        <v>0</v>
      </c>
      <c r="E9" t="s">
        <v>14</v>
      </c>
      <c r="F9" t="s">
        <v>15</v>
      </c>
      <c r="G9" s="1">
        <v>28273</v>
      </c>
      <c r="H9" s="11">
        <f t="shared" ca="1" si="6"/>
        <v>46</v>
      </c>
      <c r="I9" t="s">
        <v>626</v>
      </c>
      <c r="J9" s="1">
        <v>39196</v>
      </c>
      <c r="P9" s="1">
        <f t="shared" ca="1" si="7"/>
        <v>43495</v>
      </c>
      <c r="Q9">
        <f t="shared" ca="1" si="0"/>
        <v>42</v>
      </c>
      <c r="Y9">
        <v>1</v>
      </c>
      <c r="Z9" t="str">
        <f t="shared" ca="1" si="1"/>
        <v>13597</v>
      </c>
      <c r="AA9" t="str">
        <f t="shared" si="2"/>
        <v>Berlin</v>
      </c>
      <c r="AB9" t="str">
        <f t="shared" si="3"/>
        <v>Buenos-Aires-Allee</v>
      </c>
      <c r="AC9" t="str" cm="1">
        <f t="array" ref="AC9">ErzeugeHausnummer()</f>
        <v>12</v>
      </c>
      <c r="AD9">
        <v>1</v>
      </c>
      <c r="AF9">
        <v>1</v>
      </c>
      <c r="AG9" s="6" t="str">
        <f t="shared" si="4"/>
        <v>030</v>
      </c>
      <c r="AH9" t="str">
        <f t="shared" ca="1" si="5"/>
        <v>64203258</v>
      </c>
      <c r="AI9">
        <v>1</v>
      </c>
      <c r="AK9">
        <v>2</v>
      </c>
      <c r="AN9">
        <v>1</v>
      </c>
      <c r="AU9">
        <v>1</v>
      </c>
    </row>
    <row r="10" spans="1:47" x14ac:dyDescent="0.45">
      <c r="A10">
        <v>8</v>
      </c>
      <c r="B10">
        <v>182</v>
      </c>
      <c r="C10">
        <v>120</v>
      </c>
      <c r="D10" t="s">
        <v>3</v>
      </c>
      <c r="E10" t="s">
        <v>16</v>
      </c>
      <c r="F10" t="s">
        <v>17</v>
      </c>
      <c r="G10" s="1">
        <v>36686</v>
      </c>
      <c r="H10" s="11">
        <f t="shared" ca="1" si="6"/>
        <v>24</v>
      </c>
      <c r="I10" t="s">
        <v>624</v>
      </c>
      <c r="O10" t="s">
        <v>1024</v>
      </c>
      <c r="P10" s="1">
        <f t="shared" ca="1" si="7"/>
        <v>53485</v>
      </c>
      <c r="Q10">
        <f t="shared" ca="1" si="0"/>
        <v>45</v>
      </c>
      <c r="Y10">
        <v>1</v>
      </c>
      <c r="Z10" t="str">
        <f t="shared" ca="1" si="1"/>
        <v>14827</v>
      </c>
      <c r="AA10" t="str">
        <f t="shared" si="2"/>
        <v>Wiesenburg/Mark</v>
      </c>
      <c r="AB10" t="str">
        <f t="shared" si="3"/>
        <v>Hirschweg</v>
      </c>
      <c r="AC10" t="str" cm="1">
        <f t="array" ref="AC10">ErzeugeHausnummer()</f>
        <v>12</v>
      </c>
      <c r="AD10">
        <v>1</v>
      </c>
      <c r="AF10">
        <v>1</v>
      </c>
      <c r="AG10" s="6" t="str">
        <f t="shared" si="4"/>
        <v>033849</v>
      </c>
      <c r="AH10" t="str">
        <f t="shared" ca="1" si="5"/>
        <v>8734</v>
      </c>
      <c r="AI10">
        <v>1</v>
      </c>
      <c r="AK10">
        <v>2</v>
      </c>
      <c r="AN10">
        <v>1</v>
      </c>
      <c r="AU10">
        <v>1</v>
      </c>
    </row>
    <row r="11" spans="1:47" x14ac:dyDescent="0.45">
      <c r="A11">
        <v>9</v>
      </c>
      <c r="B11">
        <v>23</v>
      </c>
      <c r="C11">
        <v>165</v>
      </c>
      <c r="D11" t="s">
        <v>0</v>
      </c>
      <c r="E11" t="s">
        <v>18</v>
      </c>
      <c r="F11" t="s">
        <v>19</v>
      </c>
      <c r="G11" s="1">
        <v>30426</v>
      </c>
      <c r="H11" s="11">
        <f t="shared" ca="1" si="6"/>
        <v>41</v>
      </c>
      <c r="I11" t="s">
        <v>624</v>
      </c>
      <c r="O11" s="6" t="s">
        <v>1023</v>
      </c>
      <c r="P11" s="1">
        <f t="shared" ca="1" si="7"/>
        <v>43997</v>
      </c>
      <c r="Q11">
        <f t="shared" ca="1" si="0"/>
        <v>36</v>
      </c>
      <c r="Y11">
        <v>1</v>
      </c>
      <c r="Z11" t="str">
        <f t="shared" ca="1" si="1"/>
        <v>10707</v>
      </c>
      <c r="AA11" t="str">
        <f t="shared" si="2"/>
        <v>Berlin</v>
      </c>
      <c r="AB11" t="str">
        <f t="shared" si="3"/>
        <v>Lindenplatz</v>
      </c>
      <c r="AC11" t="str" cm="1">
        <f t="array" ref="AC11">ErzeugeHausnummer()</f>
        <v>26</v>
      </c>
      <c r="AD11">
        <v>1</v>
      </c>
      <c r="AF11">
        <v>1</v>
      </c>
      <c r="AG11" s="6" t="str">
        <f t="shared" si="4"/>
        <v>030</v>
      </c>
      <c r="AH11" t="str">
        <f t="shared" ca="1" si="5"/>
        <v>54536100</v>
      </c>
      <c r="AI11">
        <v>1</v>
      </c>
      <c r="AK11">
        <v>2</v>
      </c>
      <c r="AN11">
        <v>1</v>
      </c>
      <c r="AU11">
        <v>1</v>
      </c>
    </row>
    <row r="12" spans="1:47" x14ac:dyDescent="0.45">
      <c r="A12">
        <v>10</v>
      </c>
      <c r="B12">
        <v>155</v>
      </c>
      <c r="C12">
        <v>78</v>
      </c>
      <c r="D12" t="s">
        <v>3</v>
      </c>
      <c r="E12" t="s">
        <v>20</v>
      </c>
      <c r="F12" t="s">
        <v>21</v>
      </c>
      <c r="G12" s="1">
        <v>28021</v>
      </c>
      <c r="H12" s="11">
        <f t="shared" ca="1" si="6"/>
        <v>48</v>
      </c>
      <c r="I12" t="s">
        <v>625</v>
      </c>
      <c r="J12" s="1">
        <v>43567</v>
      </c>
      <c r="P12" s="1">
        <f t="shared" ca="1" si="7"/>
        <v>41246</v>
      </c>
      <c r="Q12">
        <f t="shared" ca="1" si="0"/>
        <v>35</v>
      </c>
      <c r="Y12">
        <v>1</v>
      </c>
      <c r="Z12" t="str">
        <f t="shared" ca="1" si="1"/>
        <v>14641</v>
      </c>
      <c r="AA12" t="str">
        <f t="shared" si="2"/>
        <v>Nauen</v>
      </c>
      <c r="AB12" t="str">
        <f t="shared" si="3"/>
        <v>Fasanenstraße</v>
      </c>
      <c r="AC12" t="str" cm="1">
        <f t="array" ref="AC12">ErzeugeHausnummer()</f>
        <v>19</v>
      </c>
      <c r="AD12">
        <v>1</v>
      </c>
      <c r="AF12">
        <v>1</v>
      </c>
      <c r="AG12" s="6" t="str">
        <f t="shared" si="4"/>
        <v>03321</v>
      </c>
      <c r="AH12" t="str">
        <f t="shared" ca="1" si="5"/>
        <v>64305</v>
      </c>
      <c r="AI12">
        <v>1</v>
      </c>
      <c r="AK12">
        <v>2</v>
      </c>
      <c r="AN12">
        <v>1</v>
      </c>
      <c r="AU12">
        <v>1</v>
      </c>
    </row>
    <row r="13" spans="1:47" x14ac:dyDescent="0.45">
      <c r="A13">
        <v>11</v>
      </c>
      <c r="B13">
        <v>54</v>
      </c>
      <c r="C13">
        <v>204</v>
      </c>
      <c r="D13" t="s">
        <v>0</v>
      </c>
      <c r="E13" t="s">
        <v>22</v>
      </c>
      <c r="F13" t="s">
        <v>23</v>
      </c>
      <c r="G13" s="1">
        <v>27054</v>
      </c>
      <c r="H13" s="11">
        <f t="shared" ca="1" si="6"/>
        <v>49</v>
      </c>
      <c r="I13" t="s">
        <v>626</v>
      </c>
      <c r="J13" s="1">
        <v>37174</v>
      </c>
      <c r="P13" s="1">
        <f t="shared" ca="1" si="7"/>
        <v>34458</v>
      </c>
      <c r="Q13">
        <f t="shared" ca="1" si="0"/>
        <v>19</v>
      </c>
      <c r="Y13">
        <v>1</v>
      </c>
      <c r="Z13" t="str">
        <f t="shared" ca="1" si="1"/>
        <v>13597</v>
      </c>
      <c r="AA13" t="str">
        <f t="shared" si="2"/>
        <v>Berlin</v>
      </c>
      <c r="AB13" t="str">
        <f t="shared" si="3"/>
        <v>New-Orleans-Allee</v>
      </c>
      <c r="AC13" t="str" cm="1">
        <f t="array" ref="AC13">ErzeugeHausnummer()</f>
        <v>89</v>
      </c>
      <c r="AD13">
        <v>1</v>
      </c>
      <c r="AF13">
        <v>1</v>
      </c>
      <c r="AG13" s="6" t="str">
        <f t="shared" si="4"/>
        <v>030</v>
      </c>
      <c r="AH13" t="str">
        <f t="shared" ca="1" si="5"/>
        <v>68194964</v>
      </c>
      <c r="AI13">
        <v>1</v>
      </c>
      <c r="AK13">
        <v>2</v>
      </c>
      <c r="AN13">
        <v>1</v>
      </c>
      <c r="AU13">
        <v>1</v>
      </c>
    </row>
    <row r="14" spans="1:47" x14ac:dyDescent="0.45">
      <c r="A14">
        <v>12</v>
      </c>
      <c r="B14">
        <v>198</v>
      </c>
      <c r="C14">
        <v>202</v>
      </c>
      <c r="D14" t="s">
        <v>3</v>
      </c>
      <c r="E14" t="s">
        <v>24</v>
      </c>
      <c r="F14" t="s">
        <v>25</v>
      </c>
      <c r="G14" s="1">
        <v>22694</v>
      </c>
      <c r="H14" s="11">
        <f t="shared" ca="1" si="6"/>
        <v>62</v>
      </c>
      <c r="I14" t="s">
        <v>624</v>
      </c>
      <c r="O14" s="6" t="s">
        <v>1023</v>
      </c>
      <c r="P14" s="1">
        <f t="shared" ca="1" si="7"/>
        <v>35133</v>
      </c>
      <c r="Q14">
        <f t="shared" ca="1" si="0"/>
        <v>33</v>
      </c>
      <c r="Y14">
        <v>1</v>
      </c>
      <c r="Z14" t="str">
        <f t="shared" ca="1" si="1"/>
        <v>14778</v>
      </c>
      <c r="AA14" t="str">
        <f t="shared" si="2"/>
        <v>Päwesin</v>
      </c>
      <c r="AB14" t="str">
        <f t="shared" si="3"/>
        <v>Neue Straße</v>
      </c>
      <c r="AC14" t="str" cm="1">
        <f t="array" ref="AC14">ErzeugeHausnummer()</f>
        <v>68</v>
      </c>
      <c r="AD14">
        <v>1</v>
      </c>
      <c r="AF14">
        <v>1</v>
      </c>
      <c r="AG14" s="6" t="str">
        <f t="shared" si="4"/>
        <v>03381</v>
      </c>
      <c r="AH14" t="str">
        <f t="shared" ca="1" si="5"/>
        <v>94989</v>
      </c>
      <c r="AI14">
        <v>1</v>
      </c>
      <c r="AK14">
        <v>2</v>
      </c>
      <c r="AN14">
        <v>1</v>
      </c>
      <c r="AU14">
        <v>1</v>
      </c>
    </row>
    <row r="15" spans="1:47" x14ac:dyDescent="0.45">
      <c r="A15">
        <v>13</v>
      </c>
      <c r="B15">
        <v>52</v>
      </c>
      <c r="C15">
        <v>244</v>
      </c>
      <c r="D15" t="s">
        <v>0</v>
      </c>
      <c r="E15" t="s">
        <v>26</v>
      </c>
      <c r="F15" t="s">
        <v>27</v>
      </c>
      <c r="G15" s="1">
        <v>33455</v>
      </c>
      <c r="H15" s="11">
        <f t="shared" ca="1" si="6"/>
        <v>33</v>
      </c>
      <c r="I15" t="s">
        <v>626</v>
      </c>
      <c r="J15" s="1">
        <v>40660</v>
      </c>
      <c r="P15" s="1">
        <f t="shared" ca="1" si="7"/>
        <v>40542</v>
      </c>
      <c r="Q15">
        <f t="shared" ca="1" si="0"/>
        <v>19</v>
      </c>
      <c r="Y15">
        <v>1</v>
      </c>
      <c r="Z15" t="str">
        <f t="shared" ca="1" si="1"/>
        <v>13581</v>
      </c>
      <c r="AA15" t="str">
        <f t="shared" si="2"/>
        <v>Berlin</v>
      </c>
      <c r="AB15" t="str">
        <f t="shared" si="3"/>
        <v>San-Francisco-Weg</v>
      </c>
      <c r="AC15" t="str" cm="1">
        <f t="array" ref="AC15">ErzeugeHausnummer()</f>
        <v>8C</v>
      </c>
      <c r="AD15">
        <v>1</v>
      </c>
      <c r="AF15">
        <v>1</v>
      </c>
      <c r="AG15" s="6" t="str">
        <f t="shared" si="4"/>
        <v>030</v>
      </c>
      <c r="AH15" t="str">
        <f t="shared" ca="1" si="5"/>
        <v>66405465</v>
      </c>
      <c r="AI15">
        <v>1</v>
      </c>
      <c r="AK15">
        <v>2</v>
      </c>
      <c r="AN15">
        <v>1</v>
      </c>
      <c r="AU15">
        <v>1</v>
      </c>
    </row>
    <row r="16" spans="1:47" x14ac:dyDescent="0.45">
      <c r="A16">
        <v>14</v>
      </c>
      <c r="B16">
        <v>17</v>
      </c>
      <c r="C16">
        <v>223</v>
      </c>
      <c r="D16" t="s">
        <v>3</v>
      </c>
      <c r="E16" t="s">
        <v>28</v>
      </c>
      <c r="F16" t="s">
        <v>29</v>
      </c>
      <c r="G16" s="1">
        <v>20219</v>
      </c>
      <c r="H16" s="11">
        <f t="shared" ca="1" si="6"/>
        <v>69</v>
      </c>
      <c r="I16" t="s">
        <v>626</v>
      </c>
      <c r="J16" s="1">
        <v>32012</v>
      </c>
      <c r="P16" s="1">
        <f t="shared" ca="1" si="7"/>
        <v>31327</v>
      </c>
      <c r="Q16">
        <f t="shared" ca="1" si="0"/>
        <v>29</v>
      </c>
      <c r="R16" s="1">
        <f>DATE(IF(MONTH(G16)=12,YEAR(G16)+66,YEAR(G16)+65),IF(MONTH(G16)=12,1,MONTH(G16)+1),1)</f>
        <v>43983</v>
      </c>
      <c r="S16" t="s">
        <v>1022</v>
      </c>
      <c r="Y16">
        <v>1</v>
      </c>
      <c r="Z16" t="str">
        <f t="shared" ca="1" si="1"/>
        <v>13187</v>
      </c>
      <c r="AA16" t="str">
        <f t="shared" si="2"/>
        <v>Berlin</v>
      </c>
      <c r="AB16" t="str">
        <f t="shared" si="3"/>
        <v>Postplatz</v>
      </c>
      <c r="AC16" t="str" cm="1">
        <f t="array" ref="AC16">ErzeugeHausnummer()</f>
        <v>3</v>
      </c>
      <c r="AD16">
        <v>1</v>
      </c>
      <c r="AF16">
        <v>1</v>
      </c>
      <c r="AG16" s="6" t="str">
        <f t="shared" si="4"/>
        <v>030</v>
      </c>
      <c r="AH16" t="str">
        <f t="shared" ca="1" si="5"/>
        <v>49268032</v>
      </c>
      <c r="AI16">
        <v>1</v>
      </c>
      <c r="AK16">
        <v>2</v>
      </c>
      <c r="AN16">
        <v>1</v>
      </c>
      <c r="AU16">
        <v>1</v>
      </c>
    </row>
    <row r="17" spans="1:47" x14ac:dyDescent="0.45">
      <c r="A17">
        <v>15</v>
      </c>
      <c r="B17">
        <v>181</v>
      </c>
      <c r="C17">
        <v>9</v>
      </c>
      <c r="D17" t="s">
        <v>0</v>
      </c>
      <c r="E17" t="s">
        <v>30</v>
      </c>
      <c r="F17" t="s">
        <v>31</v>
      </c>
      <c r="G17" s="1">
        <v>32772</v>
      </c>
      <c r="H17" s="11">
        <f t="shared" ca="1" si="6"/>
        <v>35</v>
      </c>
      <c r="I17" t="s">
        <v>624</v>
      </c>
      <c r="O17" s="6" t="s">
        <v>1023</v>
      </c>
      <c r="P17" s="1">
        <f t="shared" ca="1" si="7"/>
        <v>39540</v>
      </c>
      <c r="Q17">
        <f t="shared" ca="1" si="0"/>
        <v>18</v>
      </c>
      <c r="Y17">
        <v>1</v>
      </c>
      <c r="Z17" t="str">
        <f t="shared" ca="1" si="1"/>
        <v>14828</v>
      </c>
      <c r="AA17" t="str">
        <f t="shared" si="2"/>
        <v>Görzke</v>
      </c>
      <c r="AB17" t="str">
        <f t="shared" si="3"/>
        <v>Am Bahnhof</v>
      </c>
      <c r="AC17" t="str" cm="1">
        <f t="array" ref="AC17">ErzeugeHausnummer()</f>
        <v>22</v>
      </c>
      <c r="AD17">
        <v>1</v>
      </c>
      <c r="AF17">
        <v>1</v>
      </c>
      <c r="AG17" s="6" t="str">
        <f t="shared" si="4"/>
        <v>033847</v>
      </c>
      <c r="AH17" t="str">
        <f t="shared" ca="1" si="5"/>
        <v>9603</v>
      </c>
      <c r="AI17">
        <v>1</v>
      </c>
      <c r="AK17">
        <v>2</v>
      </c>
      <c r="AN17">
        <v>1</v>
      </c>
      <c r="AU17">
        <v>1</v>
      </c>
    </row>
    <row r="18" spans="1:47" x14ac:dyDescent="0.45">
      <c r="A18">
        <v>16</v>
      </c>
      <c r="B18">
        <v>125</v>
      </c>
      <c r="C18">
        <v>95</v>
      </c>
      <c r="D18" t="s">
        <v>3</v>
      </c>
      <c r="E18" t="s">
        <v>32</v>
      </c>
      <c r="F18" t="s">
        <v>33</v>
      </c>
      <c r="G18" s="1">
        <v>30756</v>
      </c>
      <c r="H18" s="11">
        <f t="shared" ca="1" si="6"/>
        <v>40</v>
      </c>
      <c r="I18" t="s">
        <v>624</v>
      </c>
      <c r="O18" s="6" t="s">
        <v>1023</v>
      </c>
      <c r="P18" s="1">
        <f t="shared" ca="1" si="7"/>
        <v>40165</v>
      </c>
      <c r="Q18">
        <f t="shared" ca="1" si="0"/>
        <v>25</v>
      </c>
      <c r="Y18">
        <v>1</v>
      </c>
      <c r="Z18" t="str">
        <f t="shared" ca="1" si="1"/>
        <v>14467</v>
      </c>
      <c r="AA18" t="str">
        <f t="shared" si="2"/>
        <v>Potsdam</v>
      </c>
      <c r="AB18" t="str">
        <f t="shared" si="3"/>
        <v>Georg-Friedrich-Händel-Straße</v>
      </c>
      <c r="AC18" t="str" cm="1">
        <f t="array" ref="AC18">ErzeugeHausnummer()</f>
        <v>7</v>
      </c>
      <c r="AD18">
        <v>1</v>
      </c>
      <c r="AF18">
        <v>1</v>
      </c>
      <c r="AG18" s="6" t="str">
        <f t="shared" si="4"/>
        <v>0331</v>
      </c>
      <c r="AH18" t="str">
        <f ca="1">LEFT(TEXT(INT(RANDBETWEEN(4,9)) &amp; RANDBETWEEN(100000000000,999999999999), "0"),VLOOKUP(B18,Adressen_Zufall,8,TRUE)-LEN(VLOOKUP(B18,Adressen_Zufall,7,TRUE)))</f>
        <v>42263</v>
      </c>
      <c r="AI18">
        <v>1</v>
      </c>
      <c r="AK18">
        <v>2</v>
      </c>
      <c r="AN18">
        <v>1</v>
      </c>
      <c r="AU18">
        <v>1</v>
      </c>
    </row>
    <row r="19" spans="1:47" x14ac:dyDescent="0.45">
      <c r="A19">
        <v>17</v>
      </c>
      <c r="B19">
        <v>110</v>
      </c>
      <c r="C19">
        <v>89</v>
      </c>
      <c r="D19" t="s">
        <v>0</v>
      </c>
      <c r="E19" t="s">
        <v>34</v>
      </c>
      <c r="F19" t="s">
        <v>35</v>
      </c>
      <c r="G19" s="1">
        <v>21852</v>
      </c>
      <c r="H19" s="11">
        <f t="shared" ca="1" si="6"/>
        <v>64</v>
      </c>
      <c r="I19" t="s">
        <v>626</v>
      </c>
      <c r="J19" s="1">
        <v>33906</v>
      </c>
      <c r="P19" s="1">
        <f t="shared" ca="1" si="7"/>
        <v>33413</v>
      </c>
      <c r="Q19">
        <f t="shared" ca="1" si="0"/>
        <v>31</v>
      </c>
      <c r="Y19">
        <v>1</v>
      </c>
      <c r="Z19" t="str">
        <f t="shared" ca="1" si="1"/>
        <v>10315</v>
      </c>
      <c r="AA19" t="str">
        <f t="shared" si="2"/>
        <v>Berlin</v>
      </c>
      <c r="AB19" t="str">
        <f t="shared" si="3"/>
        <v>Friedrich-Nietzsche-Straße</v>
      </c>
      <c r="AC19" t="str" cm="1">
        <f t="array" ref="AC19">ErzeugeHausnummer()</f>
        <v>6D</v>
      </c>
      <c r="AD19">
        <v>1</v>
      </c>
      <c r="AF19">
        <v>1</v>
      </c>
      <c r="AG19" s="6" t="str">
        <f t="shared" si="4"/>
        <v>030</v>
      </c>
      <c r="AH19" t="str">
        <f t="shared" ca="1" si="5"/>
        <v>54454362</v>
      </c>
      <c r="AI19">
        <v>1</v>
      </c>
      <c r="AK19">
        <v>2</v>
      </c>
      <c r="AN19">
        <v>1</v>
      </c>
      <c r="AU19">
        <v>1</v>
      </c>
    </row>
    <row r="20" spans="1:47" x14ac:dyDescent="0.45">
      <c r="A20">
        <v>18</v>
      </c>
      <c r="B20">
        <v>36</v>
      </c>
      <c r="C20">
        <v>78</v>
      </c>
      <c r="D20" t="s">
        <v>3</v>
      </c>
      <c r="E20" t="s">
        <v>36</v>
      </c>
      <c r="F20" t="s">
        <v>37</v>
      </c>
      <c r="G20" s="1">
        <v>23056</v>
      </c>
      <c r="H20" s="11">
        <f t="shared" ca="1" si="6"/>
        <v>61</v>
      </c>
      <c r="I20" t="s">
        <v>627</v>
      </c>
      <c r="J20" s="1">
        <v>44278</v>
      </c>
      <c r="P20" s="1">
        <f t="shared" ca="1" si="7"/>
        <v>40939</v>
      </c>
      <c r="Q20">
        <f t="shared" ca="1" si="0"/>
        <v>49</v>
      </c>
      <c r="Y20">
        <v>1</v>
      </c>
      <c r="Z20" t="str">
        <f t="shared" ca="1" si="1"/>
        <v>13581</v>
      </c>
      <c r="AA20" t="str">
        <f t="shared" si="2"/>
        <v>Berlin</v>
      </c>
      <c r="AB20" t="str">
        <f t="shared" si="3"/>
        <v>Fasanenstraße</v>
      </c>
      <c r="AC20" t="str" cm="1">
        <f t="array" ref="AC20">ErzeugeHausnummer()</f>
        <v>22E</v>
      </c>
      <c r="AD20">
        <v>1</v>
      </c>
      <c r="AF20">
        <v>1</v>
      </c>
      <c r="AG20" s="6" t="str">
        <f t="shared" si="4"/>
        <v>030</v>
      </c>
      <c r="AH20" t="str">
        <f t="shared" ca="1" si="5"/>
        <v>73081362</v>
      </c>
      <c r="AI20">
        <v>1</v>
      </c>
      <c r="AK20">
        <v>2</v>
      </c>
      <c r="AN20">
        <v>1</v>
      </c>
      <c r="AU20">
        <v>1</v>
      </c>
    </row>
    <row r="21" spans="1:47" x14ac:dyDescent="0.45">
      <c r="A21">
        <v>19</v>
      </c>
      <c r="B21">
        <v>98</v>
      </c>
      <c r="C21">
        <v>288</v>
      </c>
      <c r="D21" t="s">
        <v>0</v>
      </c>
      <c r="E21" t="s">
        <v>38</v>
      </c>
      <c r="F21" t="s">
        <v>39</v>
      </c>
      <c r="G21" s="1">
        <v>21596</v>
      </c>
      <c r="H21" s="11">
        <f t="shared" ca="1" si="6"/>
        <v>65</v>
      </c>
      <c r="I21" t="s">
        <v>626</v>
      </c>
      <c r="J21" s="1">
        <v>33259</v>
      </c>
      <c r="P21" s="1">
        <f t="shared" ca="1" si="7"/>
        <v>33753</v>
      </c>
      <c r="Q21">
        <f t="shared" ca="1" si="0"/>
        <v>33</v>
      </c>
      <c r="R21" s="1">
        <f>DATE(IF(MONTH(G21)=12,YEAR(G21)+66,YEAR(G21)+65),IF(MONTH(G21)=12,1,MONTH(G21)+1),1)</f>
        <v>45352</v>
      </c>
      <c r="S21" t="s">
        <v>1022</v>
      </c>
      <c r="Y21">
        <v>1</v>
      </c>
      <c r="Z21" t="str">
        <f t="shared" ca="1" si="1"/>
        <v>12057</v>
      </c>
      <c r="AA21" t="str">
        <f t="shared" si="2"/>
        <v>Berlin</v>
      </c>
      <c r="AB21" t="str">
        <f t="shared" si="3"/>
        <v>Wacholderweg</v>
      </c>
      <c r="AC21" t="str" cm="1">
        <f t="array" ref="AC21">ErzeugeHausnummer()</f>
        <v>26</v>
      </c>
      <c r="AD21">
        <v>1</v>
      </c>
      <c r="AF21">
        <v>1</v>
      </c>
      <c r="AG21" s="6" t="str">
        <f t="shared" si="4"/>
        <v>030</v>
      </c>
      <c r="AH21" t="str">
        <f t="shared" ca="1" si="5"/>
        <v>71271278</v>
      </c>
      <c r="AI21">
        <v>1</v>
      </c>
      <c r="AK21">
        <v>2</v>
      </c>
      <c r="AN21">
        <v>1</v>
      </c>
      <c r="AU21">
        <v>1</v>
      </c>
    </row>
    <row r="22" spans="1:47" x14ac:dyDescent="0.45">
      <c r="A22">
        <v>20</v>
      </c>
      <c r="B22">
        <v>35</v>
      </c>
      <c r="C22">
        <v>13</v>
      </c>
      <c r="D22" t="s">
        <v>3</v>
      </c>
      <c r="E22" t="s">
        <v>40</v>
      </c>
      <c r="F22" t="s">
        <v>41</v>
      </c>
      <c r="G22" s="1">
        <v>32633</v>
      </c>
      <c r="H22" s="11">
        <f t="shared" ca="1" si="6"/>
        <v>35</v>
      </c>
      <c r="I22" t="s">
        <v>624</v>
      </c>
      <c r="O22" t="s">
        <v>1024</v>
      </c>
      <c r="P22" s="1">
        <f t="shared" ca="1" si="7"/>
        <v>40789</v>
      </c>
      <c r="Q22">
        <f t="shared" ca="1" si="0"/>
        <v>21</v>
      </c>
      <c r="Y22">
        <v>1</v>
      </c>
      <c r="Z22" t="str">
        <f t="shared" ca="1" si="1"/>
        <v>13581</v>
      </c>
      <c r="AA22" t="str">
        <f t="shared" si="2"/>
        <v>Berlin</v>
      </c>
      <c r="AB22" t="str">
        <f t="shared" si="3"/>
        <v>Am Rosenhügel</v>
      </c>
      <c r="AC22" t="str" cm="1">
        <f t="array" ref="AC22">ErzeugeHausnummer()</f>
        <v>24</v>
      </c>
      <c r="AD22">
        <v>1</v>
      </c>
      <c r="AF22">
        <v>1</v>
      </c>
      <c r="AG22" s="6" t="str">
        <f t="shared" si="4"/>
        <v>030</v>
      </c>
      <c r="AH22" t="str">
        <f t="shared" ca="1" si="5"/>
        <v>51645529</v>
      </c>
      <c r="AI22">
        <v>1</v>
      </c>
      <c r="AK22">
        <v>2</v>
      </c>
      <c r="AN22">
        <v>1</v>
      </c>
      <c r="AU22">
        <v>1</v>
      </c>
    </row>
    <row r="23" spans="1:47" x14ac:dyDescent="0.45">
      <c r="A23">
        <v>21</v>
      </c>
      <c r="B23">
        <v>192</v>
      </c>
      <c r="C23">
        <v>75</v>
      </c>
      <c r="D23" t="s">
        <v>0</v>
      </c>
      <c r="E23" t="s">
        <v>1</v>
      </c>
      <c r="F23" t="s">
        <v>42</v>
      </c>
      <c r="G23" s="1">
        <v>38690</v>
      </c>
      <c r="H23" s="11">
        <f t="shared" ca="1" si="6"/>
        <v>19</v>
      </c>
      <c r="I23" t="s">
        <v>624</v>
      </c>
      <c r="O23" s="6" t="s">
        <v>1023</v>
      </c>
      <c r="P23" s="1">
        <f t="shared" ca="1" si="7"/>
        <v>45330</v>
      </c>
      <c r="Q23">
        <f t="shared" ca="1" si="0"/>
        <v>19</v>
      </c>
      <c r="Y23">
        <v>1</v>
      </c>
      <c r="Z23" t="str">
        <f t="shared" ca="1" si="1"/>
        <v>14542</v>
      </c>
      <c r="AA23" t="str">
        <f t="shared" si="2"/>
        <v>Werder (Havel)</v>
      </c>
      <c r="AB23" t="str">
        <f t="shared" si="3"/>
        <v>Eschenweg</v>
      </c>
      <c r="AC23" t="str" cm="1">
        <f t="array" ref="AC23">ErzeugeHausnummer()</f>
        <v>8</v>
      </c>
      <c r="AD23">
        <v>1</v>
      </c>
      <c r="AF23">
        <v>1</v>
      </c>
      <c r="AG23" s="6" t="str">
        <f t="shared" si="4"/>
        <v>03327</v>
      </c>
      <c r="AH23" t="str">
        <f t="shared" ca="1" si="5"/>
        <v>61458</v>
      </c>
      <c r="AI23">
        <v>1</v>
      </c>
      <c r="AK23">
        <v>2</v>
      </c>
      <c r="AN23">
        <v>1</v>
      </c>
      <c r="AU23">
        <v>1</v>
      </c>
    </row>
    <row r="24" spans="1:47" x14ac:dyDescent="0.45">
      <c r="A24">
        <v>22</v>
      </c>
      <c r="B24">
        <v>75</v>
      </c>
      <c r="C24">
        <v>208</v>
      </c>
      <c r="D24" t="s">
        <v>3</v>
      </c>
      <c r="E24" t="s">
        <v>43</v>
      </c>
      <c r="F24" t="s">
        <v>44</v>
      </c>
      <c r="G24" s="1">
        <v>35464</v>
      </c>
      <c r="H24" s="11">
        <f t="shared" ca="1" si="6"/>
        <v>27</v>
      </c>
      <c r="I24" t="s">
        <v>624</v>
      </c>
      <c r="J24" s="1"/>
      <c r="P24" s="1">
        <f t="shared" ca="1" si="7"/>
        <v>45322</v>
      </c>
      <c r="Q24">
        <f t="shared" ca="1" si="0"/>
        <v>27</v>
      </c>
      <c r="Y24">
        <v>1</v>
      </c>
      <c r="Z24" t="str">
        <f t="shared" ca="1" si="1"/>
        <v>14050</v>
      </c>
      <c r="AA24" t="str">
        <f t="shared" si="2"/>
        <v>Berlin</v>
      </c>
      <c r="AB24" t="str">
        <f t="shared" si="3"/>
        <v>Oslostraße</v>
      </c>
      <c r="AC24" t="str" cm="1">
        <f t="array" ref="AC24">ErzeugeHausnummer()</f>
        <v>92</v>
      </c>
      <c r="AD24">
        <v>1</v>
      </c>
      <c r="AF24">
        <v>1</v>
      </c>
      <c r="AG24" s="6" t="str">
        <f t="shared" si="4"/>
        <v>030</v>
      </c>
      <c r="AH24" t="str">
        <f t="shared" ca="1" si="5"/>
        <v>93172050</v>
      </c>
      <c r="AI24">
        <v>1</v>
      </c>
      <c r="AK24">
        <v>2</v>
      </c>
      <c r="AN24">
        <v>1</v>
      </c>
      <c r="AU24">
        <v>1</v>
      </c>
    </row>
    <row r="25" spans="1:47" x14ac:dyDescent="0.45">
      <c r="A25">
        <v>23</v>
      </c>
      <c r="B25">
        <v>147</v>
      </c>
      <c r="C25">
        <v>47</v>
      </c>
      <c r="D25" t="s">
        <v>0</v>
      </c>
      <c r="E25" t="s">
        <v>45</v>
      </c>
      <c r="F25" t="s">
        <v>46</v>
      </c>
      <c r="G25" s="1">
        <v>22979</v>
      </c>
      <c r="H25" s="11">
        <f t="shared" ca="1" si="6"/>
        <v>61</v>
      </c>
      <c r="I25" t="s">
        <v>626</v>
      </c>
      <c r="J25" s="1">
        <v>30249</v>
      </c>
      <c r="P25" s="1">
        <f t="shared" ca="1" si="7"/>
        <v>29760</v>
      </c>
      <c r="Q25">
        <f t="shared" ca="1" si="0"/>
        <v>18</v>
      </c>
      <c r="Y25">
        <v>1</v>
      </c>
      <c r="Z25" t="str">
        <f t="shared" ca="1" si="1"/>
        <v>14806</v>
      </c>
      <c r="AA25" t="str">
        <f t="shared" si="2"/>
        <v>Belzig</v>
      </c>
      <c r="AB25" t="str">
        <f t="shared" si="3"/>
        <v>Brahmsweg</v>
      </c>
      <c r="AC25" t="str" cm="1">
        <f t="array" ref="AC25">ErzeugeHausnummer()</f>
        <v>11D</v>
      </c>
      <c r="AD25">
        <v>1</v>
      </c>
      <c r="AF25">
        <v>1</v>
      </c>
      <c r="AG25" s="6" t="str">
        <f t="shared" si="4"/>
        <v>033841</v>
      </c>
      <c r="AH25" t="str">
        <f t="shared" ca="1" si="5"/>
        <v>7191</v>
      </c>
      <c r="AI25">
        <v>1</v>
      </c>
      <c r="AK25">
        <v>2</v>
      </c>
      <c r="AN25">
        <v>1</v>
      </c>
      <c r="AU25">
        <v>1</v>
      </c>
    </row>
    <row r="26" spans="1:47" x14ac:dyDescent="0.45">
      <c r="A26">
        <v>24</v>
      </c>
      <c r="B26">
        <v>65</v>
      </c>
      <c r="C26">
        <v>240</v>
      </c>
      <c r="D26" t="s">
        <v>3</v>
      </c>
      <c r="E26" t="s">
        <v>47</v>
      </c>
      <c r="F26" t="s">
        <v>11</v>
      </c>
      <c r="G26" s="1">
        <v>20451</v>
      </c>
      <c r="H26" s="11">
        <f t="shared" ca="1" si="6"/>
        <v>68</v>
      </c>
      <c r="I26" t="s">
        <v>626</v>
      </c>
      <c r="J26" s="1">
        <v>29254</v>
      </c>
      <c r="P26" s="1">
        <f t="shared" ca="1" si="7"/>
        <v>34753</v>
      </c>
      <c r="Q26">
        <f t="shared" ca="1" si="0"/>
        <v>39</v>
      </c>
      <c r="R26" s="1">
        <f>DATE(IF(MONTH(G26)=12,YEAR(G26)+66,YEAR(G26)+65),IF(MONTH(G26)=12,1,MONTH(G26)+1),1)</f>
        <v>44197</v>
      </c>
      <c r="S26" t="s">
        <v>1022</v>
      </c>
      <c r="Y26">
        <v>1</v>
      </c>
      <c r="Z26" t="str">
        <f t="shared" ca="1" si="1"/>
        <v>13597</v>
      </c>
      <c r="AA26" t="str">
        <f t="shared" si="2"/>
        <v>Berlin</v>
      </c>
      <c r="AB26" t="str">
        <f t="shared" si="3"/>
        <v>Rosenweg</v>
      </c>
      <c r="AC26" t="str" cm="1">
        <f t="array" ref="AC26">ErzeugeHausnummer()</f>
        <v>7</v>
      </c>
      <c r="AD26">
        <v>1</v>
      </c>
      <c r="AF26">
        <v>1</v>
      </c>
      <c r="AG26" s="6" t="str">
        <f t="shared" si="4"/>
        <v>030</v>
      </c>
      <c r="AH26" t="str">
        <f t="shared" ca="1" si="5"/>
        <v>57069086</v>
      </c>
      <c r="AI26">
        <v>1</v>
      </c>
      <c r="AK26">
        <v>2</v>
      </c>
      <c r="AN26">
        <v>1</v>
      </c>
      <c r="AU26">
        <v>1</v>
      </c>
    </row>
    <row r="27" spans="1:47" x14ac:dyDescent="0.45">
      <c r="A27">
        <v>25</v>
      </c>
      <c r="B27">
        <v>11</v>
      </c>
      <c r="C27">
        <v>250</v>
      </c>
      <c r="D27" t="s">
        <v>0</v>
      </c>
      <c r="E27" t="s">
        <v>48</v>
      </c>
      <c r="F27" t="s">
        <v>49</v>
      </c>
      <c r="G27" s="1">
        <v>21047</v>
      </c>
      <c r="H27" s="11">
        <f t="shared" ca="1" si="6"/>
        <v>67</v>
      </c>
      <c r="I27" t="s">
        <v>624</v>
      </c>
      <c r="P27" s="1">
        <f t="shared" ca="1" si="7"/>
        <v>33579</v>
      </c>
      <c r="Q27">
        <f t="shared" ca="1" si="0"/>
        <v>33</v>
      </c>
      <c r="R27" s="1">
        <f>DATE(IF(MONTH(G27)=12,YEAR(G27)+66,YEAR(G27)+65),IF(MONTH(G27)=12,1,MONTH(G27)+1),1)</f>
        <v>44805</v>
      </c>
      <c r="S27" t="s">
        <v>1022</v>
      </c>
      <c r="Y27">
        <v>1</v>
      </c>
      <c r="Z27" t="str">
        <f t="shared" ca="1" si="1"/>
        <v>13125</v>
      </c>
      <c r="AA27" t="str">
        <f t="shared" si="2"/>
        <v>Berlin</v>
      </c>
      <c r="AB27" t="str">
        <f t="shared" si="3"/>
        <v>Schloßgasse</v>
      </c>
      <c r="AC27" t="str" cm="1">
        <f t="array" ref="AC27">ErzeugeHausnummer()</f>
        <v>45</v>
      </c>
      <c r="AD27">
        <v>1</v>
      </c>
      <c r="AF27">
        <v>1</v>
      </c>
      <c r="AG27" s="6" t="str">
        <f t="shared" si="4"/>
        <v>030</v>
      </c>
      <c r="AH27" t="str">
        <f t="shared" ca="1" si="5"/>
        <v>55013003</v>
      </c>
      <c r="AI27">
        <v>1</v>
      </c>
      <c r="AK27">
        <v>2</v>
      </c>
      <c r="AN27">
        <v>1</v>
      </c>
      <c r="AU27">
        <v>1</v>
      </c>
    </row>
    <row r="28" spans="1:47" x14ac:dyDescent="0.45">
      <c r="A28">
        <v>26</v>
      </c>
      <c r="B28">
        <v>92</v>
      </c>
      <c r="C28">
        <v>96</v>
      </c>
      <c r="D28" t="s">
        <v>3</v>
      </c>
      <c r="E28" t="s">
        <v>50</v>
      </c>
      <c r="F28" t="s">
        <v>51</v>
      </c>
      <c r="G28" s="1">
        <v>18334</v>
      </c>
      <c r="H28" s="11">
        <f t="shared" ca="1" si="6"/>
        <v>74</v>
      </c>
      <c r="I28" t="s">
        <v>624</v>
      </c>
      <c r="P28" s="1">
        <f t="shared" ca="1" si="7"/>
        <v>35909</v>
      </c>
      <c r="Q28">
        <f t="shared" ca="1" si="0"/>
        <v>48</v>
      </c>
      <c r="R28" s="1">
        <f>DATE(IF(MONTH(G28)=12,YEAR(G28)+66,YEAR(G28)+65),IF(MONTH(G28)=12,1,MONTH(G28)+1),1)</f>
        <v>42095</v>
      </c>
      <c r="S28" t="s">
        <v>1022</v>
      </c>
      <c r="Y28">
        <v>1</v>
      </c>
      <c r="Z28" t="str">
        <f t="shared" ca="1" si="1"/>
        <v>12247</v>
      </c>
      <c r="AA28" t="str">
        <f t="shared" si="2"/>
        <v>Berlin</v>
      </c>
      <c r="AB28" t="str">
        <f t="shared" si="3"/>
        <v>Georg-Wilhelm-Friedrich-Hegel-Straße</v>
      </c>
      <c r="AC28" t="str" cm="1">
        <f t="array" ref="AC28">ErzeugeHausnummer()</f>
        <v>6</v>
      </c>
      <c r="AD28">
        <v>1</v>
      </c>
      <c r="AF28">
        <v>1</v>
      </c>
      <c r="AG28" s="6" t="str">
        <f t="shared" si="4"/>
        <v>030</v>
      </c>
      <c r="AH28" t="str">
        <f t="shared" ca="1" si="5"/>
        <v>96665288</v>
      </c>
      <c r="AI28">
        <v>1</v>
      </c>
      <c r="AK28">
        <v>2</v>
      </c>
      <c r="AN28">
        <v>1</v>
      </c>
      <c r="AU28">
        <v>1</v>
      </c>
    </row>
    <row r="29" spans="1:47" x14ac:dyDescent="0.45">
      <c r="A29">
        <v>27</v>
      </c>
      <c r="B29">
        <v>74</v>
      </c>
      <c r="C29">
        <v>71</v>
      </c>
      <c r="D29" t="s">
        <v>0</v>
      </c>
      <c r="E29" t="s">
        <v>52</v>
      </c>
      <c r="F29" t="s">
        <v>25</v>
      </c>
      <c r="G29" s="1">
        <v>37013</v>
      </c>
      <c r="H29" s="11">
        <f t="shared" ca="1" si="6"/>
        <v>23</v>
      </c>
      <c r="I29" t="s">
        <v>624</v>
      </c>
      <c r="P29" s="1">
        <f t="shared" ca="1" si="7"/>
        <v>51381</v>
      </c>
      <c r="Q29">
        <f t="shared" ca="1" si="0"/>
        <v>39</v>
      </c>
      <c r="Y29">
        <v>1</v>
      </c>
      <c r="Z29" t="str">
        <f t="shared" ca="1" si="1"/>
        <v>14050</v>
      </c>
      <c r="AA29" t="str">
        <f t="shared" si="2"/>
        <v>Berlin</v>
      </c>
      <c r="AB29" t="str">
        <f t="shared" si="3"/>
        <v>Einsteinstraße</v>
      </c>
      <c r="AC29" t="str" cm="1">
        <f t="array" ref="AC29">ErzeugeHausnummer()</f>
        <v>34</v>
      </c>
      <c r="AD29">
        <v>1</v>
      </c>
      <c r="AF29">
        <v>1</v>
      </c>
      <c r="AG29" s="6" t="str">
        <f t="shared" si="4"/>
        <v>030</v>
      </c>
      <c r="AH29" t="str">
        <f t="shared" ca="1" si="5"/>
        <v>89938366</v>
      </c>
      <c r="AI29">
        <v>1</v>
      </c>
      <c r="AK29">
        <v>2</v>
      </c>
      <c r="AN29">
        <v>1</v>
      </c>
      <c r="AU29">
        <v>1</v>
      </c>
    </row>
    <row r="30" spans="1:47" x14ac:dyDescent="0.45">
      <c r="A30">
        <v>28</v>
      </c>
      <c r="B30">
        <v>29</v>
      </c>
      <c r="C30">
        <v>110</v>
      </c>
      <c r="D30" t="s">
        <v>3</v>
      </c>
      <c r="E30" t="s">
        <v>53</v>
      </c>
      <c r="F30" t="s">
        <v>17</v>
      </c>
      <c r="G30" s="1">
        <v>27394</v>
      </c>
      <c r="H30" s="11">
        <f t="shared" ca="1" si="6"/>
        <v>49</v>
      </c>
      <c r="I30" t="s">
        <v>626</v>
      </c>
      <c r="J30" s="1">
        <v>38594</v>
      </c>
      <c r="P30" s="1">
        <f t="shared" ca="1" si="7"/>
        <v>37845</v>
      </c>
      <c r="Q30">
        <f t="shared" ca="1" si="0"/>
        <v>28</v>
      </c>
      <c r="Y30">
        <v>1</v>
      </c>
      <c r="Z30" t="str">
        <f t="shared" ca="1" si="1"/>
        <v>14052</v>
      </c>
      <c r="AA30" t="str">
        <f t="shared" si="2"/>
        <v>Berlin</v>
      </c>
      <c r="AB30" t="str">
        <f t="shared" si="3"/>
        <v>Havannastraße</v>
      </c>
      <c r="AC30" t="str" cm="1">
        <f t="array" ref="AC30">ErzeugeHausnummer()</f>
        <v>36</v>
      </c>
      <c r="AD30">
        <v>1</v>
      </c>
      <c r="AF30">
        <v>1</v>
      </c>
      <c r="AG30" s="6" t="str">
        <f t="shared" si="4"/>
        <v>030</v>
      </c>
      <c r="AH30" t="str">
        <f t="shared" ca="1" si="5"/>
        <v>82644118</v>
      </c>
      <c r="AI30">
        <v>1</v>
      </c>
      <c r="AK30">
        <v>2</v>
      </c>
      <c r="AN30">
        <v>1</v>
      </c>
      <c r="AU30">
        <v>1</v>
      </c>
    </row>
    <row r="31" spans="1:47" x14ac:dyDescent="0.45">
      <c r="A31">
        <v>29</v>
      </c>
      <c r="B31">
        <v>117</v>
      </c>
      <c r="C31">
        <v>1</v>
      </c>
      <c r="D31" t="s">
        <v>0</v>
      </c>
      <c r="E31" t="s">
        <v>54</v>
      </c>
      <c r="F31" t="s">
        <v>55</v>
      </c>
      <c r="G31" s="1">
        <v>31906</v>
      </c>
      <c r="H31" s="11">
        <f t="shared" ca="1" si="6"/>
        <v>37</v>
      </c>
      <c r="I31" t="s">
        <v>626</v>
      </c>
      <c r="J31" s="1">
        <v>38584</v>
      </c>
      <c r="P31" s="1">
        <f t="shared" ca="1" si="7"/>
        <v>45722</v>
      </c>
      <c r="Q31">
        <f t="shared" ca="1" si="0"/>
        <v>37</v>
      </c>
      <c r="Y31">
        <v>1</v>
      </c>
      <c r="Z31" t="str">
        <f t="shared" ca="1" si="1"/>
        <v>13407</v>
      </c>
      <c r="AA31" t="str">
        <f t="shared" si="2"/>
        <v>Berlin</v>
      </c>
      <c r="AB31" t="str">
        <f t="shared" si="3"/>
        <v>Adlerstraße</v>
      </c>
      <c r="AC31" t="str" cm="1">
        <f t="array" ref="AC31">ErzeugeHausnummer()</f>
        <v>29</v>
      </c>
      <c r="AD31">
        <v>1</v>
      </c>
      <c r="AF31">
        <v>1</v>
      </c>
      <c r="AG31" s="6" t="str">
        <f t="shared" si="4"/>
        <v>030</v>
      </c>
      <c r="AH31" t="str">
        <f t="shared" ca="1" si="5"/>
        <v>83956234</v>
      </c>
      <c r="AI31">
        <v>1</v>
      </c>
      <c r="AK31">
        <v>2</v>
      </c>
      <c r="AN31">
        <v>1</v>
      </c>
      <c r="AU31">
        <v>1</v>
      </c>
    </row>
    <row r="32" spans="1:47" x14ac:dyDescent="0.45">
      <c r="A32">
        <v>30</v>
      </c>
      <c r="B32">
        <v>42</v>
      </c>
      <c r="C32">
        <v>213</v>
      </c>
      <c r="D32" t="s">
        <v>3</v>
      </c>
      <c r="E32" t="s">
        <v>56</v>
      </c>
      <c r="F32" t="s">
        <v>31</v>
      </c>
      <c r="G32" s="1">
        <v>25097</v>
      </c>
      <c r="H32" s="11">
        <f t="shared" ca="1" si="6"/>
        <v>56</v>
      </c>
      <c r="I32" t="s">
        <v>626</v>
      </c>
      <c r="J32" s="1">
        <v>36355</v>
      </c>
      <c r="P32" s="1">
        <f t="shared" ca="1" si="7"/>
        <v>35834</v>
      </c>
      <c r="Q32">
        <f t="shared" ca="1" si="0"/>
        <v>29</v>
      </c>
      <c r="Y32">
        <v>1</v>
      </c>
      <c r="Z32" t="str">
        <f t="shared" ca="1" si="1"/>
        <v>13581</v>
      </c>
      <c r="AA32" t="str">
        <f t="shared" si="2"/>
        <v>Berlin</v>
      </c>
      <c r="AB32" t="str">
        <f t="shared" si="3"/>
        <v>Parkgasse</v>
      </c>
      <c r="AC32" t="str" cm="1">
        <f t="array" ref="AC32">ErzeugeHausnummer()</f>
        <v>22</v>
      </c>
      <c r="AD32">
        <v>1</v>
      </c>
      <c r="AF32">
        <v>1</v>
      </c>
      <c r="AG32" s="6" t="str">
        <f t="shared" si="4"/>
        <v>030</v>
      </c>
      <c r="AH32" t="str">
        <f t="shared" ca="1" si="5"/>
        <v>96906728</v>
      </c>
      <c r="AI32">
        <v>1</v>
      </c>
      <c r="AK32">
        <v>2</v>
      </c>
      <c r="AN32">
        <v>1</v>
      </c>
      <c r="AU32">
        <v>1</v>
      </c>
    </row>
    <row r="33" spans="1:47" x14ac:dyDescent="0.45">
      <c r="A33">
        <v>31</v>
      </c>
      <c r="B33">
        <v>87</v>
      </c>
      <c r="C33">
        <v>286</v>
      </c>
      <c r="D33" t="s">
        <v>0</v>
      </c>
      <c r="E33" t="s">
        <v>57</v>
      </c>
      <c r="F33" t="s">
        <v>58</v>
      </c>
      <c r="G33" s="1">
        <v>37316</v>
      </c>
      <c r="H33" s="11">
        <f t="shared" ca="1" si="6"/>
        <v>22</v>
      </c>
      <c r="I33" t="s">
        <v>624</v>
      </c>
      <c r="P33" s="1">
        <f t="shared" ca="1" si="7"/>
        <v>49784</v>
      </c>
      <c r="Q33">
        <f t="shared" ca="1" si="0"/>
        <v>34</v>
      </c>
      <c r="Y33">
        <v>1</v>
      </c>
      <c r="Z33" t="str">
        <f t="shared" ca="1" si="1"/>
        <v>10825</v>
      </c>
      <c r="AA33" t="str">
        <f t="shared" si="2"/>
        <v>Berlin</v>
      </c>
      <c r="AB33" t="str">
        <f t="shared" si="3"/>
        <v>Veilchenweg</v>
      </c>
      <c r="AC33" t="str" cm="1">
        <f t="array" ref="AC33">ErzeugeHausnummer()</f>
        <v>4</v>
      </c>
      <c r="AD33">
        <v>1</v>
      </c>
      <c r="AF33">
        <v>1</v>
      </c>
      <c r="AG33" s="6" t="str">
        <f t="shared" si="4"/>
        <v>030</v>
      </c>
      <c r="AH33" t="str">
        <f t="shared" ca="1" si="5"/>
        <v>45328531</v>
      </c>
      <c r="AI33">
        <v>1</v>
      </c>
      <c r="AK33">
        <v>2</v>
      </c>
      <c r="AN33">
        <v>1</v>
      </c>
      <c r="AU33">
        <v>1</v>
      </c>
    </row>
    <row r="34" spans="1:47" x14ac:dyDescent="0.45">
      <c r="A34">
        <v>32</v>
      </c>
      <c r="B34">
        <v>13</v>
      </c>
      <c r="C34">
        <v>97</v>
      </c>
      <c r="D34" t="s">
        <v>3</v>
      </c>
      <c r="E34" t="s">
        <v>8</v>
      </c>
      <c r="F34" t="s">
        <v>7</v>
      </c>
      <c r="G34" s="1">
        <v>22185</v>
      </c>
      <c r="H34" s="11">
        <f t="shared" ca="1" si="6"/>
        <v>63</v>
      </c>
      <c r="I34" t="s">
        <v>625</v>
      </c>
      <c r="J34" s="1">
        <v>42429</v>
      </c>
      <c r="P34" s="1">
        <f t="shared" ca="1" si="7"/>
        <v>36213</v>
      </c>
      <c r="Q34">
        <f t="shared" ca="1" si="0"/>
        <v>38</v>
      </c>
      <c r="Y34">
        <v>1</v>
      </c>
      <c r="Z34" t="str">
        <f t="shared" ca="1" si="1"/>
        <v>13156</v>
      </c>
      <c r="AA34" t="str">
        <f t="shared" si="2"/>
        <v>Berlin</v>
      </c>
      <c r="AB34" t="str">
        <f t="shared" si="3"/>
        <v>Gerhard-Schröder-Straße</v>
      </c>
      <c r="AC34" t="str" cm="1">
        <f t="array" ref="AC34">ErzeugeHausnummer()</f>
        <v>8</v>
      </c>
      <c r="AD34">
        <v>1</v>
      </c>
      <c r="AF34">
        <v>1</v>
      </c>
      <c r="AG34" s="6" t="str">
        <f t="shared" si="4"/>
        <v>030</v>
      </c>
      <c r="AH34" t="str">
        <f t="shared" ca="1" si="5"/>
        <v>87125711</v>
      </c>
      <c r="AI34">
        <v>1</v>
      </c>
      <c r="AK34">
        <v>2</v>
      </c>
      <c r="AN34">
        <v>1</v>
      </c>
      <c r="AU34">
        <v>1</v>
      </c>
    </row>
    <row r="35" spans="1:47" x14ac:dyDescent="0.45">
      <c r="A35">
        <v>33</v>
      </c>
      <c r="B35">
        <v>10</v>
      </c>
      <c r="C35">
        <v>281</v>
      </c>
      <c r="D35" t="s">
        <v>0</v>
      </c>
      <c r="E35" t="s">
        <v>59</v>
      </c>
      <c r="F35" t="s">
        <v>11</v>
      </c>
      <c r="G35" s="1">
        <v>34235</v>
      </c>
      <c r="H35" s="11">
        <f t="shared" ca="1" si="6"/>
        <v>30</v>
      </c>
      <c r="I35" t="s">
        <v>624</v>
      </c>
      <c r="P35" s="1">
        <f t="shared" ca="1" si="7"/>
        <v>48522</v>
      </c>
      <c r="Q35">
        <f t="shared" ca="1" si="0"/>
        <v>38</v>
      </c>
      <c r="Y35">
        <v>1</v>
      </c>
      <c r="Z35" t="str">
        <f t="shared" ca="1" si="1"/>
        <v>10405</v>
      </c>
      <c r="AA35" t="str">
        <f t="shared" si="2"/>
        <v>Berlin</v>
      </c>
      <c r="AB35" t="str">
        <f t="shared" si="3"/>
        <v>Tokiostraße</v>
      </c>
      <c r="AC35" t="str" cm="1">
        <f t="array" ref="AC35">ErzeugeHausnummer()</f>
        <v>33F</v>
      </c>
      <c r="AD35">
        <v>1</v>
      </c>
      <c r="AF35">
        <v>1</v>
      </c>
      <c r="AG35" s="6" t="str">
        <f t="shared" si="4"/>
        <v>030</v>
      </c>
      <c r="AH35" t="str">
        <f t="shared" ca="1" si="5"/>
        <v>45009012</v>
      </c>
      <c r="AI35">
        <v>1</v>
      </c>
      <c r="AK35">
        <v>2</v>
      </c>
      <c r="AN35">
        <v>1</v>
      </c>
      <c r="AU35">
        <v>1</v>
      </c>
    </row>
    <row r="36" spans="1:47" x14ac:dyDescent="0.45">
      <c r="A36">
        <v>34</v>
      </c>
      <c r="B36">
        <v>112</v>
      </c>
      <c r="C36">
        <v>195</v>
      </c>
      <c r="D36" t="s">
        <v>3</v>
      </c>
      <c r="E36" t="s">
        <v>60</v>
      </c>
      <c r="F36" t="s">
        <v>2</v>
      </c>
      <c r="G36" s="1">
        <v>30743</v>
      </c>
      <c r="H36" s="11">
        <f t="shared" ca="1" si="6"/>
        <v>40</v>
      </c>
      <c r="I36" t="s">
        <v>625</v>
      </c>
      <c r="J36" s="1">
        <v>44107</v>
      </c>
      <c r="P36" s="1">
        <f t="shared" ca="1" si="7"/>
        <v>38133</v>
      </c>
      <c r="Q36">
        <f t="shared" ca="1" si="0"/>
        <v>20</v>
      </c>
      <c r="Y36">
        <v>1</v>
      </c>
      <c r="Z36" t="str">
        <f t="shared" ca="1" si="1"/>
        <v>10365</v>
      </c>
      <c r="AA36" t="str">
        <f t="shared" si="2"/>
        <v>Berlin</v>
      </c>
      <c r="AB36" t="str">
        <f t="shared" si="3"/>
        <v>Mozartstraße</v>
      </c>
      <c r="AC36" t="str" cm="1">
        <f t="array" ref="AC36">ErzeugeHausnummer()</f>
        <v>3F/G</v>
      </c>
      <c r="AD36">
        <v>1</v>
      </c>
      <c r="AF36">
        <v>1</v>
      </c>
      <c r="AG36" s="6" t="str">
        <f t="shared" si="4"/>
        <v>030</v>
      </c>
      <c r="AH36" t="str">
        <f t="shared" ca="1" si="5"/>
        <v>67867586</v>
      </c>
      <c r="AI36">
        <v>1</v>
      </c>
      <c r="AK36">
        <v>2</v>
      </c>
      <c r="AN36">
        <v>1</v>
      </c>
      <c r="AU36">
        <v>1</v>
      </c>
    </row>
    <row r="37" spans="1:47" x14ac:dyDescent="0.45">
      <c r="A37">
        <v>35</v>
      </c>
      <c r="B37">
        <v>22</v>
      </c>
      <c r="C37">
        <v>83</v>
      </c>
      <c r="D37" t="s">
        <v>0</v>
      </c>
      <c r="E37" t="s">
        <v>61</v>
      </c>
      <c r="F37" t="s">
        <v>29</v>
      </c>
      <c r="G37" s="1">
        <v>30765</v>
      </c>
      <c r="H37" s="11">
        <f t="shared" ca="1" si="6"/>
        <v>39</v>
      </c>
      <c r="I37" t="s">
        <v>626</v>
      </c>
      <c r="J37" s="1">
        <v>39791</v>
      </c>
      <c r="P37" s="1">
        <f t="shared" ca="1" si="7"/>
        <v>38671</v>
      </c>
      <c r="Q37">
        <f t="shared" ca="1" si="0"/>
        <v>20</v>
      </c>
      <c r="Y37">
        <v>1</v>
      </c>
      <c r="Z37" t="str">
        <f t="shared" ca="1" si="1"/>
        <v>10707</v>
      </c>
      <c r="AA37" t="str">
        <f t="shared" si="2"/>
        <v>Berlin</v>
      </c>
      <c r="AB37" t="str">
        <f t="shared" si="3"/>
        <v>Forellenweg</v>
      </c>
      <c r="AC37" t="str" cm="1">
        <f t="array" ref="AC37">ErzeugeHausnummer()</f>
        <v>48</v>
      </c>
      <c r="AD37">
        <v>1</v>
      </c>
      <c r="AF37">
        <v>1</v>
      </c>
      <c r="AG37" s="6" t="str">
        <f t="shared" si="4"/>
        <v>030</v>
      </c>
      <c r="AH37" t="str">
        <f t="shared" ca="1" si="5"/>
        <v>63207498</v>
      </c>
      <c r="AI37">
        <v>1</v>
      </c>
      <c r="AK37">
        <v>2</v>
      </c>
      <c r="AN37">
        <v>1</v>
      </c>
      <c r="AU37">
        <v>1</v>
      </c>
    </row>
    <row r="38" spans="1:47" x14ac:dyDescent="0.45">
      <c r="A38">
        <v>36</v>
      </c>
      <c r="B38">
        <v>73</v>
      </c>
      <c r="C38">
        <v>28</v>
      </c>
      <c r="D38" t="s">
        <v>3</v>
      </c>
      <c r="E38" t="s">
        <v>12</v>
      </c>
      <c r="F38" t="s">
        <v>35</v>
      </c>
      <c r="G38" s="1">
        <v>33232</v>
      </c>
      <c r="H38" s="11">
        <f t="shared" ca="1" si="6"/>
        <v>33</v>
      </c>
      <c r="I38" t="s">
        <v>624</v>
      </c>
      <c r="P38" s="1">
        <f t="shared" ca="1" si="7"/>
        <v>49697</v>
      </c>
      <c r="Q38">
        <f t="shared" ca="1" si="0"/>
        <v>45</v>
      </c>
      <c r="Y38">
        <v>1</v>
      </c>
      <c r="Z38" t="str">
        <f t="shared" ca="1" si="1"/>
        <v>14050</v>
      </c>
      <c r="AA38" t="str">
        <f t="shared" si="2"/>
        <v>Berlin</v>
      </c>
      <c r="AB38" t="str">
        <f t="shared" si="3"/>
        <v>Bachstraße</v>
      </c>
      <c r="AC38" t="str" cm="1">
        <f t="array" ref="AC38">ErzeugeHausnummer()</f>
        <v>13E</v>
      </c>
      <c r="AD38">
        <v>1</v>
      </c>
      <c r="AF38">
        <v>1</v>
      </c>
      <c r="AG38" s="6" t="str">
        <f t="shared" si="4"/>
        <v>030</v>
      </c>
      <c r="AH38" t="str">
        <f t="shared" ca="1" si="5"/>
        <v>73322162</v>
      </c>
      <c r="AI38">
        <v>1</v>
      </c>
      <c r="AK38">
        <v>2</v>
      </c>
      <c r="AN38">
        <v>1</v>
      </c>
      <c r="AU38">
        <v>1</v>
      </c>
    </row>
    <row r="39" spans="1:47" x14ac:dyDescent="0.45">
      <c r="A39">
        <v>37</v>
      </c>
      <c r="B39">
        <v>91</v>
      </c>
      <c r="C39">
        <v>180</v>
      </c>
      <c r="D39" t="s">
        <v>0</v>
      </c>
      <c r="E39" t="s">
        <v>10</v>
      </c>
      <c r="F39" t="s">
        <v>23</v>
      </c>
      <c r="G39" s="1">
        <v>23734</v>
      </c>
      <c r="H39" s="11">
        <f t="shared" ca="1" si="6"/>
        <v>59</v>
      </c>
      <c r="I39" t="s">
        <v>627</v>
      </c>
      <c r="J39" s="1">
        <v>44374</v>
      </c>
      <c r="P39" s="1">
        <f t="shared" ca="1" si="7"/>
        <v>37394</v>
      </c>
      <c r="Q39">
        <f t="shared" ca="1" si="0"/>
        <v>37</v>
      </c>
      <c r="Y39">
        <v>1</v>
      </c>
      <c r="Z39" t="str">
        <f t="shared" ca="1" si="1"/>
        <v>12157</v>
      </c>
      <c r="AA39" t="str">
        <f t="shared" si="2"/>
        <v>Berlin</v>
      </c>
      <c r="AB39" t="str">
        <f t="shared" si="3"/>
        <v>Marktplatz</v>
      </c>
      <c r="AC39" t="str" cm="1">
        <f t="array" ref="AC39">ErzeugeHausnummer()</f>
        <v>13C</v>
      </c>
      <c r="AD39">
        <v>1</v>
      </c>
      <c r="AF39">
        <v>1</v>
      </c>
      <c r="AG39" s="6" t="str">
        <f t="shared" si="4"/>
        <v>030</v>
      </c>
      <c r="AH39" t="str">
        <f t="shared" ca="1" si="5"/>
        <v>89161160</v>
      </c>
      <c r="AI39">
        <v>1</v>
      </c>
      <c r="AK39">
        <v>2</v>
      </c>
      <c r="AN39">
        <v>1</v>
      </c>
      <c r="AU39">
        <v>1</v>
      </c>
    </row>
    <row r="40" spans="1:47" x14ac:dyDescent="0.45">
      <c r="A40">
        <v>38</v>
      </c>
      <c r="B40">
        <v>10</v>
      </c>
      <c r="C40">
        <v>130</v>
      </c>
      <c r="D40" t="s">
        <v>3</v>
      </c>
      <c r="E40" t="s">
        <v>4</v>
      </c>
      <c r="F40" t="s">
        <v>37</v>
      </c>
      <c r="G40" s="1">
        <v>31439</v>
      </c>
      <c r="H40" s="11">
        <f t="shared" ca="1" si="6"/>
        <v>37</v>
      </c>
      <c r="I40" t="s">
        <v>625</v>
      </c>
      <c r="J40" s="1">
        <v>45125</v>
      </c>
      <c r="P40" s="1">
        <f t="shared" ca="1" si="7"/>
        <v>38435</v>
      </c>
      <c r="Q40">
        <f t="shared" ca="1" si="0"/>
        <v>18</v>
      </c>
      <c r="Y40">
        <v>1</v>
      </c>
      <c r="Z40" t="str">
        <f t="shared" ca="1" si="1"/>
        <v>10405</v>
      </c>
      <c r="AA40" t="str">
        <f t="shared" si="2"/>
        <v>Berlin</v>
      </c>
      <c r="AB40" t="str">
        <f t="shared" si="3"/>
        <v>Jacksonville-Weg</v>
      </c>
      <c r="AC40" t="str" cm="1">
        <f t="array" ref="AC40">ErzeugeHausnummer()</f>
        <v>15</v>
      </c>
      <c r="AD40">
        <v>1</v>
      </c>
      <c r="AF40">
        <v>1</v>
      </c>
      <c r="AG40" s="6" t="str">
        <f t="shared" si="4"/>
        <v>030</v>
      </c>
      <c r="AH40" t="str">
        <f t="shared" ca="1" si="5"/>
        <v>78826412</v>
      </c>
      <c r="AI40">
        <v>1</v>
      </c>
      <c r="AK40">
        <v>2</v>
      </c>
      <c r="AN40">
        <v>1</v>
      </c>
      <c r="AU40">
        <v>1</v>
      </c>
    </row>
    <row r="41" spans="1:47" x14ac:dyDescent="0.45">
      <c r="A41">
        <v>39</v>
      </c>
      <c r="B41">
        <v>82</v>
      </c>
      <c r="C41">
        <v>178</v>
      </c>
      <c r="D41" t="s">
        <v>0</v>
      </c>
      <c r="E41" t="s">
        <v>62</v>
      </c>
      <c r="F41" t="s">
        <v>9</v>
      </c>
      <c r="G41" s="1">
        <v>34134</v>
      </c>
      <c r="H41" s="11">
        <f t="shared" ca="1" si="6"/>
        <v>31</v>
      </c>
      <c r="I41" t="s">
        <v>624</v>
      </c>
      <c r="P41" s="1">
        <f t="shared" ca="1" si="7"/>
        <v>52202</v>
      </c>
      <c r="Q41">
        <f t="shared" ca="1" si="0"/>
        <v>48</v>
      </c>
      <c r="Y41">
        <v>1</v>
      </c>
      <c r="Z41" t="str">
        <f t="shared" ca="1" si="1"/>
        <v>12157</v>
      </c>
      <c r="AA41" t="str">
        <f t="shared" si="2"/>
        <v>Berlin</v>
      </c>
      <c r="AB41" t="str">
        <f t="shared" si="3"/>
        <v>Marie-Curie-Straße</v>
      </c>
      <c r="AC41" t="str" cm="1">
        <f t="array" ref="AC41">ErzeugeHausnummer()</f>
        <v>1F</v>
      </c>
      <c r="AD41">
        <v>1</v>
      </c>
      <c r="AF41">
        <v>1</v>
      </c>
      <c r="AG41" s="6" t="str">
        <f t="shared" si="4"/>
        <v>030</v>
      </c>
      <c r="AH41" t="str">
        <f t="shared" ca="1" si="5"/>
        <v>62859043</v>
      </c>
      <c r="AI41">
        <v>1</v>
      </c>
      <c r="AK41">
        <v>2</v>
      </c>
      <c r="AN41">
        <v>1</v>
      </c>
      <c r="AU41">
        <v>1</v>
      </c>
    </row>
    <row r="42" spans="1:47" x14ac:dyDescent="0.45">
      <c r="A42">
        <v>40</v>
      </c>
      <c r="B42">
        <v>148</v>
      </c>
      <c r="C42">
        <v>139</v>
      </c>
      <c r="D42" t="s">
        <v>3</v>
      </c>
      <c r="E42" t="s">
        <v>8</v>
      </c>
      <c r="F42" t="s">
        <v>33</v>
      </c>
      <c r="G42" s="1">
        <v>37655</v>
      </c>
      <c r="H42" s="11">
        <f t="shared" ca="1" si="6"/>
        <v>21</v>
      </c>
      <c r="I42" t="s">
        <v>624</v>
      </c>
      <c r="P42" s="1">
        <f t="shared" ca="1" si="7"/>
        <v>46034</v>
      </c>
      <c r="Q42">
        <f t="shared" ca="1" si="0"/>
        <v>23</v>
      </c>
      <c r="Y42">
        <v>1</v>
      </c>
      <c r="Z42" t="str">
        <f t="shared" ca="1" si="1"/>
        <v>14550</v>
      </c>
      <c r="AA42" t="str">
        <f t="shared" si="2"/>
        <v>Groß Kreutz</v>
      </c>
      <c r="AB42" t="str">
        <f t="shared" si="3"/>
        <v>Kaiserstraße</v>
      </c>
      <c r="AC42" t="str" cm="1">
        <f t="array" ref="AC42">ErzeugeHausnummer()</f>
        <v>3</v>
      </c>
      <c r="AD42">
        <v>1</v>
      </c>
      <c r="AF42">
        <v>1</v>
      </c>
      <c r="AG42" s="6" t="str">
        <f t="shared" si="4"/>
        <v>033207</v>
      </c>
      <c r="AH42" t="str">
        <f t="shared" ca="1" si="5"/>
        <v>6387</v>
      </c>
      <c r="AI42">
        <v>1</v>
      </c>
      <c r="AK42">
        <v>2</v>
      </c>
      <c r="AN42">
        <v>1</v>
      </c>
      <c r="AU42">
        <v>1</v>
      </c>
    </row>
    <row r="43" spans="1:47" x14ac:dyDescent="0.45">
      <c r="A43">
        <v>41</v>
      </c>
      <c r="B43">
        <v>9</v>
      </c>
      <c r="C43">
        <v>36</v>
      </c>
      <c r="D43" t="s">
        <v>0</v>
      </c>
      <c r="E43" t="s">
        <v>63</v>
      </c>
      <c r="F43" t="s">
        <v>39</v>
      </c>
      <c r="G43" s="1">
        <v>24487</v>
      </c>
      <c r="H43" s="11">
        <f t="shared" ca="1" si="6"/>
        <v>57</v>
      </c>
      <c r="I43" t="s">
        <v>625</v>
      </c>
      <c r="J43" s="1">
        <v>38375</v>
      </c>
      <c r="P43" s="1">
        <f t="shared" ca="1" si="7"/>
        <v>38089</v>
      </c>
      <c r="Q43">
        <f t="shared" ca="1" si="0"/>
        <v>36</v>
      </c>
      <c r="Y43">
        <v>1</v>
      </c>
      <c r="Z43" t="str">
        <f t="shared" ca="1" si="1"/>
        <v>10405</v>
      </c>
      <c r="AA43" t="str">
        <f t="shared" si="2"/>
        <v>Berlin</v>
      </c>
      <c r="AB43" t="str">
        <f t="shared" si="3"/>
        <v>Berggasse</v>
      </c>
      <c r="AC43" t="str" cm="1">
        <f t="array" ref="AC43">ErzeugeHausnummer()</f>
        <v>22A/B</v>
      </c>
      <c r="AD43">
        <v>1</v>
      </c>
      <c r="AF43">
        <v>1</v>
      </c>
      <c r="AG43" s="6" t="str">
        <f t="shared" si="4"/>
        <v>030</v>
      </c>
      <c r="AH43" t="str">
        <f t="shared" ca="1" si="5"/>
        <v>59016020</v>
      </c>
      <c r="AI43">
        <v>1</v>
      </c>
      <c r="AK43">
        <v>2</v>
      </c>
      <c r="AN43">
        <v>1</v>
      </c>
      <c r="AU43">
        <v>1</v>
      </c>
    </row>
    <row r="44" spans="1:47" x14ac:dyDescent="0.45">
      <c r="A44">
        <v>42</v>
      </c>
      <c r="B44">
        <v>122</v>
      </c>
      <c r="C44">
        <v>279</v>
      </c>
      <c r="D44" t="s">
        <v>3</v>
      </c>
      <c r="E44" t="s">
        <v>20</v>
      </c>
      <c r="F44" t="s">
        <v>41</v>
      </c>
      <c r="G44" s="1">
        <v>20759</v>
      </c>
      <c r="H44" s="11">
        <f t="shared" ca="1" si="6"/>
        <v>67</v>
      </c>
      <c r="I44" t="s">
        <v>626</v>
      </c>
      <c r="J44" s="1">
        <v>33670</v>
      </c>
      <c r="P44" s="1">
        <f t="shared" ca="1" si="7"/>
        <v>33906</v>
      </c>
      <c r="Q44">
        <f t="shared" ca="1" si="0"/>
        <v>35</v>
      </c>
      <c r="R44" s="1">
        <f>DATE(IF(MONTH(G44)=12,YEAR(G44)+66,YEAR(G44)+65),IF(MONTH(G44)=12,1,MONTH(G44)+1),1)</f>
        <v>44501</v>
      </c>
      <c r="S44" t="s">
        <v>1022</v>
      </c>
      <c r="Y44">
        <v>1</v>
      </c>
      <c r="Z44" t="str">
        <f t="shared" ca="1" si="1"/>
        <v>13435</v>
      </c>
      <c r="AA44" t="str">
        <f t="shared" si="2"/>
        <v>Berlin</v>
      </c>
      <c r="AB44" t="str">
        <f t="shared" si="3"/>
        <v>Theodor-Heuss-Allee</v>
      </c>
      <c r="AC44" t="str" cm="1">
        <f t="array" ref="AC44">ErzeugeHausnummer()</f>
        <v>39</v>
      </c>
      <c r="AD44">
        <v>1</v>
      </c>
      <c r="AF44">
        <v>1</v>
      </c>
      <c r="AG44" s="6" t="str">
        <f t="shared" si="4"/>
        <v>030</v>
      </c>
      <c r="AH44" t="str">
        <f t="shared" ca="1" si="5"/>
        <v>66339220</v>
      </c>
      <c r="AI44">
        <v>1</v>
      </c>
      <c r="AK44">
        <v>2</v>
      </c>
      <c r="AN44">
        <v>1</v>
      </c>
      <c r="AU44">
        <v>1</v>
      </c>
    </row>
    <row r="45" spans="1:47" x14ac:dyDescent="0.45">
      <c r="A45">
        <v>43</v>
      </c>
      <c r="B45">
        <v>6</v>
      </c>
      <c r="C45">
        <v>196</v>
      </c>
      <c r="D45" t="s">
        <v>0</v>
      </c>
      <c r="E45" t="s">
        <v>64</v>
      </c>
      <c r="F45" t="s">
        <v>42</v>
      </c>
      <c r="G45" s="1">
        <v>19466</v>
      </c>
      <c r="H45" s="11">
        <f t="shared" ca="1" si="6"/>
        <v>71</v>
      </c>
      <c r="I45" t="s">
        <v>626</v>
      </c>
      <c r="J45" s="1">
        <v>33423</v>
      </c>
      <c r="P45" s="1">
        <f t="shared" ca="1" si="7"/>
        <v>26774</v>
      </c>
      <c r="Q45">
        <f t="shared" ca="1" si="0"/>
        <v>20</v>
      </c>
      <c r="R45" s="1">
        <f>DATE(IF(MONTH(G45)=12,YEAR(G45)+66,YEAR(G45)+65),IF(MONTH(G45)=12,1,MONTH(G45)+1),1)</f>
        <v>43221</v>
      </c>
      <c r="S45" t="s">
        <v>1022</v>
      </c>
      <c r="Y45">
        <v>1</v>
      </c>
      <c r="Z45" t="str">
        <f t="shared" ca="1" si="1"/>
        <v>10243</v>
      </c>
      <c r="AA45" t="str">
        <f t="shared" si="2"/>
        <v>Berlin</v>
      </c>
      <c r="AB45" t="str">
        <f t="shared" si="3"/>
        <v>Mozartweg</v>
      </c>
      <c r="AC45" t="str" cm="1">
        <f t="array" ref="AC45">ErzeugeHausnummer()</f>
        <v>1E</v>
      </c>
      <c r="AD45">
        <v>1</v>
      </c>
      <c r="AF45">
        <v>1</v>
      </c>
      <c r="AG45" s="6" t="str">
        <f t="shared" si="4"/>
        <v>030</v>
      </c>
      <c r="AH45" t="str">
        <f t="shared" ca="1" si="5"/>
        <v>43248725</v>
      </c>
      <c r="AI45">
        <v>1</v>
      </c>
      <c r="AK45">
        <v>2</v>
      </c>
      <c r="AN45">
        <v>1</v>
      </c>
      <c r="AU45">
        <v>1</v>
      </c>
    </row>
    <row r="46" spans="1:47" x14ac:dyDescent="0.45">
      <c r="A46">
        <v>44</v>
      </c>
      <c r="B46">
        <v>33</v>
      </c>
      <c r="C46">
        <v>236</v>
      </c>
      <c r="D46" t="s">
        <v>3</v>
      </c>
      <c r="E46" t="s">
        <v>65</v>
      </c>
      <c r="F46" t="s">
        <v>44</v>
      </c>
      <c r="G46" s="1">
        <v>23262</v>
      </c>
      <c r="H46" s="11">
        <f t="shared" ca="1" si="6"/>
        <v>61</v>
      </c>
      <c r="I46" t="s">
        <v>626</v>
      </c>
      <c r="J46" s="1">
        <v>33183</v>
      </c>
      <c r="P46" s="1">
        <f t="shared" ca="1" si="7"/>
        <v>34583</v>
      </c>
      <c r="Q46">
        <f t="shared" ca="1" si="0"/>
        <v>30</v>
      </c>
      <c r="Y46">
        <v>1</v>
      </c>
      <c r="Z46" t="str">
        <f t="shared" ca="1" si="1"/>
        <v>13581</v>
      </c>
      <c r="AA46" t="str">
        <f t="shared" si="2"/>
        <v>Berlin</v>
      </c>
      <c r="AB46" t="str">
        <f t="shared" si="3"/>
        <v>Robert-Schumann-Straße</v>
      </c>
      <c r="AC46" t="str" cm="1">
        <f t="array" ref="AC46">ErzeugeHausnummer()</f>
        <v>37E</v>
      </c>
      <c r="AD46">
        <v>1</v>
      </c>
      <c r="AF46">
        <v>1</v>
      </c>
      <c r="AG46" s="6" t="str">
        <f t="shared" si="4"/>
        <v>030</v>
      </c>
      <c r="AH46" t="str">
        <f t="shared" ca="1" si="5"/>
        <v>44585040</v>
      </c>
      <c r="AI46">
        <v>1</v>
      </c>
      <c r="AK46">
        <v>2</v>
      </c>
      <c r="AN46">
        <v>1</v>
      </c>
      <c r="AU46">
        <v>1</v>
      </c>
    </row>
    <row r="47" spans="1:47" x14ac:dyDescent="0.45">
      <c r="A47">
        <v>45</v>
      </c>
      <c r="B47">
        <v>152</v>
      </c>
      <c r="C47">
        <v>187</v>
      </c>
      <c r="D47" t="s">
        <v>0</v>
      </c>
      <c r="E47" t="s">
        <v>66</v>
      </c>
      <c r="F47" t="s">
        <v>46</v>
      </c>
      <c r="G47" s="1">
        <v>29768</v>
      </c>
      <c r="H47" s="11">
        <f t="shared" ca="1" si="6"/>
        <v>43</v>
      </c>
      <c r="I47" t="s">
        <v>626</v>
      </c>
      <c r="J47" s="1">
        <v>42458</v>
      </c>
      <c r="P47" s="1">
        <f t="shared" ca="1" si="7"/>
        <v>37354</v>
      </c>
      <c r="Q47">
        <f t="shared" ca="1" si="0"/>
        <v>21</v>
      </c>
      <c r="Y47">
        <v>1</v>
      </c>
      <c r="Z47" t="str">
        <f t="shared" ca="1" si="1"/>
        <v>14542</v>
      </c>
      <c r="AA47" t="str">
        <f t="shared" si="2"/>
        <v>Werder (Havel)</v>
      </c>
      <c r="AB47" t="str">
        <f t="shared" si="3"/>
        <v>Mexikostraße</v>
      </c>
      <c r="AC47" t="str" cm="1">
        <f t="array" ref="AC47">ErzeugeHausnummer()</f>
        <v>19</v>
      </c>
      <c r="AD47">
        <v>1</v>
      </c>
      <c r="AF47">
        <v>1</v>
      </c>
      <c r="AG47" s="6" t="str">
        <f t="shared" si="4"/>
        <v>03327</v>
      </c>
      <c r="AH47" t="str">
        <f t="shared" ca="1" si="5"/>
        <v>86584</v>
      </c>
      <c r="AI47">
        <v>1</v>
      </c>
      <c r="AK47">
        <v>2</v>
      </c>
      <c r="AN47">
        <v>1</v>
      </c>
      <c r="AU47">
        <v>1</v>
      </c>
    </row>
    <row r="48" spans="1:47" x14ac:dyDescent="0.45">
      <c r="A48">
        <v>46</v>
      </c>
      <c r="B48">
        <v>136</v>
      </c>
      <c r="C48">
        <v>99</v>
      </c>
      <c r="D48" t="s">
        <v>3</v>
      </c>
      <c r="E48" t="s">
        <v>67</v>
      </c>
      <c r="F48" t="s">
        <v>11</v>
      </c>
      <c r="G48" s="1">
        <v>37472</v>
      </c>
      <c r="H48" s="11">
        <f t="shared" ca="1" si="6"/>
        <v>22</v>
      </c>
      <c r="I48" t="s">
        <v>624</v>
      </c>
      <c r="P48" s="1">
        <f t="shared" ca="1" si="7"/>
        <v>45394</v>
      </c>
      <c r="Q48">
        <f t="shared" ca="1" si="0"/>
        <v>22</v>
      </c>
      <c r="Y48">
        <v>1</v>
      </c>
      <c r="Z48" t="str">
        <f t="shared" ca="1" si="1"/>
        <v>14548</v>
      </c>
      <c r="AA48" t="str">
        <f t="shared" si="2"/>
        <v>Schwielowsee</v>
      </c>
      <c r="AB48" t="str">
        <f t="shared" si="3"/>
        <v>Goetheplatz</v>
      </c>
      <c r="AC48" t="str" cm="1">
        <f t="array" ref="AC48">ErzeugeHausnummer()</f>
        <v>4</v>
      </c>
      <c r="AD48">
        <v>1</v>
      </c>
      <c r="AF48">
        <v>1</v>
      </c>
      <c r="AG48" s="6" t="str">
        <f t="shared" si="4"/>
        <v>03327</v>
      </c>
      <c r="AH48" t="str">
        <f t="shared" ca="1" si="5"/>
        <v>73053</v>
      </c>
      <c r="AI48">
        <v>1</v>
      </c>
      <c r="AK48">
        <v>2</v>
      </c>
      <c r="AN48">
        <v>1</v>
      </c>
      <c r="AU48">
        <v>1</v>
      </c>
    </row>
    <row r="49" spans="1:47" x14ac:dyDescent="0.45">
      <c r="A49">
        <v>47</v>
      </c>
      <c r="B49">
        <v>144</v>
      </c>
      <c r="C49">
        <v>223</v>
      </c>
      <c r="D49" t="s">
        <v>0</v>
      </c>
      <c r="E49" t="s">
        <v>68</v>
      </c>
      <c r="F49" t="s">
        <v>49</v>
      </c>
      <c r="G49" s="1">
        <v>21750</v>
      </c>
      <c r="H49" s="11">
        <f t="shared" ca="1" si="6"/>
        <v>65</v>
      </c>
      <c r="I49" t="s">
        <v>626</v>
      </c>
      <c r="J49" s="1">
        <v>34577</v>
      </c>
      <c r="P49" s="1">
        <f t="shared" ca="1" si="7"/>
        <v>39613</v>
      </c>
      <c r="Q49">
        <f t="shared" ca="1" si="0"/>
        <v>48</v>
      </c>
      <c r="Y49">
        <v>1</v>
      </c>
      <c r="Z49" t="str">
        <f t="shared" ca="1" si="1"/>
        <v>14797</v>
      </c>
      <c r="AA49" t="str">
        <f t="shared" si="2"/>
        <v>Kloster Lehnin</v>
      </c>
      <c r="AB49" t="str">
        <f t="shared" si="3"/>
        <v>Postplatz</v>
      </c>
      <c r="AC49" t="str" cm="1">
        <f t="array" ref="AC49">ErzeugeHausnummer()</f>
        <v>83</v>
      </c>
      <c r="AD49">
        <v>1</v>
      </c>
      <c r="AF49">
        <v>1</v>
      </c>
      <c r="AG49" s="6" t="str">
        <f t="shared" si="4"/>
        <v>033835</v>
      </c>
      <c r="AH49" t="str">
        <f t="shared" ca="1" si="5"/>
        <v>6925</v>
      </c>
      <c r="AI49">
        <v>1</v>
      </c>
      <c r="AK49">
        <v>2</v>
      </c>
      <c r="AN49">
        <v>1</v>
      </c>
      <c r="AU49">
        <v>1</v>
      </c>
    </row>
    <row r="50" spans="1:47" x14ac:dyDescent="0.45">
      <c r="A50">
        <v>48</v>
      </c>
      <c r="B50">
        <v>29</v>
      </c>
      <c r="C50">
        <v>197</v>
      </c>
      <c r="D50" t="s">
        <v>3</v>
      </c>
      <c r="E50" t="s">
        <v>69</v>
      </c>
      <c r="F50" t="s">
        <v>51</v>
      </c>
      <c r="G50" s="1">
        <v>35585</v>
      </c>
      <c r="H50" s="11">
        <f t="shared" ca="1" si="6"/>
        <v>27</v>
      </c>
      <c r="I50" t="s">
        <v>624</v>
      </c>
      <c r="J50" s="1"/>
      <c r="P50" s="1">
        <f t="shared" ca="1" si="7"/>
        <v>42946</v>
      </c>
      <c r="Q50">
        <f t="shared" ca="1" si="0"/>
        <v>20</v>
      </c>
      <c r="Y50">
        <v>1</v>
      </c>
      <c r="Z50" t="str">
        <f t="shared" ca="1" si="1"/>
        <v>14052</v>
      </c>
      <c r="AA50" t="str">
        <f t="shared" si="2"/>
        <v>Berlin</v>
      </c>
      <c r="AB50" t="str">
        <f t="shared" si="3"/>
        <v>Mühlenweg</v>
      </c>
      <c r="AC50" t="str" cm="1">
        <f t="array" ref="AC50">ErzeugeHausnummer()</f>
        <v>13</v>
      </c>
      <c r="AD50">
        <v>1</v>
      </c>
      <c r="AF50">
        <v>1</v>
      </c>
      <c r="AG50" s="6" t="str">
        <f t="shared" si="4"/>
        <v>030</v>
      </c>
      <c r="AH50" t="str">
        <f t="shared" ca="1" si="5"/>
        <v>49389974</v>
      </c>
      <c r="AI50">
        <v>1</v>
      </c>
      <c r="AK50">
        <v>2</v>
      </c>
      <c r="AN50">
        <v>1</v>
      </c>
      <c r="AU50">
        <v>1</v>
      </c>
    </row>
    <row r="51" spans="1:47" x14ac:dyDescent="0.45">
      <c r="A51">
        <v>49</v>
      </c>
      <c r="B51">
        <v>132</v>
      </c>
      <c r="C51">
        <v>268</v>
      </c>
      <c r="D51" t="s">
        <v>0</v>
      </c>
      <c r="E51" t="s">
        <v>14</v>
      </c>
      <c r="F51" t="s">
        <v>25</v>
      </c>
      <c r="G51" s="1">
        <v>19795</v>
      </c>
      <c r="H51" s="11">
        <f t="shared" ca="1" si="6"/>
        <v>70</v>
      </c>
      <c r="I51" t="s">
        <v>627</v>
      </c>
      <c r="J51" s="1">
        <v>40769</v>
      </c>
      <c r="P51" s="1">
        <f t="shared" ca="1" si="7"/>
        <v>35512</v>
      </c>
      <c r="Q51">
        <f t="shared" ca="1" si="0"/>
        <v>43</v>
      </c>
      <c r="R51" s="1">
        <f>DATE(IF(MONTH(G51)=12,YEAR(G51)+66,YEAR(G51)+65),IF(MONTH(G51)=12,1,MONTH(G51)+1),1)</f>
        <v>43556</v>
      </c>
      <c r="S51" t="s">
        <v>1022</v>
      </c>
      <c r="Y51">
        <v>1</v>
      </c>
      <c r="Z51" t="str">
        <f t="shared" ca="1" si="1"/>
        <v>14542</v>
      </c>
      <c r="AA51" t="str">
        <f t="shared" si="2"/>
        <v>Werder (Havel)</v>
      </c>
      <c r="AB51" t="str">
        <f t="shared" si="3"/>
        <v>Sonnenweg</v>
      </c>
      <c r="AC51" t="str" cm="1">
        <f t="array" ref="AC51">ErzeugeHausnummer()</f>
        <v>7C</v>
      </c>
      <c r="AD51">
        <v>1</v>
      </c>
      <c r="AF51">
        <v>1</v>
      </c>
      <c r="AG51" s="6" t="str">
        <f t="shared" si="4"/>
        <v>03327</v>
      </c>
      <c r="AH51" t="str">
        <f t="shared" ca="1" si="5"/>
        <v>71304</v>
      </c>
      <c r="AI51">
        <v>1</v>
      </c>
      <c r="AK51">
        <v>2</v>
      </c>
      <c r="AN51">
        <v>1</v>
      </c>
      <c r="AU51">
        <v>1</v>
      </c>
    </row>
    <row r="52" spans="1:47" x14ac:dyDescent="0.45">
      <c r="A52">
        <v>50</v>
      </c>
      <c r="B52">
        <v>4</v>
      </c>
      <c r="C52">
        <v>72</v>
      </c>
      <c r="D52" t="s">
        <v>3</v>
      </c>
      <c r="E52" t="s">
        <v>70</v>
      </c>
      <c r="F52" t="s">
        <v>17</v>
      </c>
      <c r="G52" s="1">
        <v>37828</v>
      </c>
      <c r="H52" s="11">
        <f t="shared" ca="1" si="6"/>
        <v>20</v>
      </c>
      <c r="I52" t="s">
        <v>624</v>
      </c>
      <c r="P52" s="1">
        <f t="shared" ca="1" si="7"/>
        <v>49087</v>
      </c>
      <c r="Q52">
        <f t="shared" ca="1" si="0"/>
        <v>30</v>
      </c>
      <c r="Y52">
        <v>1</v>
      </c>
      <c r="Z52" t="str">
        <f t="shared" ca="1" si="1"/>
        <v>10115</v>
      </c>
      <c r="AA52" t="str">
        <f t="shared" si="2"/>
        <v>Berlin</v>
      </c>
      <c r="AB52" t="str">
        <f t="shared" si="3"/>
        <v>Elsternweg</v>
      </c>
      <c r="AC52" t="str" cm="1">
        <f t="array" ref="AC52">ErzeugeHausnummer()</f>
        <v>24A</v>
      </c>
      <c r="AD52">
        <v>1</v>
      </c>
      <c r="AF52">
        <v>1</v>
      </c>
      <c r="AG52" s="6" t="str">
        <f t="shared" si="4"/>
        <v>030</v>
      </c>
      <c r="AH52" t="str">
        <f t="shared" ca="1" si="5"/>
        <v>96559380</v>
      </c>
      <c r="AI52">
        <v>1</v>
      </c>
      <c r="AK52">
        <v>2</v>
      </c>
      <c r="AN52">
        <v>1</v>
      </c>
      <c r="AU52">
        <v>1</v>
      </c>
    </row>
    <row r="53" spans="1:47" x14ac:dyDescent="0.45">
      <c r="A53">
        <v>51</v>
      </c>
      <c r="B53">
        <v>29</v>
      </c>
      <c r="C53">
        <v>44</v>
      </c>
      <c r="D53" t="s">
        <v>0</v>
      </c>
      <c r="E53" t="s">
        <v>71</v>
      </c>
      <c r="F53" t="s">
        <v>55</v>
      </c>
      <c r="G53" s="1">
        <v>19220</v>
      </c>
      <c r="H53" s="11">
        <f t="shared" ca="1" si="6"/>
        <v>72</v>
      </c>
      <c r="I53" t="s">
        <v>625</v>
      </c>
      <c r="J53" s="1">
        <v>41158</v>
      </c>
      <c r="P53" s="1">
        <f t="shared" ca="1" si="7"/>
        <v>26445</v>
      </c>
      <c r="Q53">
        <f t="shared" ca="1" si="0"/>
        <v>20</v>
      </c>
      <c r="R53" s="1">
        <f>DATE(IF(MONTH(G53)=12,YEAR(G53)+66,YEAR(G53)+65),IF(MONTH(G53)=12,1,MONTH(G53)+1),1)</f>
        <v>42979</v>
      </c>
      <c r="S53" t="s">
        <v>1022</v>
      </c>
      <c r="Y53">
        <v>1</v>
      </c>
      <c r="Z53" t="str">
        <f t="shared" ca="1" si="1"/>
        <v>14052</v>
      </c>
      <c r="AA53" t="str">
        <f t="shared" si="2"/>
        <v>Berlin</v>
      </c>
      <c r="AB53" t="str">
        <f t="shared" si="3"/>
        <v>Bismarckstraße</v>
      </c>
      <c r="AC53" t="str" cm="1">
        <f t="array" ref="AC53">ErzeugeHausnummer()</f>
        <v>10A/B</v>
      </c>
      <c r="AD53">
        <v>1</v>
      </c>
      <c r="AF53">
        <v>1</v>
      </c>
      <c r="AG53" s="6" t="str">
        <f t="shared" si="4"/>
        <v>030</v>
      </c>
      <c r="AH53" t="str">
        <f t="shared" ca="1" si="5"/>
        <v>85434485</v>
      </c>
      <c r="AI53">
        <v>1</v>
      </c>
      <c r="AK53">
        <v>2</v>
      </c>
      <c r="AN53">
        <v>1</v>
      </c>
      <c r="AU53">
        <v>1</v>
      </c>
    </row>
    <row r="54" spans="1:47" x14ac:dyDescent="0.45">
      <c r="A54">
        <v>52</v>
      </c>
      <c r="B54">
        <v>137</v>
      </c>
      <c r="C54">
        <v>227</v>
      </c>
      <c r="D54" t="s">
        <v>3</v>
      </c>
      <c r="E54" t="s">
        <v>72</v>
      </c>
      <c r="F54" t="s">
        <v>31</v>
      </c>
      <c r="G54" s="1">
        <v>19263</v>
      </c>
      <c r="H54" s="11">
        <f t="shared" ca="1" si="6"/>
        <v>71</v>
      </c>
      <c r="I54" t="s">
        <v>625</v>
      </c>
      <c r="J54" s="1">
        <v>39633</v>
      </c>
      <c r="P54" s="1">
        <f t="shared" ca="1" si="7"/>
        <v>30722</v>
      </c>
      <c r="Q54">
        <f t="shared" ca="1" si="0"/>
        <v>31</v>
      </c>
      <c r="R54" s="1">
        <f>DATE(IF(MONTH(G54)=12,YEAR(G54)+66,YEAR(G54)+65),IF(MONTH(G54)=12,1,MONTH(G54)+1),1)</f>
        <v>43009</v>
      </c>
      <c r="S54" t="s">
        <v>1022</v>
      </c>
      <c r="Y54">
        <v>1</v>
      </c>
      <c r="Z54" t="str">
        <f t="shared" ca="1" si="1"/>
        <v>14554</v>
      </c>
      <c r="AA54" t="str">
        <f t="shared" si="2"/>
        <v>Seddiner See</v>
      </c>
      <c r="AB54" t="str">
        <f t="shared" si="3"/>
        <v>Quittenweg</v>
      </c>
      <c r="AC54" t="str" cm="1">
        <f t="array" ref="AC54">ErzeugeHausnummer()</f>
        <v>20</v>
      </c>
      <c r="AD54">
        <v>1</v>
      </c>
      <c r="AF54">
        <v>1</v>
      </c>
      <c r="AG54" s="6" t="str">
        <f t="shared" si="4"/>
        <v>033205</v>
      </c>
      <c r="AH54" t="str">
        <f t="shared" ca="1" si="5"/>
        <v>6620</v>
      </c>
      <c r="AI54">
        <v>1</v>
      </c>
      <c r="AK54">
        <v>2</v>
      </c>
      <c r="AN54">
        <v>1</v>
      </c>
      <c r="AU54">
        <v>1</v>
      </c>
    </row>
    <row r="55" spans="1:47" x14ac:dyDescent="0.45">
      <c r="A55">
        <v>53</v>
      </c>
      <c r="B55">
        <v>131</v>
      </c>
      <c r="C55">
        <v>277</v>
      </c>
      <c r="D55" t="s">
        <v>0</v>
      </c>
      <c r="E55" t="s">
        <v>73</v>
      </c>
      <c r="F55" t="s">
        <v>58</v>
      </c>
      <c r="G55" s="1">
        <v>19772</v>
      </c>
      <c r="H55" s="11">
        <f t="shared" ca="1" si="6"/>
        <v>70</v>
      </c>
      <c r="I55" t="s">
        <v>626</v>
      </c>
      <c r="J55" s="1">
        <v>34160</v>
      </c>
      <c r="P55" s="1">
        <f t="shared" ca="1" si="7"/>
        <v>36895</v>
      </c>
      <c r="Q55">
        <f t="shared" ca="1" si="0"/>
        <v>46</v>
      </c>
      <c r="R55" s="1">
        <f>DATE(IF(MONTH(G55)=12,YEAR(G55)+66,YEAR(G55)+65),IF(MONTH(G55)=12,1,MONTH(G55)+1),1)</f>
        <v>43525</v>
      </c>
      <c r="S55" t="s">
        <v>1022</v>
      </c>
      <c r="Y55">
        <v>1</v>
      </c>
      <c r="Z55" t="str">
        <f t="shared" ca="1" si="1"/>
        <v>14542</v>
      </c>
      <c r="AA55" t="str">
        <f t="shared" si="2"/>
        <v>Werder (Havel)</v>
      </c>
      <c r="AB55" t="str">
        <f t="shared" si="3"/>
        <v>Tannenweg</v>
      </c>
      <c r="AC55" t="str" cm="1">
        <f t="array" ref="AC55">ErzeugeHausnummer()</f>
        <v>4D</v>
      </c>
      <c r="AD55">
        <v>1</v>
      </c>
      <c r="AF55">
        <v>1</v>
      </c>
      <c r="AG55" s="6" t="str">
        <f t="shared" si="4"/>
        <v>03327</v>
      </c>
      <c r="AH55" t="str">
        <f t="shared" ca="1" si="5"/>
        <v>78936</v>
      </c>
      <c r="AI55">
        <v>1</v>
      </c>
      <c r="AK55">
        <v>2</v>
      </c>
      <c r="AN55">
        <v>1</v>
      </c>
      <c r="AU55">
        <v>1</v>
      </c>
    </row>
    <row r="56" spans="1:47" x14ac:dyDescent="0.45">
      <c r="A56">
        <v>54</v>
      </c>
      <c r="B56">
        <v>149</v>
      </c>
      <c r="C56">
        <v>193</v>
      </c>
      <c r="D56" t="s">
        <v>3</v>
      </c>
      <c r="E56" t="s">
        <v>74</v>
      </c>
      <c r="F56" t="s">
        <v>7</v>
      </c>
      <c r="G56" s="1">
        <v>31973</v>
      </c>
      <c r="H56" s="11">
        <f t="shared" ca="1" si="6"/>
        <v>37</v>
      </c>
      <c r="I56" t="s">
        <v>626</v>
      </c>
      <c r="J56" s="1">
        <v>42253</v>
      </c>
      <c r="P56" s="1">
        <f t="shared" ca="1" si="7"/>
        <v>47734</v>
      </c>
      <c r="Q56">
        <f t="shared" ca="1" si="0"/>
        <v>42</v>
      </c>
      <c r="Y56">
        <v>1</v>
      </c>
      <c r="Z56" t="str">
        <f t="shared" ca="1" si="1"/>
        <v>14547</v>
      </c>
      <c r="AA56" t="str">
        <f t="shared" si="2"/>
        <v>Klosterdorf</v>
      </c>
      <c r="AB56" t="str">
        <f t="shared" si="3"/>
        <v>Mozartgasse</v>
      </c>
      <c r="AC56" t="str" cm="1">
        <f t="array" ref="AC56">ErzeugeHausnummer()</f>
        <v>25</v>
      </c>
      <c r="AD56">
        <v>1</v>
      </c>
      <c r="AF56">
        <v>1</v>
      </c>
      <c r="AG56" s="6" t="str">
        <f t="shared" si="4"/>
        <v>033206</v>
      </c>
      <c r="AH56" t="str">
        <f t="shared" ca="1" si="5"/>
        <v>7520</v>
      </c>
      <c r="AI56">
        <v>1</v>
      </c>
      <c r="AK56">
        <v>2</v>
      </c>
      <c r="AN56">
        <v>1</v>
      </c>
      <c r="AU56">
        <v>1</v>
      </c>
    </row>
    <row r="57" spans="1:47" x14ac:dyDescent="0.45">
      <c r="A57">
        <v>55</v>
      </c>
      <c r="B57">
        <v>192</v>
      </c>
      <c r="C57">
        <v>27</v>
      </c>
      <c r="D57" t="s">
        <v>0</v>
      </c>
      <c r="E57" t="s">
        <v>6</v>
      </c>
      <c r="F57" t="s">
        <v>11</v>
      </c>
      <c r="G57" s="1">
        <v>22787</v>
      </c>
      <c r="H57" s="11">
        <f t="shared" ca="1" si="6"/>
        <v>62</v>
      </c>
      <c r="I57" t="s">
        <v>626</v>
      </c>
      <c r="J57" s="1">
        <v>37003</v>
      </c>
      <c r="P57" s="1">
        <f t="shared" ca="1" si="7"/>
        <v>37013</v>
      </c>
      <c r="Q57">
        <f t="shared" ca="1" si="0"/>
        <v>38</v>
      </c>
      <c r="Y57">
        <v>1</v>
      </c>
      <c r="Z57" t="str">
        <f t="shared" ca="1" si="1"/>
        <v>14542</v>
      </c>
      <c r="AA57" t="str">
        <f t="shared" si="2"/>
        <v>Werder (Havel)</v>
      </c>
      <c r="AB57" t="str">
        <f t="shared" si="3"/>
        <v>Bachgasse</v>
      </c>
      <c r="AC57" t="str" cm="1">
        <f t="array" ref="AC57">ErzeugeHausnummer()</f>
        <v>5</v>
      </c>
      <c r="AD57">
        <v>1</v>
      </c>
      <c r="AF57">
        <v>1</v>
      </c>
      <c r="AG57" s="6" t="str">
        <f t="shared" si="4"/>
        <v>03327</v>
      </c>
      <c r="AH57" t="str">
        <f t="shared" ca="1" si="5"/>
        <v>73615</v>
      </c>
      <c r="AI57">
        <v>1</v>
      </c>
      <c r="AK57">
        <v>2</v>
      </c>
      <c r="AN57">
        <v>1</v>
      </c>
      <c r="AU57">
        <v>1</v>
      </c>
    </row>
    <row r="58" spans="1:47" x14ac:dyDescent="0.45">
      <c r="A58">
        <v>56</v>
      </c>
      <c r="B58">
        <v>171</v>
      </c>
      <c r="C58">
        <v>182</v>
      </c>
      <c r="D58" t="s">
        <v>3</v>
      </c>
      <c r="E58" t="s">
        <v>75</v>
      </c>
      <c r="F58" t="s">
        <v>2</v>
      </c>
      <c r="G58" s="1">
        <v>18671</v>
      </c>
      <c r="H58" s="11">
        <f t="shared" ca="1" si="6"/>
        <v>73</v>
      </c>
      <c r="I58" t="s">
        <v>626</v>
      </c>
      <c r="J58" s="1">
        <v>30076</v>
      </c>
      <c r="P58" s="1">
        <f t="shared" ca="1" si="7"/>
        <v>35155</v>
      </c>
      <c r="Q58">
        <f t="shared" ca="1" si="0"/>
        <v>45</v>
      </c>
      <c r="R58" s="1">
        <f>DATE(IF(MONTH(G58)=12,YEAR(G58)+66,YEAR(G58)+65),IF(MONTH(G58)=12,1,MONTH(G58)+1),1)</f>
        <v>42430</v>
      </c>
      <c r="S58" t="s">
        <v>1022</v>
      </c>
      <c r="Y58">
        <v>1</v>
      </c>
      <c r="Z58" t="str">
        <f t="shared" ca="1" si="1"/>
        <v>14542</v>
      </c>
      <c r="AA58" t="str">
        <f t="shared" si="2"/>
        <v>Werder (Havel)</v>
      </c>
      <c r="AB58" t="str">
        <f t="shared" si="3"/>
        <v>Martin-Luther-Straße</v>
      </c>
      <c r="AC58" t="str" cm="1">
        <f t="array" ref="AC58">ErzeugeHausnummer()</f>
        <v>72B</v>
      </c>
      <c r="AD58">
        <v>1</v>
      </c>
      <c r="AF58">
        <v>1</v>
      </c>
      <c r="AG58" s="6" t="str">
        <f t="shared" si="4"/>
        <v>03327</v>
      </c>
      <c r="AH58" t="str">
        <f t="shared" ca="1" si="5"/>
        <v>72020</v>
      </c>
      <c r="AI58">
        <v>1</v>
      </c>
      <c r="AK58">
        <v>2</v>
      </c>
      <c r="AN58">
        <v>1</v>
      </c>
      <c r="AU58">
        <v>1</v>
      </c>
    </row>
    <row r="59" spans="1:47" x14ac:dyDescent="0.45">
      <c r="A59">
        <v>57</v>
      </c>
      <c r="B59">
        <v>167</v>
      </c>
      <c r="C59">
        <v>93</v>
      </c>
      <c r="D59" t="s">
        <v>0</v>
      </c>
      <c r="E59" t="s">
        <v>63</v>
      </c>
      <c r="F59" t="s">
        <v>5</v>
      </c>
      <c r="G59" s="1">
        <v>20379</v>
      </c>
      <c r="H59" s="11">
        <f t="shared" ca="1" si="6"/>
        <v>69</v>
      </c>
      <c r="I59" t="s">
        <v>626</v>
      </c>
      <c r="J59" s="1">
        <v>32376</v>
      </c>
      <c r="P59" s="1">
        <f t="shared" ca="1" si="7"/>
        <v>28280</v>
      </c>
      <c r="Q59">
        <f t="shared" ca="1" si="0"/>
        <v>21</v>
      </c>
      <c r="R59" s="1">
        <f>DATE(IF(MONTH(G59)=12,YEAR(G59)+66,YEAR(G59)+65),IF(MONTH(G59)=12,1,MONTH(G59)+1),1)</f>
        <v>44136</v>
      </c>
      <c r="S59" t="s">
        <v>1022</v>
      </c>
      <c r="Y59">
        <v>1</v>
      </c>
      <c r="Z59" t="str">
        <f t="shared" ca="1" si="1"/>
        <v>14621</v>
      </c>
      <c r="AA59" t="str">
        <f t="shared" si="2"/>
        <v>Paaren im Glien</v>
      </c>
      <c r="AB59" t="str">
        <f t="shared" si="3"/>
        <v>Gartenstraße</v>
      </c>
      <c r="AC59" t="str" cm="1">
        <f t="array" ref="AC59">ErzeugeHausnummer()</f>
        <v>47F</v>
      </c>
      <c r="AD59">
        <v>1</v>
      </c>
      <c r="AF59">
        <v>1</v>
      </c>
      <c r="AG59" s="6" t="str">
        <f t="shared" si="4"/>
        <v>033230</v>
      </c>
      <c r="AH59" t="str">
        <f t="shared" ca="1" si="5"/>
        <v>6691</v>
      </c>
      <c r="AI59">
        <v>1</v>
      </c>
      <c r="AK59">
        <v>2</v>
      </c>
      <c r="AN59">
        <v>1</v>
      </c>
      <c r="AU59">
        <v>1</v>
      </c>
    </row>
    <row r="60" spans="1:47" x14ac:dyDescent="0.45">
      <c r="A60">
        <v>58</v>
      </c>
      <c r="B60">
        <v>180</v>
      </c>
      <c r="C60">
        <v>160</v>
      </c>
      <c r="D60" t="s">
        <v>3</v>
      </c>
      <c r="E60" t="s">
        <v>76</v>
      </c>
      <c r="F60" t="s">
        <v>19</v>
      </c>
      <c r="G60" s="1">
        <v>33544</v>
      </c>
      <c r="H60" s="11">
        <f t="shared" ca="1" si="6"/>
        <v>33</v>
      </c>
      <c r="I60" t="s">
        <v>626</v>
      </c>
      <c r="J60" s="1">
        <v>45608</v>
      </c>
      <c r="P60" s="1">
        <f t="shared" ca="1" si="7"/>
        <v>51729</v>
      </c>
      <c r="Q60">
        <f t="shared" ca="1" si="0"/>
        <v>50</v>
      </c>
      <c r="Y60">
        <v>1</v>
      </c>
      <c r="Z60" t="str">
        <f t="shared" ca="1" si="1"/>
        <v>14822</v>
      </c>
      <c r="AA60" t="str">
        <f t="shared" si="2"/>
        <v>Brück</v>
      </c>
      <c r="AB60" t="str">
        <f t="shared" si="3"/>
        <v>Kurt-Tucholsky-Straße</v>
      </c>
      <c r="AC60" t="str" cm="1">
        <f t="array" ref="AC60">ErzeugeHausnummer()</f>
        <v>1</v>
      </c>
      <c r="AD60">
        <v>1</v>
      </c>
      <c r="AF60">
        <v>1</v>
      </c>
      <c r="AG60" s="6" t="str">
        <f t="shared" si="4"/>
        <v>033844</v>
      </c>
      <c r="AH60" t="str">
        <f t="shared" ca="1" si="5"/>
        <v>7537</v>
      </c>
      <c r="AI60">
        <v>1</v>
      </c>
      <c r="AK60">
        <v>2</v>
      </c>
      <c r="AN60">
        <v>1</v>
      </c>
      <c r="AU60">
        <v>1</v>
      </c>
    </row>
    <row r="61" spans="1:47" x14ac:dyDescent="0.45">
      <c r="A61">
        <v>59</v>
      </c>
      <c r="B61">
        <v>170</v>
      </c>
      <c r="C61">
        <v>230</v>
      </c>
      <c r="D61" t="s">
        <v>0</v>
      </c>
      <c r="E61" t="s">
        <v>77</v>
      </c>
      <c r="F61" t="s">
        <v>9</v>
      </c>
      <c r="G61" s="1">
        <v>38287</v>
      </c>
      <c r="H61" s="11">
        <f t="shared" ca="1" si="6"/>
        <v>19</v>
      </c>
      <c r="I61" t="s">
        <v>624</v>
      </c>
      <c r="P61" s="1">
        <f t="shared" ca="1" si="7"/>
        <v>56412</v>
      </c>
      <c r="Q61">
        <f t="shared" ca="1" si="0"/>
        <v>49</v>
      </c>
      <c r="Y61">
        <v>1</v>
      </c>
      <c r="Z61" t="str">
        <f t="shared" ca="1" si="1"/>
        <v>14624</v>
      </c>
      <c r="AA61" t="str">
        <f t="shared" si="2"/>
        <v>Dallgow</v>
      </c>
      <c r="AB61" t="str">
        <f t="shared" si="3"/>
        <v>Richard-Wagner-Straße</v>
      </c>
      <c r="AC61" t="str" cm="1">
        <f t="array" ref="AC61">ErzeugeHausnummer()</f>
        <v>12</v>
      </c>
      <c r="AD61">
        <v>1</v>
      </c>
      <c r="AF61">
        <v>1</v>
      </c>
      <c r="AG61" s="6" t="str">
        <f t="shared" si="4"/>
        <v>03322</v>
      </c>
      <c r="AH61" t="str">
        <f t="shared" ca="1" si="5"/>
        <v>81498</v>
      </c>
      <c r="AI61">
        <v>1</v>
      </c>
      <c r="AK61">
        <v>2</v>
      </c>
      <c r="AN61">
        <v>1</v>
      </c>
      <c r="AU61">
        <v>1</v>
      </c>
    </row>
    <row r="62" spans="1:47" x14ac:dyDescent="0.45">
      <c r="A62">
        <v>60</v>
      </c>
      <c r="B62">
        <v>159</v>
      </c>
      <c r="C62">
        <v>21</v>
      </c>
      <c r="D62" t="s">
        <v>3</v>
      </c>
      <c r="E62" t="s">
        <v>78</v>
      </c>
      <c r="F62" t="s">
        <v>79</v>
      </c>
      <c r="G62" s="1">
        <v>19699</v>
      </c>
      <c r="H62" s="11">
        <f t="shared" ca="1" si="6"/>
        <v>71</v>
      </c>
      <c r="I62" t="s">
        <v>626</v>
      </c>
      <c r="J62" s="1">
        <v>30760</v>
      </c>
      <c r="P62" s="1">
        <f t="shared" ca="1" si="7"/>
        <v>29750</v>
      </c>
      <c r="Q62">
        <f t="shared" ca="1" si="0"/>
        <v>28</v>
      </c>
      <c r="R62" s="1">
        <f>DATE(IF(MONTH(G62)=12,YEAR(G62)+66,YEAR(G62)+65),IF(MONTH(G62)=12,1,MONTH(G62)+1),1)</f>
        <v>43466</v>
      </c>
      <c r="S62" t="s">
        <v>1022</v>
      </c>
      <c r="Y62">
        <v>1</v>
      </c>
      <c r="Z62" t="str">
        <f t="shared" ca="1" si="1"/>
        <v>14641</v>
      </c>
      <c r="AA62" t="str">
        <f t="shared" si="2"/>
        <v>Wustermark</v>
      </c>
      <c r="AB62" t="str">
        <f t="shared" si="3"/>
        <v>Athenstraße</v>
      </c>
      <c r="AC62" t="str" cm="1">
        <f t="array" ref="AC62">ErzeugeHausnummer()</f>
        <v>79</v>
      </c>
      <c r="AD62">
        <v>1</v>
      </c>
      <c r="AF62">
        <v>1</v>
      </c>
      <c r="AG62" s="6" t="str">
        <f t="shared" si="4"/>
        <v>033234</v>
      </c>
      <c r="AH62" t="str">
        <f t="shared" ca="1" si="5"/>
        <v>6652</v>
      </c>
      <c r="AI62">
        <v>1</v>
      </c>
      <c r="AK62">
        <v>2</v>
      </c>
      <c r="AN62">
        <v>1</v>
      </c>
      <c r="AU62">
        <v>1</v>
      </c>
    </row>
    <row r="63" spans="1:47" x14ac:dyDescent="0.45">
      <c r="A63">
        <v>61</v>
      </c>
      <c r="B63">
        <v>75</v>
      </c>
      <c r="C63">
        <v>25</v>
      </c>
      <c r="D63" t="s">
        <v>0</v>
      </c>
      <c r="E63" t="s">
        <v>80</v>
      </c>
      <c r="F63" t="s">
        <v>2</v>
      </c>
      <c r="G63" s="1">
        <v>28423</v>
      </c>
      <c r="H63" s="11">
        <f t="shared" ca="1" si="6"/>
        <v>46</v>
      </c>
      <c r="I63" t="s">
        <v>626</v>
      </c>
      <c r="J63" s="1">
        <v>40873</v>
      </c>
      <c r="P63" s="1">
        <f t="shared" ca="1" si="7"/>
        <v>42211</v>
      </c>
      <c r="Q63">
        <f t="shared" ca="1" si="0"/>
        <v>38</v>
      </c>
      <c r="Y63">
        <v>1</v>
      </c>
      <c r="Z63" t="str">
        <f t="shared" ca="1" si="1"/>
        <v>14050</v>
      </c>
      <c r="AA63" t="str">
        <f t="shared" si="2"/>
        <v>Berlin</v>
      </c>
      <c r="AB63" t="str">
        <f t="shared" si="3"/>
        <v>Austinstraße</v>
      </c>
      <c r="AC63" t="str" cm="1">
        <f t="array" ref="AC63">ErzeugeHausnummer()</f>
        <v>29D/E</v>
      </c>
      <c r="AD63">
        <v>1</v>
      </c>
      <c r="AF63">
        <v>1</v>
      </c>
      <c r="AG63" s="6" t="str">
        <f t="shared" si="4"/>
        <v>030</v>
      </c>
      <c r="AH63" t="str">
        <f t="shared" ca="1" si="5"/>
        <v>78757411</v>
      </c>
      <c r="AI63">
        <v>1</v>
      </c>
      <c r="AK63">
        <v>2</v>
      </c>
      <c r="AN63">
        <v>1</v>
      </c>
      <c r="AU63">
        <v>1</v>
      </c>
    </row>
    <row r="64" spans="1:47" x14ac:dyDescent="0.45">
      <c r="A64">
        <v>62</v>
      </c>
      <c r="B64">
        <v>4</v>
      </c>
      <c r="C64">
        <v>60</v>
      </c>
      <c r="D64" t="s">
        <v>3</v>
      </c>
      <c r="E64" t="s">
        <v>81</v>
      </c>
      <c r="F64" t="s">
        <v>82</v>
      </c>
      <c r="G64" s="1">
        <v>36481</v>
      </c>
      <c r="H64" s="11">
        <f t="shared" ca="1" si="6"/>
        <v>25</v>
      </c>
      <c r="I64" t="s">
        <v>624</v>
      </c>
      <c r="P64" s="1">
        <f t="shared" ca="1" si="7"/>
        <v>45806</v>
      </c>
      <c r="Q64">
        <f t="shared" ca="1" si="0"/>
        <v>26</v>
      </c>
      <c r="Y64">
        <v>1</v>
      </c>
      <c r="Z64" t="str">
        <f t="shared" ca="1" si="1"/>
        <v>10115</v>
      </c>
      <c r="AA64" t="str">
        <f t="shared" si="2"/>
        <v>Berlin</v>
      </c>
      <c r="AB64" t="str">
        <f t="shared" si="3"/>
        <v>Cleveland-Allee</v>
      </c>
      <c r="AC64" t="str" cm="1">
        <f t="array" ref="AC64">ErzeugeHausnummer()</f>
        <v>44F/G</v>
      </c>
      <c r="AD64">
        <v>1</v>
      </c>
      <c r="AF64">
        <v>1</v>
      </c>
      <c r="AG64" s="6" t="str">
        <f t="shared" si="4"/>
        <v>030</v>
      </c>
      <c r="AH64" t="str">
        <f t="shared" ca="1" si="5"/>
        <v>83969382</v>
      </c>
      <c r="AI64">
        <v>1</v>
      </c>
      <c r="AK64">
        <v>2</v>
      </c>
      <c r="AN64">
        <v>1</v>
      </c>
      <c r="AU64">
        <v>1</v>
      </c>
    </row>
    <row r="65" spans="1:47" x14ac:dyDescent="0.45">
      <c r="A65">
        <v>63</v>
      </c>
      <c r="B65">
        <v>80</v>
      </c>
      <c r="C65">
        <v>298</v>
      </c>
      <c r="D65" t="s">
        <v>0</v>
      </c>
      <c r="E65" t="s">
        <v>83</v>
      </c>
      <c r="F65" t="s">
        <v>7</v>
      </c>
      <c r="G65" s="1">
        <v>27623</v>
      </c>
      <c r="H65" s="11">
        <f t="shared" ca="1" si="6"/>
        <v>49</v>
      </c>
      <c r="I65" t="s">
        <v>626</v>
      </c>
      <c r="J65" s="1">
        <v>38132</v>
      </c>
      <c r="P65" s="1">
        <f t="shared" ca="1" si="7"/>
        <v>34896</v>
      </c>
      <c r="Q65">
        <f t="shared" ca="1" si="0"/>
        <v>19</v>
      </c>
      <c r="Y65">
        <v>1</v>
      </c>
      <c r="Z65" t="str">
        <f t="shared" ca="1" si="1"/>
        <v>14050</v>
      </c>
      <c r="AA65" t="str">
        <f t="shared" si="2"/>
        <v>Berlin</v>
      </c>
      <c r="AB65" t="str">
        <f t="shared" si="3"/>
        <v>Wilhelmstraße</v>
      </c>
      <c r="AC65" t="str" cm="1">
        <f t="array" ref="AC65">ErzeugeHausnummer()</f>
        <v>14D</v>
      </c>
      <c r="AD65">
        <v>1</v>
      </c>
      <c r="AF65">
        <v>1</v>
      </c>
      <c r="AG65" s="6" t="str">
        <f t="shared" si="4"/>
        <v>030</v>
      </c>
      <c r="AH65" t="str">
        <f t="shared" ca="1" si="5"/>
        <v>56240943</v>
      </c>
      <c r="AI65">
        <v>1</v>
      </c>
      <c r="AK65">
        <v>2</v>
      </c>
      <c r="AN65">
        <v>1</v>
      </c>
      <c r="AU65">
        <v>1</v>
      </c>
    </row>
    <row r="66" spans="1:47" x14ac:dyDescent="0.45">
      <c r="A66">
        <v>64</v>
      </c>
      <c r="B66">
        <v>19</v>
      </c>
      <c r="C66">
        <v>29</v>
      </c>
      <c r="D66" t="s">
        <v>3</v>
      </c>
      <c r="E66" t="s">
        <v>84</v>
      </c>
      <c r="F66" t="s">
        <v>85</v>
      </c>
      <c r="G66" s="1">
        <v>30178</v>
      </c>
      <c r="H66" s="11">
        <f t="shared" ca="1" si="6"/>
        <v>42</v>
      </c>
      <c r="I66" t="s">
        <v>626</v>
      </c>
      <c r="J66" s="1">
        <v>38801</v>
      </c>
      <c r="P66" s="1">
        <f t="shared" ca="1" si="7"/>
        <v>43326</v>
      </c>
      <c r="Q66">
        <f t="shared" ca="1" si="0"/>
        <v>35</v>
      </c>
      <c r="Y66">
        <v>1</v>
      </c>
      <c r="Z66" t="str">
        <f t="shared" ca="1" si="1"/>
        <v>10585</v>
      </c>
      <c r="AA66" t="str">
        <f t="shared" si="2"/>
        <v>Berlin</v>
      </c>
      <c r="AB66" t="str">
        <f t="shared" si="3"/>
        <v>Bahnhofplatz</v>
      </c>
      <c r="AC66" t="str" cm="1">
        <f t="array" ref="AC66">ErzeugeHausnummer()</f>
        <v>3</v>
      </c>
      <c r="AD66">
        <v>1</v>
      </c>
      <c r="AF66">
        <v>1</v>
      </c>
      <c r="AG66" s="6" t="str">
        <f t="shared" si="4"/>
        <v>030</v>
      </c>
      <c r="AH66" t="str">
        <f t="shared" ca="1" si="5"/>
        <v>94423935</v>
      </c>
      <c r="AI66">
        <v>1</v>
      </c>
      <c r="AK66">
        <v>2</v>
      </c>
      <c r="AN66">
        <v>1</v>
      </c>
      <c r="AU66">
        <v>1</v>
      </c>
    </row>
    <row r="67" spans="1:47" x14ac:dyDescent="0.45">
      <c r="A67">
        <v>65</v>
      </c>
      <c r="B67">
        <v>172</v>
      </c>
      <c r="C67">
        <v>70</v>
      </c>
      <c r="D67" t="s">
        <v>0</v>
      </c>
      <c r="E67" t="s">
        <v>86</v>
      </c>
      <c r="F67" t="s">
        <v>87</v>
      </c>
      <c r="G67" s="1">
        <v>33543</v>
      </c>
      <c r="H67" s="11">
        <f t="shared" ca="1" si="6"/>
        <v>33</v>
      </c>
      <c r="I67" t="s">
        <v>624</v>
      </c>
      <c r="J67" s="1"/>
      <c r="P67" s="1">
        <f t="shared" ca="1" si="7"/>
        <v>48527</v>
      </c>
      <c r="Q67">
        <f t="shared" ca="1" si="0"/>
        <v>41</v>
      </c>
      <c r="Y67">
        <v>1</v>
      </c>
      <c r="Z67" t="str">
        <f t="shared" ref="Z67:Z130" ca="1" si="8">TEXT(INT(RAND() * (VLOOKUP(B67,Adressen_Zufall,5,TRUE) - VLOOKUP(B67,Adressen_Zufall,5,TRUE)  + 1) + VLOOKUP(B67,Adressen_Zufall,5,TRUE) ),"0")</f>
        <v>14542</v>
      </c>
      <c r="AA67" t="str">
        <f t="shared" ref="AA67:AA130" si="9">VLOOKUP(B67,Adressen_Zufall,3,TRUE)</f>
        <v>Werder (Havel)</v>
      </c>
      <c r="AB67" t="str">
        <f t="shared" ref="AB67:AB130" si="10">VLOOKUP(C67,Strassen_Zufall,2,TRUE)</f>
        <v>Eichenweg</v>
      </c>
      <c r="AC67" t="str" cm="1">
        <f t="array" ref="AC67">ErzeugeHausnummer()</f>
        <v>28</v>
      </c>
      <c r="AD67">
        <v>1</v>
      </c>
      <c r="AF67">
        <v>1</v>
      </c>
      <c r="AG67" s="6" t="str">
        <f t="shared" ref="AG67:AG130" si="11">VLOOKUP(B67,Adressen_Zufall,7,TRUE)</f>
        <v>03327</v>
      </c>
      <c r="AH67" t="str">
        <f t="shared" ref="AH67:AH130" ca="1" si="12">LEFT(TEXT(INT(RANDBETWEEN(4,9)) &amp; RANDBETWEEN(100000000000,999999999999), "0"),VLOOKUP(B67,Adressen_Zufall,8,TRUE)-LEN(VLOOKUP(B67,Adressen_Zufall,7,TRUE)))</f>
        <v>85744</v>
      </c>
      <c r="AI67">
        <v>1</v>
      </c>
      <c r="AK67">
        <v>2</v>
      </c>
      <c r="AN67">
        <v>1</v>
      </c>
      <c r="AU67">
        <v>1</v>
      </c>
    </row>
    <row r="68" spans="1:47" x14ac:dyDescent="0.45">
      <c r="A68">
        <v>66</v>
      </c>
      <c r="B68">
        <v>7</v>
      </c>
      <c r="C68">
        <v>242</v>
      </c>
      <c r="D68" t="s">
        <v>3</v>
      </c>
      <c r="E68" t="s">
        <v>88</v>
      </c>
      <c r="F68" t="s">
        <v>89</v>
      </c>
      <c r="G68" s="1">
        <v>26992</v>
      </c>
      <c r="H68" s="11">
        <f t="shared" ref="H68:H131" ca="1" si="13">YEAR(TODAY())-YEAR(G68) - (DAY(TODAY()) &lt; DAY(G68))</f>
        <v>50</v>
      </c>
      <c r="I68" t="s">
        <v>627</v>
      </c>
      <c r="J68" s="1">
        <v>44280</v>
      </c>
      <c r="P68" s="1">
        <f t="shared" ref="P68:P131" ca="1" si="14">G68 + ROUND(RAND()*(50*365-18*365) + 18*365, 0)</f>
        <v>35442</v>
      </c>
      <c r="Q68">
        <f t="shared" ca="1" si="0"/>
        <v>23</v>
      </c>
      <c r="Y68">
        <v>1</v>
      </c>
      <c r="Z68" t="str">
        <f t="shared" ca="1" si="8"/>
        <v>10961</v>
      </c>
      <c r="AA68" t="str">
        <f t="shared" si="9"/>
        <v>Berlin</v>
      </c>
      <c r="AB68" t="str">
        <f t="shared" si="10"/>
        <v>San-Antonio-Weg</v>
      </c>
      <c r="AC68" t="str" cm="1">
        <f t="array" ref="AC68">ErzeugeHausnummer()</f>
        <v>4A</v>
      </c>
      <c r="AD68">
        <v>1</v>
      </c>
      <c r="AF68">
        <v>1</v>
      </c>
      <c r="AG68" s="6" t="str">
        <f t="shared" si="11"/>
        <v>030</v>
      </c>
      <c r="AH68" t="str">
        <f t="shared" ca="1" si="12"/>
        <v>79709240</v>
      </c>
      <c r="AI68">
        <v>1</v>
      </c>
      <c r="AK68">
        <v>2</v>
      </c>
      <c r="AN68">
        <v>1</v>
      </c>
      <c r="AU68">
        <v>1</v>
      </c>
    </row>
    <row r="69" spans="1:47" x14ac:dyDescent="0.45">
      <c r="A69">
        <v>67</v>
      </c>
      <c r="B69">
        <v>75</v>
      </c>
      <c r="C69">
        <v>237</v>
      </c>
      <c r="D69" t="s">
        <v>0</v>
      </c>
      <c r="E69" t="s">
        <v>83</v>
      </c>
      <c r="F69" t="s">
        <v>90</v>
      </c>
      <c r="G69" s="1">
        <v>32429</v>
      </c>
      <c r="H69" s="11">
        <f t="shared" ca="1" si="13"/>
        <v>36</v>
      </c>
      <c r="I69" t="s">
        <v>626</v>
      </c>
      <c r="J69" s="1">
        <v>42574</v>
      </c>
      <c r="P69" s="1">
        <f t="shared" ca="1" si="14"/>
        <v>50517</v>
      </c>
      <c r="Q69">
        <f t="shared" ref="Q69:Q132" ca="1" si="15">YEAR(P69)-YEAR(G69) - (DAY(P69) &lt; DAY(G69))</f>
        <v>50</v>
      </c>
      <c r="Y69">
        <v>1</v>
      </c>
      <c r="Z69" t="str">
        <f t="shared" ca="1" si="8"/>
        <v>14050</v>
      </c>
      <c r="AA69" t="str">
        <f t="shared" si="9"/>
        <v>Berlin</v>
      </c>
      <c r="AB69" t="str">
        <f t="shared" si="10"/>
        <v>Romstraße</v>
      </c>
      <c r="AC69" t="str" cm="1">
        <f t="array" ref="AC69">ErzeugeHausnummer()</f>
        <v>10</v>
      </c>
      <c r="AD69">
        <v>1</v>
      </c>
      <c r="AF69">
        <v>1</v>
      </c>
      <c r="AG69" s="6" t="str">
        <f t="shared" si="11"/>
        <v>030</v>
      </c>
      <c r="AH69" t="str">
        <f t="shared" ca="1" si="12"/>
        <v>62714552</v>
      </c>
      <c r="AI69">
        <v>1</v>
      </c>
      <c r="AK69">
        <v>2</v>
      </c>
      <c r="AN69">
        <v>1</v>
      </c>
      <c r="AU69">
        <v>1</v>
      </c>
    </row>
    <row r="70" spans="1:47" x14ac:dyDescent="0.45">
      <c r="A70">
        <v>68</v>
      </c>
      <c r="B70">
        <v>155</v>
      </c>
      <c r="C70">
        <v>241</v>
      </c>
      <c r="D70" t="s">
        <v>3</v>
      </c>
      <c r="E70" t="s">
        <v>91</v>
      </c>
      <c r="F70" t="s">
        <v>58</v>
      </c>
      <c r="G70" s="1">
        <v>29572</v>
      </c>
      <c r="H70" s="11">
        <f t="shared" ca="1" si="13"/>
        <v>44</v>
      </c>
      <c r="I70" t="s">
        <v>624</v>
      </c>
      <c r="P70" s="1">
        <f t="shared" ca="1" si="14"/>
        <v>45289</v>
      </c>
      <c r="Q70">
        <f t="shared" ca="1" si="15"/>
        <v>43</v>
      </c>
      <c r="Y70">
        <v>1</v>
      </c>
      <c r="Z70" t="str">
        <f t="shared" ca="1" si="8"/>
        <v>14641</v>
      </c>
      <c r="AA70" t="str">
        <f t="shared" si="9"/>
        <v>Nauen</v>
      </c>
      <c r="AB70" t="str">
        <f t="shared" si="10"/>
        <v>San-Antonio-Allee</v>
      </c>
      <c r="AC70" t="str" cm="1">
        <f t="array" ref="AC70">ErzeugeHausnummer()</f>
        <v>15D/E</v>
      </c>
      <c r="AD70">
        <v>1</v>
      </c>
      <c r="AF70">
        <v>1</v>
      </c>
      <c r="AG70" s="6" t="str">
        <f t="shared" si="11"/>
        <v>03321</v>
      </c>
      <c r="AH70" t="str">
        <f t="shared" ca="1" si="12"/>
        <v>65810</v>
      </c>
      <c r="AI70">
        <v>1</v>
      </c>
      <c r="AK70">
        <v>2</v>
      </c>
      <c r="AN70">
        <v>1</v>
      </c>
      <c r="AU70">
        <v>1</v>
      </c>
    </row>
    <row r="71" spans="1:47" x14ac:dyDescent="0.45">
      <c r="A71">
        <v>69</v>
      </c>
      <c r="B71">
        <v>93</v>
      </c>
      <c r="C71">
        <v>145</v>
      </c>
      <c r="D71" t="s">
        <v>0</v>
      </c>
      <c r="E71" t="s">
        <v>92</v>
      </c>
      <c r="F71" t="s">
        <v>93</v>
      </c>
      <c r="G71" s="1">
        <v>21705</v>
      </c>
      <c r="H71" s="11">
        <f t="shared" ca="1" si="13"/>
        <v>65</v>
      </c>
      <c r="I71" t="s">
        <v>624</v>
      </c>
      <c r="P71" s="1">
        <f t="shared" ca="1" si="14"/>
        <v>37492</v>
      </c>
      <c r="Q71">
        <f t="shared" ca="1" si="15"/>
        <v>43</v>
      </c>
      <c r="R71" s="1">
        <f>DATE(IF(MONTH(G71)=12,YEAR(G71)+66,YEAR(G71)+65),IF(MONTH(G71)=12,1,MONTH(G71)+1),1)</f>
        <v>45474</v>
      </c>
      <c r="S71" t="s">
        <v>1022</v>
      </c>
      <c r="Y71">
        <v>1</v>
      </c>
      <c r="Z71" t="str">
        <f t="shared" ca="1" si="8"/>
        <v>12247</v>
      </c>
      <c r="AA71" t="str">
        <f t="shared" si="9"/>
        <v>Berlin</v>
      </c>
      <c r="AB71" t="str">
        <f t="shared" si="10"/>
        <v>Karl-Valentin-Straße</v>
      </c>
      <c r="AC71" t="str" cm="1">
        <f t="array" ref="AC71">ErzeugeHausnummer()</f>
        <v>5E</v>
      </c>
      <c r="AD71">
        <v>1</v>
      </c>
      <c r="AF71">
        <v>1</v>
      </c>
      <c r="AG71" s="6" t="str">
        <f t="shared" si="11"/>
        <v>030</v>
      </c>
      <c r="AH71" t="str">
        <f t="shared" ca="1" si="12"/>
        <v>42627305</v>
      </c>
      <c r="AI71">
        <v>1</v>
      </c>
      <c r="AK71">
        <v>2</v>
      </c>
      <c r="AN71">
        <v>1</v>
      </c>
      <c r="AU71">
        <v>1</v>
      </c>
    </row>
    <row r="72" spans="1:47" x14ac:dyDescent="0.45">
      <c r="A72">
        <v>70</v>
      </c>
      <c r="B72">
        <v>31</v>
      </c>
      <c r="C72">
        <v>293</v>
      </c>
      <c r="D72" t="s">
        <v>3</v>
      </c>
      <c r="E72" t="s">
        <v>94</v>
      </c>
      <c r="F72" t="s">
        <v>95</v>
      </c>
      <c r="G72" s="1">
        <v>27040</v>
      </c>
      <c r="H72" s="11">
        <f t="shared" ca="1" si="13"/>
        <v>50</v>
      </c>
      <c r="I72" t="s">
        <v>626</v>
      </c>
      <c r="J72" s="1">
        <v>38995</v>
      </c>
      <c r="P72" s="1">
        <f t="shared" ca="1" si="14"/>
        <v>40802</v>
      </c>
      <c r="Q72">
        <f t="shared" ca="1" si="15"/>
        <v>37</v>
      </c>
      <c r="Y72">
        <v>1</v>
      </c>
      <c r="Z72" t="str">
        <f t="shared" ca="1" si="8"/>
        <v>13581</v>
      </c>
      <c r="AA72" t="str">
        <f t="shared" si="9"/>
        <v>Berlin</v>
      </c>
      <c r="AB72" t="str">
        <f t="shared" si="10"/>
        <v>Weidengasse</v>
      </c>
      <c r="AC72" t="str" cm="1">
        <f t="array" ref="AC72">ErzeugeHausnummer()</f>
        <v>17E/F</v>
      </c>
      <c r="AD72">
        <v>1</v>
      </c>
      <c r="AF72">
        <v>1</v>
      </c>
      <c r="AG72" s="6" t="str">
        <f t="shared" si="11"/>
        <v>030</v>
      </c>
      <c r="AH72" t="str">
        <f t="shared" ca="1" si="12"/>
        <v>43102441</v>
      </c>
      <c r="AI72">
        <v>1</v>
      </c>
      <c r="AK72">
        <v>2</v>
      </c>
      <c r="AN72">
        <v>1</v>
      </c>
      <c r="AU72">
        <v>1</v>
      </c>
    </row>
    <row r="73" spans="1:47" x14ac:dyDescent="0.45">
      <c r="A73">
        <v>71</v>
      </c>
      <c r="B73">
        <v>20</v>
      </c>
      <c r="C73">
        <v>231</v>
      </c>
      <c r="D73" t="s">
        <v>0</v>
      </c>
      <c r="E73" t="s">
        <v>96</v>
      </c>
      <c r="F73" t="s">
        <v>21</v>
      </c>
      <c r="G73" s="1">
        <v>23379</v>
      </c>
      <c r="H73" s="11">
        <f t="shared" ca="1" si="13"/>
        <v>60</v>
      </c>
      <c r="I73" t="s">
        <v>626</v>
      </c>
      <c r="J73" s="1">
        <v>36298</v>
      </c>
      <c r="P73" s="1">
        <f t="shared" ca="1" si="14"/>
        <v>33625</v>
      </c>
      <c r="Q73">
        <f t="shared" ca="1" si="15"/>
        <v>28</v>
      </c>
      <c r="Y73">
        <v>1</v>
      </c>
      <c r="Z73" t="str">
        <f t="shared" ca="1" si="8"/>
        <v>10623</v>
      </c>
      <c r="AA73" t="str">
        <f t="shared" si="9"/>
        <v>Berlin</v>
      </c>
      <c r="AB73" t="str">
        <f t="shared" si="10"/>
        <v>Richmondstraße</v>
      </c>
      <c r="AC73" t="str" cm="1">
        <f t="array" ref="AC73">ErzeugeHausnummer()</f>
        <v>50</v>
      </c>
      <c r="AD73">
        <v>1</v>
      </c>
      <c r="AF73">
        <v>1</v>
      </c>
      <c r="AG73" s="6" t="str">
        <f t="shared" si="11"/>
        <v>030</v>
      </c>
      <c r="AH73" t="str">
        <f t="shared" ca="1" si="12"/>
        <v>94087071</v>
      </c>
      <c r="AI73">
        <v>1</v>
      </c>
      <c r="AK73">
        <v>2</v>
      </c>
      <c r="AN73">
        <v>1</v>
      </c>
      <c r="AU73">
        <v>1</v>
      </c>
    </row>
    <row r="74" spans="1:47" x14ac:dyDescent="0.45">
      <c r="A74">
        <v>72</v>
      </c>
      <c r="B74">
        <v>193</v>
      </c>
      <c r="C74">
        <v>21</v>
      </c>
      <c r="D74" t="s">
        <v>3</v>
      </c>
      <c r="E74" t="s">
        <v>97</v>
      </c>
      <c r="F74" t="s">
        <v>98</v>
      </c>
      <c r="G74" s="1">
        <v>21082</v>
      </c>
      <c r="H74" s="11">
        <f t="shared" ca="1" si="13"/>
        <v>67</v>
      </c>
      <c r="I74" t="s">
        <v>626</v>
      </c>
      <c r="J74" s="1">
        <v>35030</v>
      </c>
      <c r="P74" s="1">
        <f t="shared" ca="1" si="14"/>
        <v>34876</v>
      </c>
      <c r="Q74">
        <f t="shared" ca="1" si="15"/>
        <v>38</v>
      </c>
      <c r="R74" s="1">
        <f>DATE(IF(MONTH(G74)=12,YEAR(G74)+66,YEAR(G74)+65),IF(MONTH(G74)=12,1,MONTH(G74)+1),1)</f>
        <v>44835</v>
      </c>
      <c r="S74" t="s">
        <v>1022</v>
      </c>
      <c r="Y74">
        <v>1</v>
      </c>
      <c r="Z74" t="str">
        <f t="shared" ca="1" si="8"/>
        <v>14554</v>
      </c>
      <c r="AA74" t="str">
        <f t="shared" si="9"/>
        <v>Seddin</v>
      </c>
      <c r="AB74" t="str">
        <f t="shared" si="10"/>
        <v>Athenstraße</v>
      </c>
      <c r="AC74" t="str" cm="1">
        <f t="array" ref="AC74">ErzeugeHausnummer()</f>
        <v>23</v>
      </c>
      <c r="AD74">
        <v>1</v>
      </c>
      <c r="AF74">
        <v>1</v>
      </c>
      <c r="AG74" s="6" t="str">
        <f t="shared" si="11"/>
        <v>033206</v>
      </c>
      <c r="AH74" t="str">
        <f t="shared" ca="1" si="12"/>
        <v>9901</v>
      </c>
      <c r="AI74">
        <v>1</v>
      </c>
      <c r="AK74">
        <v>2</v>
      </c>
      <c r="AN74">
        <v>1</v>
      </c>
      <c r="AU74">
        <v>1</v>
      </c>
    </row>
    <row r="75" spans="1:47" x14ac:dyDescent="0.45">
      <c r="A75">
        <v>73</v>
      </c>
      <c r="B75">
        <v>111</v>
      </c>
      <c r="C75">
        <v>63</v>
      </c>
      <c r="D75" t="s">
        <v>0</v>
      </c>
      <c r="E75" t="s">
        <v>99</v>
      </c>
      <c r="F75" t="s">
        <v>23</v>
      </c>
      <c r="G75" s="1">
        <v>24945</v>
      </c>
      <c r="H75" s="11">
        <f t="shared" ca="1" si="13"/>
        <v>56</v>
      </c>
      <c r="I75" t="s">
        <v>626</v>
      </c>
      <c r="J75" s="1">
        <v>36785</v>
      </c>
      <c r="P75" s="1">
        <f t="shared" ca="1" si="14"/>
        <v>39067</v>
      </c>
      <c r="Q75">
        <f t="shared" ca="1" si="15"/>
        <v>37</v>
      </c>
      <c r="Y75">
        <v>1</v>
      </c>
      <c r="Z75" t="str">
        <f t="shared" ca="1" si="8"/>
        <v>10317</v>
      </c>
      <c r="AA75" t="str">
        <f t="shared" si="9"/>
        <v>Berlin</v>
      </c>
      <c r="AB75" t="str">
        <f t="shared" si="10"/>
        <v>Dallasstraße</v>
      </c>
      <c r="AC75" t="str" cm="1">
        <f t="array" ref="AC75">ErzeugeHausnummer()</f>
        <v>11</v>
      </c>
      <c r="AD75">
        <v>1</v>
      </c>
      <c r="AF75">
        <v>1</v>
      </c>
      <c r="AG75" s="6" t="str">
        <f t="shared" si="11"/>
        <v>030</v>
      </c>
      <c r="AH75" t="str">
        <f t="shared" ca="1" si="12"/>
        <v>66071167</v>
      </c>
      <c r="AI75">
        <v>1</v>
      </c>
      <c r="AK75">
        <v>2</v>
      </c>
      <c r="AN75">
        <v>1</v>
      </c>
      <c r="AU75">
        <v>1</v>
      </c>
    </row>
    <row r="76" spans="1:47" x14ac:dyDescent="0.45">
      <c r="A76">
        <v>74</v>
      </c>
      <c r="B76">
        <v>116</v>
      </c>
      <c r="C76">
        <v>275</v>
      </c>
      <c r="D76" t="s">
        <v>3</v>
      </c>
      <c r="E76" t="s">
        <v>100</v>
      </c>
      <c r="F76" t="s">
        <v>27</v>
      </c>
      <c r="G76" s="1">
        <v>23790</v>
      </c>
      <c r="H76" s="11">
        <f t="shared" ca="1" si="13"/>
        <v>59</v>
      </c>
      <c r="I76" t="s">
        <v>626</v>
      </c>
      <c r="J76" s="1">
        <v>37491</v>
      </c>
      <c r="P76" s="1">
        <f t="shared" ca="1" si="14"/>
        <v>30365</v>
      </c>
      <c r="Q76">
        <f t="shared" ca="1" si="15"/>
        <v>18</v>
      </c>
      <c r="Y76">
        <v>1</v>
      </c>
      <c r="Z76" t="str">
        <f t="shared" ca="1" si="8"/>
        <v>13407</v>
      </c>
      <c r="AA76" t="str">
        <f t="shared" si="9"/>
        <v>Berlin</v>
      </c>
      <c r="AB76" t="str">
        <f t="shared" si="10"/>
        <v>Tampa-Straße</v>
      </c>
      <c r="AC76" t="str" cm="1">
        <f t="array" ref="AC76">ErzeugeHausnummer()</f>
        <v>5D/E</v>
      </c>
      <c r="AD76">
        <v>1</v>
      </c>
      <c r="AF76">
        <v>1</v>
      </c>
      <c r="AG76" s="6" t="str">
        <f t="shared" si="11"/>
        <v>030</v>
      </c>
      <c r="AH76" t="str">
        <f t="shared" ca="1" si="12"/>
        <v>93912809</v>
      </c>
      <c r="AI76">
        <v>1</v>
      </c>
      <c r="AK76">
        <v>2</v>
      </c>
      <c r="AN76">
        <v>1</v>
      </c>
      <c r="AU76">
        <v>1</v>
      </c>
    </row>
    <row r="77" spans="1:47" x14ac:dyDescent="0.45">
      <c r="A77">
        <v>75</v>
      </c>
      <c r="B77">
        <v>50</v>
      </c>
      <c r="C77">
        <v>7</v>
      </c>
      <c r="D77" t="s">
        <v>0</v>
      </c>
      <c r="E77" t="s">
        <v>101</v>
      </c>
      <c r="F77" t="s">
        <v>33</v>
      </c>
      <c r="G77" s="1">
        <v>37288</v>
      </c>
      <c r="H77" s="11">
        <f t="shared" ca="1" si="13"/>
        <v>22</v>
      </c>
      <c r="I77" t="s">
        <v>624</v>
      </c>
      <c r="P77" s="1">
        <f t="shared" ca="1" si="14"/>
        <v>45592</v>
      </c>
      <c r="Q77">
        <f t="shared" ca="1" si="15"/>
        <v>22</v>
      </c>
      <c r="Y77">
        <v>1</v>
      </c>
      <c r="Z77" t="str">
        <f t="shared" ca="1" si="8"/>
        <v>13581</v>
      </c>
      <c r="AA77" t="str">
        <f t="shared" si="9"/>
        <v>Berlin</v>
      </c>
      <c r="AB77" t="str">
        <f t="shared" si="10"/>
        <v>Alte Straße</v>
      </c>
      <c r="AC77" t="str" cm="1">
        <f t="array" ref="AC77">ErzeugeHausnummer()</f>
        <v>10</v>
      </c>
      <c r="AD77">
        <v>1</v>
      </c>
      <c r="AF77">
        <v>1</v>
      </c>
      <c r="AG77" s="6" t="str">
        <f t="shared" si="11"/>
        <v>030</v>
      </c>
      <c r="AH77" t="str">
        <f t="shared" ca="1" si="12"/>
        <v>61772081</v>
      </c>
      <c r="AI77">
        <v>1</v>
      </c>
      <c r="AK77">
        <v>2</v>
      </c>
      <c r="AN77">
        <v>1</v>
      </c>
      <c r="AU77">
        <v>1</v>
      </c>
    </row>
    <row r="78" spans="1:47" x14ac:dyDescent="0.45">
      <c r="A78">
        <v>76</v>
      </c>
      <c r="B78">
        <v>56</v>
      </c>
      <c r="C78">
        <v>175</v>
      </c>
      <c r="D78" t="s">
        <v>3</v>
      </c>
      <c r="E78" t="s">
        <v>102</v>
      </c>
      <c r="F78" t="s">
        <v>35</v>
      </c>
      <c r="G78" s="1">
        <v>29582</v>
      </c>
      <c r="H78" s="11">
        <f t="shared" ca="1" si="13"/>
        <v>43</v>
      </c>
      <c r="I78" t="s">
        <v>626</v>
      </c>
      <c r="J78" s="1">
        <v>40822</v>
      </c>
      <c r="P78" s="1">
        <f t="shared" ca="1" si="14"/>
        <v>46311</v>
      </c>
      <c r="Q78">
        <f t="shared" ca="1" si="15"/>
        <v>45</v>
      </c>
      <c r="Y78">
        <v>1</v>
      </c>
      <c r="Z78" t="str">
        <f t="shared" ca="1" si="8"/>
        <v>13597</v>
      </c>
      <c r="AA78" t="str">
        <f t="shared" si="9"/>
        <v>Berlin</v>
      </c>
      <c r="AB78" t="str">
        <f t="shared" si="10"/>
        <v>Ludwig-van-Beethoven-Straße</v>
      </c>
      <c r="AC78" t="str" cm="1">
        <f t="array" ref="AC78">ErzeugeHausnummer()</f>
        <v>28</v>
      </c>
      <c r="AD78">
        <v>1</v>
      </c>
      <c r="AF78">
        <v>1</v>
      </c>
      <c r="AG78" s="6" t="str">
        <f t="shared" si="11"/>
        <v>030</v>
      </c>
      <c r="AH78" t="str">
        <f t="shared" ca="1" si="12"/>
        <v>68908723</v>
      </c>
      <c r="AI78">
        <v>1</v>
      </c>
      <c r="AK78">
        <v>2</v>
      </c>
      <c r="AN78">
        <v>1</v>
      </c>
      <c r="AU78">
        <v>1</v>
      </c>
    </row>
    <row r="79" spans="1:47" x14ac:dyDescent="0.45">
      <c r="A79">
        <v>77</v>
      </c>
      <c r="B79">
        <v>72</v>
      </c>
      <c r="C79">
        <v>88</v>
      </c>
      <c r="D79" t="s">
        <v>0</v>
      </c>
      <c r="E79" t="s">
        <v>103</v>
      </c>
      <c r="F79" t="s">
        <v>11</v>
      </c>
      <c r="G79" s="1">
        <v>25638</v>
      </c>
      <c r="H79" s="11">
        <f t="shared" ca="1" si="13"/>
        <v>54</v>
      </c>
      <c r="I79" t="s">
        <v>626</v>
      </c>
      <c r="J79" s="1">
        <v>36130</v>
      </c>
      <c r="P79" s="1">
        <f t="shared" ca="1" si="14"/>
        <v>38753</v>
      </c>
      <c r="Q79">
        <f t="shared" ca="1" si="15"/>
        <v>35</v>
      </c>
      <c r="Y79">
        <v>1</v>
      </c>
      <c r="Z79" t="str">
        <f t="shared" ca="1" si="8"/>
        <v>14050</v>
      </c>
      <c r="AA79" t="str">
        <f t="shared" si="9"/>
        <v>Berlin</v>
      </c>
      <c r="AB79" t="str">
        <f t="shared" si="10"/>
        <v>Friedrich-Engels-Straße</v>
      </c>
      <c r="AC79" t="str" cm="1">
        <f t="array" ref="AC79">ErzeugeHausnummer()</f>
        <v>42A</v>
      </c>
      <c r="AD79">
        <v>1</v>
      </c>
      <c r="AF79">
        <v>1</v>
      </c>
      <c r="AG79" s="6" t="str">
        <f t="shared" si="11"/>
        <v>030</v>
      </c>
      <c r="AH79" t="str">
        <f t="shared" ca="1" si="12"/>
        <v>75473899</v>
      </c>
      <c r="AI79">
        <v>1</v>
      </c>
      <c r="AK79">
        <v>2</v>
      </c>
      <c r="AN79">
        <v>1</v>
      </c>
      <c r="AU79">
        <v>1</v>
      </c>
    </row>
    <row r="80" spans="1:47" x14ac:dyDescent="0.45">
      <c r="A80">
        <v>78</v>
      </c>
      <c r="B80">
        <v>79</v>
      </c>
      <c r="C80">
        <v>284</v>
      </c>
      <c r="D80" t="s">
        <v>3</v>
      </c>
      <c r="E80" t="s">
        <v>104</v>
      </c>
      <c r="F80" t="s">
        <v>29</v>
      </c>
      <c r="G80" s="1">
        <v>30841</v>
      </c>
      <c r="H80" s="11">
        <f t="shared" ca="1" si="13"/>
        <v>40</v>
      </c>
      <c r="I80" t="s">
        <v>626</v>
      </c>
      <c r="J80" s="1">
        <v>39558</v>
      </c>
      <c r="P80" s="1">
        <f t="shared" ca="1" si="14"/>
        <v>39539</v>
      </c>
      <c r="Q80">
        <f t="shared" ca="1" si="15"/>
        <v>23</v>
      </c>
      <c r="Y80">
        <v>1</v>
      </c>
      <c r="Z80" t="str">
        <f t="shared" ca="1" si="8"/>
        <v>14050</v>
      </c>
      <c r="AA80" t="str">
        <f t="shared" si="9"/>
        <v>Berlin</v>
      </c>
      <c r="AB80" t="str">
        <f t="shared" si="10"/>
        <v>Ulmenweg</v>
      </c>
      <c r="AC80" t="str" cm="1">
        <f t="array" ref="AC80">ErzeugeHausnummer()</f>
        <v>25</v>
      </c>
      <c r="AD80">
        <v>1</v>
      </c>
      <c r="AF80">
        <v>1</v>
      </c>
      <c r="AG80" s="6" t="str">
        <f t="shared" si="11"/>
        <v>030</v>
      </c>
      <c r="AH80" t="str">
        <f t="shared" ca="1" si="12"/>
        <v>56601254</v>
      </c>
      <c r="AI80">
        <v>1</v>
      </c>
      <c r="AK80">
        <v>2</v>
      </c>
      <c r="AN80">
        <v>1</v>
      </c>
      <c r="AU80">
        <v>1</v>
      </c>
    </row>
    <row r="81" spans="1:47" x14ac:dyDescent="0.45">
      <c r="A81">
        <v>79</v>
      </c>
      <c r="B81">
        <v>164</v>
      </c>
      <c r="C81">
        <v>37</v>
      </c>
      <c r="D81" t="s">
        <v>0</v>
      </c>
      <c r="E81" t="s">
        <v>14</v>
      </c>
      <c r="F81" t="s">
        <v>105</v>
      </c>
      <c r="G81" s="1">
        <v>33620</v>
      </c>
      <c r="H81" s="11">
        <f t="shared" ca="1" si="13"/>
        <v>32</v>
      </c>
      <c r="I81" t="s">
        <v>626</v>
      </c>
      <c r="J81" s="1">
        <v>45630</v>
      </c>
      <c r="P81" s="1">
        <f t="shared" ca="1" si="14"/>
        <v>43496</v>
      </c>
      <c r="Q81">
        <f t="shared" ca="1" si="15"/>
        <v>27</v>
      </c>
      <c r="Y81">
        <v>1</v>
      </c>
      <c r="Z81" t="str">
        <f t="shared" ca="1" si="8"/>
        <v>14715</v>
      </c>
      <c r="AA81" t="str">
        <f t="shared" si="9"/>
        <v>Berge</v>
      </c>
      <c r="AB81" t="str">
        <f t="shared" si="10"/>
        <v>Bergstraße</v>
      </c>
      <c r="AC81" t="str" cm="1">
        <f t="array" ref="AC81">ErzeugeHausnummer()</f>
        <v>45E</v>
      </c>
      <c r="AD81">
        <v>1</v>
      </c>
      <c r="AF81">
        <v>1</v>
      </c>
      <c r="AG81" s="6" t="str">
        <f t="shared" si="11"/>
        <v>033874</v>
      </c>
      <c r="AH81" t="str">
        <f t="shared" ca="1" si="12"/>
        <v>4735</v>
      </c>
      <c r="AI81">
        <v>1</v>
      </c>
      <c r="AK81">
        <v>2</v>
      </c>
      <c r="AN81">
        <v>1</v>
      </c>
      <c r="AU81">
        <v>1</v>
      </c>
    </row>
    <row r="82" spans="1:47" x14ac:dyDescent="0.45">
      <c r="A82">
        <v>80</v>
      </c>
      <c r="B82">
        <v>161</v>
      </c>
      <c r="C82">
        <v>122</v>
      </c>
      <c r="D82" t="s">
        <v>3</v>
      </c>
      <c r="E82" t="s">
        <v>106</v>
      </c>
      <c r="F82" t="s">
        <v>44</v>
      </c>
      <c r="G82" s="1">
        <v>31877</v>
      </c>
      <c r="H82" s="11">
        <f t="shared" ca="1" si="13"/>
        <v>37</v>
      </c>
      <c r="I82" t="s">
        <v>626</v>
      </c>
      <c r="J82" s="1">
        <v>45233</v>
      </c>
      <c r="P82" s="1">
        <f t="shared" ca="1" si="14"/>
        <v>44553</v>
      </c>
      <c r="Q82">
        <f t="shared" ca="1" si="15"/>
        <v>34</v>
      </c>
      <c r="Y82">
        <v>1</v>
      </c>
      <c r="Z82" t="str">
        <f t="shared" ca="1" si="8"/>
        <v>14624</v>
      </c>
      <c r="AA82" t="str">
        <f t="shared" si="9"/>
        <v>Seeburg</v>
      </c>
      <c r="AB82" t="str">
        <f t="shared" si="10"/>
        <v>Houstonweg</v>
      </c>
      <c r="AC82" t="str" cm="1">
        <f t="array" ref="AC82">ErzeugeHausnummer()</f>
        <v>31</v>
      </c>
      <c r="AD82">
        <v>1</v>
      </c>
      <c r="AF82">
        <v>1</v>
      </c>
      <c r="AG82" s="6" t="str">
        <f t="shared" si="11"/>
        <v>03322</v>
      </c>
      <c r="AH82" t="str">
        <f t="shared" ca="1" si="12"/>
        <v>42323</v>
      </c>
      <c r="AI82">
        <v>1</v>
      </c>
      <c r="AK82">
        <v>2</v>
      </c>
      <c r="AN82">
        <v>1</v>
      </c>
      <c r="AU82">
        <v>1</v>
      </c>
    </row>
    <row r="83" spans="1:47" x14ac:dyDescent="0.45">
      <c r="A83">
        <v>81</v>
      </c>
      <c r="B83">
        <v>3</v>
      </c>
      <c r="C83">
        <v>97</v>
      </c>
      <c r="D83" t="s">
        <v>0</v>
      </c>
      <c r="E83" t="s">
        <v>107</v>
      </c>
      <c r="F83" t="s">
        <v>108</v>
      </c>
      <c r="G83" s="1">
        <v>37831</v>
      </c>
      <c r="H83" s="11">
        <f t="shared" ca="1" si="13"/>
        <v>20</v>
      </c>
      <c r="I83" t="s">
        <v>624</v>
      </c>
      <c r="P83" s="1">
        <f t="shared" ca="1" si="14"/>
        <v>47910</v>
      </c>
      <c r="Q83">
        <f t="shared" ca="1" si="15"/>
        <v>27</v>
      </c>
      <c r="Y83">
        <v>1</v>
      </c>
      <c r="Z83" t="str">
        <f t="shared" ca="1" si="8"/>
        <v>10115</v>
      </c>
      <c r="AA83" t="str">
        <f t="shared" si="9"/>
        <v>Berlin</v>
      </c>
      <c r="AB83" t="str">
        <f t="shared" si="10"/>
        <v>Gerhard-Schröder-Straße</v>
      </c>
      <c r="AC83" t="str" cm="1">
        <f t="array" ref="AC83">ErzeugeHausnummer()</f>
        <v>35</v>
      </c>
      <c r="AD83">
        <v>1</v>
      </c>
      <c r="AF83">
        <v>1</v>
      </c>
      <c r="AG83" s="6" t="str">
        <f t="shared" si="11"/>
        <v>030</v>
      </c>
      <c r="AH83" t="str">
        <f t="shared" ca="1" si="12"/>
        <v>67366916</v>
      </c>
      <c r="AI83">
        <v>1</v>
      </c>
      <c r="AK83">
        <v>2</v>
      </c>
      <c r="AN83">
        <v>1</v>
      </c>
      <c r="AU83">
        <v>1</v>
      </c>
    </row>
    <row r="84" spans="1:47" x14ac:dyDescent="0.45">
      <c r="A84">
        <v>82</v>
      </c>
      <c r="B84">
        <v>187</v>
      </c>
      <c r="C84">
        <v>233</v>
      </c>
      <c r="D84" t="s">
        <v>3</v>
      </c>
      <c r="E84" t="s">
        <v>78</v>
      </c>
      <c r="F84" t="s">
        <v>109</v>
      </c>
      <c r="G84" s="1">
        <v>21900</v>
      </c>
      <c r="H84" s="11">
        <f t="shared" ca="1" si="13"/>
        <v>65</v>
      </c>
      <c r="I84" t="s">
        <v>626</v>
      </c>
      <c r="J84" s="1">
        <v>34664</v>
      </c>
      <c r="P84" s="1">
        <f t="shared" ca="1" si="14"/>
        <v>31202</v>
      </c>
      <c r="Q84">
        <f t="shared" ca="1" si="15"/>
        <v>25</v>
      </c>
      <c r="R84" s="1">
        <f>DATE(IF(MONTH(G84)=12,YEAR(G84)+66,YEAR(G84)+65),IF(MONTH(G84)=12,1,MONTH(G84)+1),1)</f>
        <v>45658</v>
      </c>
      <c r="S84" t="s">
        <v>1022</v>
      </c>
      <c r="Y84">
        <v>1</v>
      </c>
      <c r="Z84" t="str">
        <f t="shared" ca="1" si="8"/>
        <v>14806</v>
      </c>
      <c r="AA84" t="str">
        <f t="shared" si="9"/>
        <v>Belzig</v>
      </c>
      <c r="AB84" t="str">
        <f t="shared" si="10"/>
        <v>Ringstraße</v>
      </c>
      <c r="AC84" t="str" cm="1">
        <f t="array" ref="AC84">ErzeugeHausnummer()</f>
        <v>12</v>
      </c>
      <c r="AD84">
        <v>1</v>
      </c>
      <c r="AF84">
        <v>1</v>
      </c>
      <c r="AG84" s="6" t="str">
        <f t="shared" si="11"/>
        <v>033841</v>
      </c>
      <c r="AH84" t="str">
        <f t="shared" ca="1" si="12"/>
        <v>7405</v>
      </c>
      <c r="AI84">
        <v>1</v>
      </c>
      <c r="AK84">
        <v>2</v>
      </c>
      <c r="AN84">
        <v>1</v>
      </c>
      <c r="AU84">
        <v>1</v>
      </c>
    </row>
    <row r="85" spans="1:47" x14ac:dyDescent="0.45">
      <c r="A85">
        <v>83</v>
      </c>
      <c r="B85">
        <v>12</v>
      </c>
      <c r="C85">
        <v>57</v>
      </c>
      <c r="D85" t="s">
        <v>0</v>
      </c>
      <c r="E85" t="s">
        <v>52</v>
      </c>
      <c r="F85" t="s">
        <v>39</v>
      </c>
      <c r="G85" s="1">
        <v>36594</v>
      </c>
      <c r="H85" s="11">
        <f t="shared" ca="1" si="13"/>
        <v>24</v>
      </c>
      <c r="I85" t="s">
        <v>624</v>
      </c>
      <c r="J85" s="1"/>
      <c r="P85" s="1">
        <f t="shared" ca="1" si="14"/>
        <v>50945</v>
      </c>
      <c r="Q85">
        <f t="shared" ca="1" si="15"/>
        <v>39</v>
      </c>
      <c r="Y85">
        <v>1</v>
      </c>
      <c r="Z85" t="str">
        <f t="shared" ca="1" si="8"/>
        <v>13125</v>
      </c>
      <c r="AA85" t="str">
        <f t="shared" si="9"/>
        <v>Berlin</v>
      </c>
      <c r="AB85" t="str">
        <f t="shared" si="10"/>
        <v>Charlotte-Allee</v>
      </c>
      <c r="AC85" t="str" cm="1">
        <f t="array" ref="AC85">ErzeugeHausnummer()</f>
        <v>10</v>
      </c>
      <c r="AD85">
        <v>1</v>
      </c>
      <c r="AF85">
        <v>1</v>
      </c>
      <c r="AG85" s="6" t="str">
        <f t="shared" si="11"/>
        <v>030</v>
      </c>
      <c r="AH85" t="str">
        <f t="shared" ca="1" si="12"/>
        <v>55782312</v>
      </c>
      <c r="AI85">
        <v>1</v>
      </c>
      <c r="AK85">
        <v>2</v>
      </c>
      <c r="AN85">
        <v>1</v>
      </c>
      <c r="AU85">
        <v>1</v>
      </c>
    </row>
    <row r="86" spans="1:47" x14ac:dyDescent="0.45">
      <c r="A86">
        <v>84</v>
      </c>
      <c r="B86">
        <v>137</v>
      </c>
      <c r="C86">
        <v>138</v>
      </c>
      <c r="D86" t="s">
        <v>3</v>
      </c>
      <c r="E86" t="s">
        <v>110</v>
      </c>
      <c r="F86" t="s">
        <v>111</v>
      </c>
      <c r="G86" s="1">
        <v>25649</v>
      </c>
      <c r="H86" s="11">
        <f t="shared" ca="1" si="13"/>
        <v>54</v>
      </c>
      <c r="I86" t="s">
        <v>624</v>
      </c>
      <c r="J86" s="1"/>
      <c r="P86" s="1">
        <f t="shared" ca="1" si="14"/>
        <v>43239</v>
      </c>
      <c r="Q86">
        <f t="shared" ca="1" si="15"/>
        <v>47</v>
      </c>
      <c r="Y86">
        <v>1</v>
      </c>
      <c r="Z86" t="str">
        <f t="shared" ca="1" si="8"/>
        <v>14554</v>
      </c>
      <c r="AA86" t="str">
        <f t="shared" si="9"/>
        <v>Seddiner See</v>
      </c>
      <c r="AB86" t="str">
        <f t="shared" si="10"/>
        <v>Johann-Wolfgang-von-Goethe-Straße</v>
      </c>
      <c r="AC86" t="str" cm="1">
        <f t="array" ref="AC86">ErzeugeHausnummer()</f>
        <v>9</v>
      </c>
      <c r="AD86">
        <v>1</v>
      </c>
      <c r="AF86">
        <v>1</v>
      </c>
      <c r="AG86" s="6" t="str">
        <f t="shared" si="11"/>
        <v>033205</v>
      </c>
      <c r="AH86" t="str">
        <f t="shared" ca="1" si="12"/>
        <v>6331</v>
      </c>
      <c r="AI86">
        <v>1</v>
      </c>
      <c r="AK86">
        <v>2</v>
      </c>
      <c r="AN86">
        <v>1</v>
      </c>
      <c r="AU86">
        <v>1</v>
      </c>
    </row>
    <row r="87" spans="1:47" x14ac:dyDescent="0.45">
      <c r="A87">
        <v>85</v>
      </c>
      <c r="B87">
        <v>109</v>
      </c>
      <c r="C87">
        <v>187</v>
      </c>
      <c r="D87" t="s">
        <v>0</v>
      </c>
      <c r="E87" t="s">
        <v>92</v>
      </c>
      <c r="F87" t="s">
        <v>112</v>
      </c>
      <c r="G87" s="1">
        <v>19722</v>
      </c>
      <c r="H87" s="11">
        <f t="shared" ca="1" si="13"/>
        <v>70</v>
      </c>
      <c r="I87" t="s">
        <v>624</v>
      </c>
      <c r="P87" s="1">
        <f t="shared" ca="1" si="14"/>
        <v>32048</v>
      </c>
      <c r="Q87">
        <f t="shared" ca="1" si="15"/>
        <v>33</v>
      </c>
      <c r="R87" s="1">
        <f>DATE(IF(MONTH(G87)=12,YEAR(G87)+66,YEAR(G87)+65),IF(MONTH(G87)=12,1,MONTH(G87)+1),1)</f>
        <v>43466</v>
      </c>
      <c r="S87" t="s">
        <v>1022</v>
      </c>
      <c r="Y87">
        <v>1</v>
      </c>
      <c r="Z87" t="str">
        <f t="shared" ca="1" si="8"/>
        <v>12679</v>
      </c>
      <c r="AA87" t="str">
        <f t="shared" si="9"/>
        <v>Berlin</v>
      </c>
      <c r="AB87" t="str">
        <f t="shared" si="10"/>
        <v>Mexikostraße</v>
      </c>
      <c r="AC87" t="str" cm="1">
        <f t="array" ref="AC87">ErzeugeHausnummer()</f>
        <v>21C</v>
      </c>
      <c r="AD87">
        <v>1</v>
      </c>
      <c r="AF87">
        <v>1</v>
      </c>
      <c r="AG87" s="6" t="str">
        <f t="shared" si="11"/>
        <v>030</v>
      </c>
      <c r="AH87" t="str">
        <f t="shared" ca="1" si="12"/>
        <v>51146305</v>
      </c>
      <c r="AI87">
        <v>1</v>
      </c>
      <c r="AK87">
        <v>2</v>
      </c>
      <c r="AN87">
        <v>1</v>
      </c>
      <c r="AU87">
        <v>1</v>
      </c>
    </row>
    <row r="88" spans="1:47" x14ac:dyDescent="0.45">
      <c r="A88">
        <v>86</v>
      </c>
      <c r="B88">
        <v>67</v>
      </c>
      <c r="C88">
        <v>223</v>
      </c>
      <c r="D88" t="s">
        <v>3</v>
      </c>
      <c r="E88" t="s">
        <v>113</v>
      </c>
      <c r="F88" t="s">
        <v>114</v>
      </c>
      <c r="G88" s="1">
        <v>24033</v>
      </c>
      <c r="H88" s="11">
        <f t="shared" ca="1" si="13"/>
        <v>59</v>
      </c>
      <c r="I88" t="s">
        <v>626</v>
      </c>
      <c r="J88" s="1">
        <v>36595</v>
      </c>
      <c r="P88" s="1">
        <f t="shared" ca="1" si="14"/>
        <v>37710</v>
      </c>
      <c r="Q88">
        <f t="shared" ca="1" si="15"/>
        <v>38</v>
      </c>
      <c r="Y88">
        <v>1</v>
      </c>
      <c r="Z88" t="str">
        <f t="shared" ca="1" si="8"/>
        <v>13597</v>
      </c>
      <c r="AA88" t="str">
        <f t="shared" si="9"/>
        <v>Berlin</v>
      </c>
      <c r="AB88" t="str">
        <f t="shared" si="10"/>
        <v>Postplatz</v>
      </c>
      <c r="AC88" t="str" cm="1">
        <f t="array" ref="AC88">ErzeugeHausnummer()</f>
        <v>42F</v>
      </c>
      <c r="AD88">
        <v>1</v>
      </c>
      <c r="AF88">
        <v>1</v>
      </c>
      <c r="AG88" s="6" t="str">
        <f t="shared" si="11"/>
        <v>030</v>
      </c>
      <c r="AH88" t="str">
        <f t="shared" ca="1" si="12"/>
        <v>55543900</v>
      </c>
      <c r="AI88">
        <v>1</v>
      </c>
      <c r="AK88">
        <v>2</v>
      </c>
      <c r="AN88">
        <v>1</v>
      </c>
      <c r="AU88">
        <v>1</v>
      </c>
    </row>
    <row r="89" spans="1:47" x14ac:dyDescent="0.45">
      <c r="A89">
        <v>87</v>
      </c>
      <c r="B89">
        <v>119</v>
      </c>
      <c r="C89">
        <v>147</v>
      </c>
      <c r="D89" t="s">
        <v>0</v>
      </c>
      <c r="E89" t="s">
        <v>83</v>
      </c>
      <c r="F89" t="s">
        <v>115</v>
      </c>
      <c r="G89" s="1">
        <v>20404</v>
      </c>
      <c r="H89" s="11">
        <f t="shared" ca="1" si="13"/>
        <v>69</v>
      </c>
      <c r="I89" t="s">
        <v>627</v>
      </c>
      <c r="J89" s="1">
        <v>44035</v>
      </c>
      <c r="P89" s="1">
        <f t="shared" ca="1" si="14"/>
        <v>38347</v>
      </c>
      <c r="Q89">
        <f t="shared" ca="1" si="15"/>
        <v>49</v>
      </c>
      <c r="R89" s="1">
        <f>DATE(IF(MONTH(G89)=12,YEAR(G89)+66,YEAR(G89)+65),IF(MONTH(G89)=12,1,MONTH(G89)+1),1)</f>
        <v>44166</v>
      </c>
      <c r="S89" t="s">
        <v>1022</v>
      </c>
      <c r="Y89">
        <v>1</v>
      </c>
      <c r="Z89" t="str">
        <f t="shared" ca="1" si="8"/>
        <v>13435</v>
      </c>
      <c r="AA89" t="str">
        <f t="shared" si="9"/>
        <v>Berlin</v>
      </c>
      <c r="AB89" t="str">
        <f t="shared" si="10"/>
        <v>Kastanienweg</v>
      </c>
      <c r="AC89" t="str" cm="1">
        <f t="array" ref="AC89">ErzeugeHausnummer()</f>
        <v>27</v>
      </c>
      <c r="AD89">
        <v>1</v>
      </c>
      <c r="AF89">
        <v>1</v>
      </c>
      <c r="AG89" s="6" t="str">
        <f t="shared" si="11"/>
        <v>030</v>
      </c>
      <c r="AH89" t="str">
        <f t="shared" ca="1" si="12"/>
        <v>63006060</v>
      </c>
      <c r="AI89">
        <v>1</v>
      </c>
      <c r="AK89">
        <v>2</v>
      </c>
      <c r="AN89">
        <v>1</v>
      </c>
      <c r="AU89">
        <v>1</v>
      </c>
    </row>
    <row r="90" spans="1:47" x14ac:dyDescent="0.45">
      <c r="A90">
        <v>88</v>
      </c>
      <c r="B90">
        <v>23</v>
      </c>
      <c r="C90">
        <v>144</v>
      </c>
      <c r="D90" t="s">
        <v>3</v>
      </c>
      <c r="E90" t="s">
        <v>116</v>
      </c>
      <c r="F90" t="s">
        <v>117</v>
      </c>
      <c r="G90" s="1">
        <v>31192</v>
      </c>
      <c r="H90" s="11">
        <f t="shared" ca="1" si="13"/>
        <v>38</v>
      </c>
      <c r="I90" t="s">
        <v>626</v>
      </c>
      <c r="J90" s="1">
        <v>41814</v>
      </c>
      <c r="P90" s="1">
        <f t="shared" ca="1" si="14"/>
        <v>41468</v>
      </c>
      <c r="Q90">
        <f t="shared" ca="1" si="15"/>
        <v>27</v>
      </c>
      <c r="Y90">
        <v>1</v>
      </c>
      <c r="Z90" t="str">
        <f t="shared" ca="1" si="8"/>
        <v>10707</v>
      </c>
      <c r="AA90" t="str">
        <f t="shared" si="9"/>
        <v>Berlin</v>
      </c>
      <c r="AB90" t="str">
        <f t="shared" si="10"/>
        <v>Karlstraße</v>
      </c>
      <c r="AC90" t="str" cm="1">
        <f t="array" ref="AC90">ErzeugeHausnummer()</f>
        <v>62D</v>
      </c>
      <c r="AD90">
        <v>1</v>
      </c>
      <c r="AF90">
        <v>1</v>
      </c>
      <c r="AG90" s="6" t="str">
        <f t="shared" si="11"/>
        <v>030</v>
      </c>
      <c r="AH90" t="str">
        <f t="shared" ca="1" si="12"/>
        <v>86022052</v>
      </c>
      <c r="AI90">
        <v>1</v>
      </c>
      <c r="AK90">
        <v>2</v>
      </c>
      <c r="AN90">
        <v>1</v>
      </c>
      <c r="AU90">
        <v>1</v>
      </c>
    </row>
    <row r="91" spans="1:47" x14ac:dyDescent="0.45">
      <c r="A91">
        <v>89</v>
      </c>
      <c r="B91">
        <v>56</v>
      </c>
      <c r="C91">
        <v>38</v>
      </c>
      <c r="D91" t="s">
        <v>0</v>
      </c>
      <c r="E91" t="s">
        <v>118</v>
      </c>
      <c r="F91" t="s">
        <v>119</v>
      </c>
      <c r="G91" s="1">
        <v>30191</v>
      </c>
      <c r="H91" s="11">
        <f t="shared" ca="1" si="13"/>
        <v>41</v>
      </c>
      <c r="I91" t="s">
        <v>626</v>
      </c>
      <c r="J91" s="1">
        <v>44270</v>
      </c>
      <c r="P91" s="1">
        <f t="shared" ca="1" si="14"/>
        <v>47347</v>
      </c>
      <c r="Q91">
        <f t="shared" ca="1" si="15"/>
        <v>46</v>
      </c>
      <c r="Y91">
        <v>1</v>
      </c>
      <c r="Z91" t="str">
        <f t="shared" ca="1" si="8"/>
        <v>13597</v>
      </c>
      <c r="AA91" t="str">
        <f t="shared" si="9"/>
        <v>Berlin</v>
      </c>
      <c r="AB91" t="str">
        <f t="shared" si="10"/>
        <v>Bergweg</v>
      </c>
      <c r="AC91" t="str" cm="1">
        <f t="array" ref="AC91">ErzeugeHausnummer()</f>
        <v>24</v>
      </c>
      <c r="AD91">
        <v>1</v>
      </c>
      <c r="AF91">
        <v>1</v>
      </c>
      <c r="AG91" s="6" t="str">
        <f t="shared" si="11"/>
        <v>030</v>
      </c>
      <c r="AH91" t="str">
        <f t="shared" ca="1" si="12"/>
        <v>46727434</v>
      </c>
      <c r="AI91">
        <v>1</v>
      </c>
      <c r="AK91">
        <v>2</v>
      </c>
      <c r="AN91">
        <v>1</v>
      </c>
      <c r="AU91">
        <v>1</v>
      </c>
    </row>
    <row r="92" spans="1:47" x14ac:dyDescent="0.45">
      <c r="A92">
        <v>90</v>
      </c>
      <c r="B92">
        <v>169</v>
      </c>
      <c r="C92">
        <v>277</v>
      </c>
      <c r="D92" t="s">
        <v>3</v>
      </c>
      <c r="E92" t="s">
        <v>120</v>
      </c>
      <c r="F92" t="s">
        <v>121</v>
      </c>
      <c r="G92" s="1">
        <v>30187</v>
      </c>
      <c r="H92" s="11">
        <f t="shared" ca="1" si="13"/>
        <v>41</v>
      </c>
      <c r="I92" t="s">
        <v>624</v>
      </c>
      <c r="P92" s="1">
        <f t="shared" ca="1" si="14"/>
        <v>45715</v>
      </c>
      <c r="Q92">
        <f t="shared" ca="1" si="15"/>
        <v>43</v>
      </c>
      <c r="Y92">
        <v>1</v>
      </c>
      <c r="Z92" t="str">
        <f t="shared" ca="1" si="8"/>
        <v>14624</v>
      </c>
      <c r="AA92" t="str">
        <f t="shared" si="9"/>
        <v>Dallgow</v>
      </c>
      <c r="AB92" t="str">
        <f t="shared" si="10"/>
        <v>Tannenweg</v>
      </c>
      <c r="AC92" t="str" cm="1">
        <f t="array" ref="AC92">ErzeugeHausnummer()</f>
        <v>77E/F</v>
      </c>
      <c r="AD92">
        <v>1</v>
      </c>
      <c r="AF92">
        <v>1</v>
      </c>
      <c r="AG92" s="6" t="str">
        <f t="shared" si="11"/>
        <v>03322</v>
      </c>
      <c r="AH92" t="str">
        <f t="shared" ca="1" si="12"/>
        <v>55539</v>
      </c>
      <c r="AI92">
        <v>1</v>
      </c>
      <c r="AK92">
        <v>2</v>
      </c>
      <c r="AN92">
        <v>1</v>
      </c>
      <c r="AU92">
        <v>1</v>
      </c>
    </row>
    <row r="93" spans="1:47" x14ac:dyDescent="0.45">
      <c r="A93">
        <v>91</v>
      </c>
      <c r="B93">
        <v>76</v>
      </c>
      <c r="C93">
        <v>70</v>
      </c>
      <c r="D93" t="s">
        <v>0</v>
      </c>
      <c r="E93" t="s">
        <v>122</v>
      </c>
      <c r="F93" t="s">
        <v>123</v>
      </c>
      <c r="G93" s="1">
        <v>32684</v>
      </c>
      <c r="H93" s="11">
        <f t="shared" ca="1" si="13"/>
        <v>34</v>
      </c>
      <c r="I93" t="s">
        <v>626</v>
      </c>
      <c r="J93" s="1">
        <v>45209</v>
      </c>
      <c r="P93" s="1">
        <f t="shared" ca="1" si="14"/>
        <v>49507</v>
      </c>
      <c r="Q93">
        <f t="shared" ca="1" si="15"/>
        <v>45</v>
      </c>
      <c r="Y93">
        <v>1</v>
      </c>
      <c r="Z93" t="str">
        <f t="shared" ca="1" si="8"/>
        <v>14050</v>
      </c>
      <c r="AA93" t="str">
        <f t="shared" si="9"/>
        <v>Berlin</v>
      </c>
      <c r="AB93" t="str">
        <f t="shared" si="10"/>
        <v>Eichenweg</v>
      </c>
      <c r="AC93" t="str" cm="1">
        <f t="array" ref="AC93">ErzeugeHausnummer()</f>
        <v>34</v>
      </c>
      <c r="AD93">
        <v>1</v>
      </c>
      <c r="AF93">
        <v>1</v>
      </c>
      <c r="AG93" s="6" t="str">
        <f t="shared" si="11"/>
        <v>030</v>
      </c>
      <c r="AH93" t="str">
        <f t="shared" ca="1" si="12"/>
        <v>67637053</v>
      </c>
      <c r="AI93">
        <v>1</v>
      </c>
      <c r="AK93">
        <v>2</v>
      </c>
      <c r="AN93">
        <v>1</v>
      </c>
      <c r="AU93">
        <v>1</v>
      </c>
    </row>
    <row r="94" spans="1:47" x14ac:dyDescent="0.45">
      <c r="A94">
        <v>92</v>
      </c>
      <c r="B94">
        <v>41</v>
      </c>
      <c r="C94">
        <v>24</v>
      </c>
      <c r="D94" t="s">
        <v>3</v>
      </c>
      <c r="E94" t="s">
        <v>124</v>
      </c>
      <c r="F94" t="s">
        <v>125</v>
      </c>
      <c r="G94" s="1">
        <v>24538</v>
      </c>
      <c r="H94" s="11">
        <f t="shared" ca="1" si="13"/>
        <v>57</v>
      </c>
      <c r="I94" t="s">
        <v>625</v>
      </c>
      <c r="J94" s="1">
        <v>38922</v>
      </c>
      <c r="P94" s="1">
        <f t="shared" ca="1" si="14"/>
        <v>35608</v>
      </c>
      <c r="Q94">
        <f t="shared" ca="1" si="15"/>
        <v>30</v>
      </c>
      <c r="Y94">
        <v>1</v>
      </c>
      <c r="Z94" t="str">
        <f t="shared" ca="1" si="8"/>
        <v>13581</v>
      </c>
      <c r="AA94" t="str">
        <f t="shared" si="9"/>
        <v>Berlin</v>
      </c>
      <c r="AB94" t="str">
        <f t="shared" si="10"/>
        <v>August-Bebel-Straße</v>
      </c>
      <c r="AC94" t="str" cm="1">
        <f t="array" ref="AC94">ErzeugeHausnummer()</f>
        <v>20B</v>
      </c>
      <c r="AD94">
        <v>1</v>
      </c>
      <c r="AF94">
        <v>1</v>
      </c>
      <c r="AG94" s="6" t="str">
        <f t="shared" si="11"/>
        <v>030</v>
      </c>
      <c r="AH94" t="str">
        <f t="shared" ca="1" si="12"/>
        <v>66712530</v>
      </c>
      <c r="AI94">
        <v>1</v>
      </c>
      <c r="AK94">
        <v>2</v>
      </c>
      <c r="AN94">
        <v>1</v>
      </c>
      <c r="AU94">
        <v>1</v>
      </c>
    </row>
    <row r="95" spans="1:47" x14ac:dyDescent="0.45">
      <c r="A95">
        <v>93</v>
      </c>
      <c r="B95">
        <v>195</v>
      </c>
      <c r="C95">
        <v>181</v>
      </c>
      <c r="D95" t="s">
        <v>0</v>
      </c>
      <c r="E95" t="s">
        <v>126</v>
      </c>
      <c r="F95" t="s">
        <v>127</v>
      </c>
      <c r="G95" s="1">
        <v>24340</v>
      </c>
      <c r="H95" s="11">
        <f t="shared" ca="1" si="13"/>
        <v>58</v>
      </c>
      <c r="I95" t="s">
        <v>627</v>
      </c>
      <c r="J95" s="1">
        <v>44170</v>
      </c>
      <c r="P95" s="1">
        <f t="shared" ca="1" si="14"/>
        <v>38232</v>
      </c>
      <c r="Q95">
        <f t="shared" ca="1" si="15"/>
        <v>37</v>
      </c>
      <c r="Y95">
        <v>1</v>
      </c>
      <c r="Z95" t="str">
        <f t="shared" ca="1" si="8"/>
        <v>14778</v>
      </c>
      <c r="AA95" t="str">
        <f t="shared" si="9"/>
        <v>Beetzsee</v>
      </c>
      <c r="AB95" t="str">
        <f t="shared" si="10"/>
        <v>Marktstraße</v>
      </c>
      <c r="AC95" t="str" cm="1">
        <f t="array" ref="AC95">ErzeugeHausnummer()</f>
        <v>9D</v>
      </c>
      <c r="AD95">
        <v>1</v>
      </c>
      <c r="AF95">
        <v>1</v>
      </c>
      <c r="AG95" s="6" t="str">
        <f t="shared" si="11"/>
        <v>03381</v>
      </c>
      <c r="AH95" t="str">
        <f t="shared" ca="1" si="12"/>
        <v>64634</v>
      </c>
      <c r="AI95">
        <v>1</v>
      </c>
      <c r="AK95">
        <v>2</v>
      </c>
      <c r="AN95">
        <v>1</v>
      </c>
      <c r="AU95">
        <v>1</v>
      </c>
    </row>
    <row r="96" spans="1:47" x14ac:dyDescent="0.45">
      <c r="A96">
        <v>94</v>
      </c>
      <c r="B96">
        <v>107</v>
      </c>
      <c r="C96">
        <v>296</v>
      </c>
      <c r="D96" t="s">
        <v>3</v>
      </c>
      <c r="E96" t="s">
        <v>128</v>
      </c>
      <c r="F96" t="s">
        <v>129</v>
      </c>
      <c r="G96" s="1">
        <v>26785</v>
      </c>
      <c r="H96" s="11">
        <f t="shared" ca="1" si="13"/>
        <v>51</v>
      </c>
      <c r="I96" t="s">
        <v>624</v>
      </c>
      <c r="P96" s="1">
        <f t="shared" ca="1" si="14"/>
        <v>33811</v>
      </c>
      <c r="Q96">
        <f t="shared" ca="1" si="15"/>
        <v>19</v>
      </c>
      <c r="Y96">
        <v>1</v>
      </c>
      <c r="Z96" t="str">
        <f t="shared" ca="1" si="8"/>
        <v>12587</v>
      </c>
      <c r="AA96" t="str">
        <f t="shared" si="9"/>
        <v>Berlin</v>
      </c>
      <c r="AB96" t="str">
        <f t="shared" si="10"/>
        <v>Wiener Straße</v>
      </c>
      <c r="AC96" t="str" cm="1">
        <f t="array" ref="AC96">ErzeugeHausnummer()</f>
        <v>15E</v>
      </c>
      <c r="AD96">
        <v>1</v>
      </c>
      <c r="AF96">
        <v>1</v>
      </c>
      <c r="AG96" s="6" t="str">
        <f t="shared" si="11"/>
        <v>030</v>
      </c>
      <c r="AH96" t="str">
        <f t="shared" ca="1" si="12"/>
        <v>45753413</v>
      </c>
      <c r="AI96">
        <v>1</v>
      </c>
      <c r="AK96">
        <v>2</v>
      </c>
      <c r="AN96">
        <v>1</v>
      </c>
      <c r="AU96">
        <v>1</v>
      </c>
    </row>
    <row r="97" spans="1:47" x14ac:dyDescent="0.45">
      <c r="A97">
        <v>95</v>
      </c>
      <c r="B97">
        <v>63</v>
      </c>
      <c r="C97">
        <v>279</v>
      </c>
      <c r="D97" t="s">
        <v>0</v>
      </c>
      <c r="E97" t="s">
        <v>130</v>
      </c>
      <c r="F97" t="s">
        <v>131</v>
      </c>
      <c r="G97" s="1">
        <v>22257</v>
      </c>
      <c r="H97" s="11">
        <f t="shared" ca="1" si="13"/>
        <v>64</v>
      </c>
      <c r="I97" t="s">
        <v>626</v>
      </c>
      <c r="J97" s="1">
        <v>36049</v>
      </c>
      <c r="P97" s="1">
        <f t="shared" ca="1" si="14"/>
        <v>36015</v>
      </c>
      <c r="Q97">
        <f t="shared" ca="1" si="15"/>
        <v>38</v>
      </c>
      <c r="R97" s="1">
        <f>DATE(IF(MONTH(G97)=12,YEAR(G97)+66,YEAR(G97)+65),IF(MONTH(G97)=12,1,MONTH(G97)+1),1)</f>
        <v>46023</v>
      </c>
      <c r="S97" t="s">
        <v>1022</v>
      </c>
      <c r="Y97">
        <v>1</v>
      </c>
      <c r="Z97" t="str">
        <f t="shared" ca="1" si="8"/>
        <v>13597</v>
      </c>
      <c r="AA97" t="str">
        <f t="shared" si="9"/>
        <v>Berlin</v>
      </c>
      <c r="AB97" t="str">
        <f t="shared" si="10"/>
        <v>Theodor-Heuss-Allee</v>
      </c>
      <c r="AC97" t="str" cm="1">
        <f t="array" ref="AC97">ErzeugeHausnummer()</f>
        <v>8</v>
      </c>
      <c r="AD97">
        <v>1</v>
      </c>
      <c r="AF97">
        <v>1</v>
      </c>
      <c r="AG97" s="6" t="str">
        <f t="shared" si="11"/>
        <v>030</v>
      </c>
      <c r="AH97" t="str">
        <f t="shared" ca="1" si="12"/>
        <v>48685466</v>
      </c>
      <c r="AI97">
        <v>1</v>
      </c>
      <c r="AK97">
        <v>2</v>
      </c>
      <c r="AN97">
        <v>1</v>
      </c>
      <c r="AU97">
        <v>1</v>
      </c>
    </row>
    <row r="98" spans="1:47" x14ac:dyDescent="0.45">
      <c r="A98">
        <v>96</v>
      </c>
      <c r="B98">
        <v>122</v>
      </c>
      <c r="C98">
        <v>302</v>
      </c>
      <c r="D98" t="s">
        <v>3</v>
      </c>
      <c r="E98" t="s">
        <v>132</v>
      </c>
      <c r="F98" t="s">
        <v>133</v>
      </c>
      <c r="G98" s="1">
        <v>25906</v>
      </c>
      <c r="H98" s="11">
        <f t="shared" ca="1" si="13"/>
        <v>54</v>
      </c>
      <c r="I98" t="s">
        <v>625</v>
      </c>
      <c r="J98" s="1">
        <v>39987</v>
      </c>
      <c r="P98" s="1">
        <f t="shared" ca="1" si="14"/>
        <v>42953</v>
      </c>
      <c r="Q98">
        <f t="shared" ca="1" si="15"/>
        <v>47</v>
      </c>
      <c r="Y98">
        <v>1</v>
      </c>
      <c r="Z98" t="str">
        <f t="shared" ca="1" si="8"/>
        <v>13435</v>
      </c>
      <c r="AA98" t="str">
        <f t="shared" si="9"/>
        <v>Berlin</v>
      </c>
      <c r="AB98" t="str">
        <f t="shared" si="10"/>
        <v>Züricher Allee</v>
      </c>
      <c r="AC98" t="str" cm="1">
        <f t="array" ref="AC98">ErzeugeHausnummer()</f>
        <v>10</v>
      </c>
      <c r="AD98">
        <v>1</v>
      </c>
      <c r="AF98">
        <v>1</v>
      </c>
      <c r="AG98" s="6" t="str">
        <f t="shared" si="11"/>
        <v>030</v>
      </c>
      <c r="AH98" t="str">
        <f t="shared" ca="1" si="12"/>
        <v>61269622</v>
      </c>
      <c r="AI98">
        <v>1</v>
      </c>
      <c r="AK98">
        <v>2</v>
      </c>
      <c r="AN98">
        <v>1</v>
      </c>
      <c r="AU98">
        <v>1</v>
      </c>
    </row>
    <row r="99" spans="1:47" x14ac:dyDescent="0.45">
      <c r="A99">
        <v>97</v>
      </c>
      <c r="B99">
        <v>78</v>
      </c>
      <c r="C99">
        <v>6</v>
      </c>
      <c r="D99" t="s">
        <v>0</v>
      </c>
      <c r="E99" t="s">
        <v>134</v>
      </c>
      <c r="F99" t="s">
        <v>135</v>
      </c>
      <c r="G99" s="1">
        <v>34062</v>
      </c>
      <c r="H99" s="11">
        <f t="shared" ca="1" si="13"/>
        <v>31</v>
      </c>
      <c r="I99" t="s">
        <v>626</v>
      </c>
      <c r="J99" s="1">
        <v>48265</v>
      </c>
      <c r="P99" s="1">
        <f t="shared" ca="1" si="14"/>
        <v>44565</v>
      </c>
      <c r="Q99">
        <f t="shared" ca="1" si="15"/>
        <v>29</v>
      </c>
      <c r="Y99">
        <v>1</v>
      </c>
      <c r="Z99" t="str">
        <f t="shared" ca="1" si="8"/>
        <v>14050</v>
      </c>
      <c r="AA99" t="str">
        <f t="shared" si="9"/>
        <v>Berlin</v>
      </c>
      <c r="AB99" t="str">
        <f t="shared" si="10"/>
        <v>Allee</v>
      </c>
      <c r="AC99" t="str" cm="1">
        <f t="array" ref="AC99">ErzeugeHausnummer()</f>
        <v>11</v>
      </c>
      <c r="AD99">
        <v>1</v>
      </c>
      <c r="AF99">
        <v>1</v>
      </c>
      <c r="AG99" s="6" t="str">
        <f t="shared" si="11"/>
        <v>030</v>
      </c>
      <c r="AH99" t="str">
        <f t="shared" ca="1" si="12"/>
        <v>45831489</v>
      </c>
      <c r="AI99">
        <v>1</v>
      </c>
      <c r="AK99">
        <v>2</v>
      </c>
      <c r="AN99">
        <v>1</v>
      </c>
      <c r="AU99">
        <v>1</v>
      </c>
    </row>
    <row r="100" spans="1:47" x14ac:dyDescent="0.45">
      <c r="A100">
        <v>98</v>
      </c>
      <c r="B100">
        <v>189</v>
      </c>
      <c r="C100">
        <v>35</v>
      </c>
      <c r="D100" t="s">
        <v>3</v>
      </c>
      <c r="E100" t="s">
        <v>136</v>
      </c>
      <c r="F100" t="s">
        <v>137</v>
      </c>
      <c r="G100" s="1">
        <v>30488</v>
      </c>
      <c r="H100" s="11">
        <f t="shared" ca="1" si="13"/>
        <v>41</v>
      </c>
      <c r="I100" t="s">
        <v>624</v>
      </c>
      <c r="P100" s="1">
        <f t="shared" ca="1" si="14"/>
        <v>40426</v>
      </c>
      <c r="Q100">
        <f t="shared" ca="1" si="15"/>
        <v>26</v>
      </c>
      <c r="Y100">
        <v>1</v>
      </c>
      <c r="Z100" t="str">
        <f t="shared" ca="1" si="8"/>
        <v>14547</v>
      </c>
      <c r="AA100" t="str">
        <f t="shared" si="9"/>
        <v>Klosterdorf</v>
      </c>
      <c r="AB100" t="str">
        <f t="shared" si="10"/>
        <v>Beethovenweg</v>
      </c>
      <c r="AC100" t="str" cm="1">
        <f t="array" ref="AC100">ErzeugeHausnummer()</f>
        <v>24</v>
      </c>
      <c r="AD100">
        <v>1</v>
      </c>
      <c r="AF100">
        <v>1</v>
      </c>
      <c r="AG100" s="6" t="str">
        <f t="shared" si="11"/>
        <v>033206</v>
      </c>
      <c r="AH100" t="str">
        <f t="shared" ca="1" si="12"/>
        <v>5793</v>
      </c>
      <c r="AI100">
        <v>1</v>
      </c>
      <c r="AK100">
        <v>2</v>
      </c>
      <c r="AN100">
        <v>1</v>
      </c>
      <c r="AU100">
        <v>1</v>
      </c>
    </row>
    <row r="101" spans="1:47" x14ac:dyDescent="0.45">
      <c r="A101">
        <v>99</v>
      </c>
      <c r="B101">
        <v>19</v>
      </c>
      <c r="C101">
        <v>284</v>
      </c>
      <c r="D101" t="s">
        <v>0</v>
      </c>
      <c r="E101" t="s">
        <v>138</v>
      </c>
      <c r="F101" t="s">
        <v>139</v>
      </c>
      <c r="G101" s="1">
        <v>26490</v>
      </c>
      <c r="H101" s="11">
        <f t="shared" ca="1" si="13"/>
        <v>52</v>
      </c>
      <c r="I101" t="s">
        <v>625</v>
      </c>
      <c r="J101" s="1">
        <v>39919</v>
      </c>
      <c r="P101" s="1">
        <f t="shared" ca="1" si="14"/>
        <v>35015</v>
      </c>
      <c r="Q101">
        <f t="shared" ca="1" si="15"/>
        <v>23</v>
      </c>
      <c r="Y101">
        <v>1</v>
      </c>
      <c r="Z101" t="str">
        <f t="shared" ca="1" si="8"/>
        <v>10585</v>
      </c>
      <c r="AA101" t="str">
        <f t="shared" si="9"/>
        <v>Berlin</v>
      </c>
      <c r="AB101" t="str">
        <f t="shared" si="10"/>
        <v>Ulmenweg</v>
      </c>
      <c r="AC101" t="str" cm="1">
        <f t="array" ref="AC101">ErzeugeHausnummer()</f>
        <v>7</v>
      </c>
      <c r="AD101">
        <v>1</v>
      </c>
      <c r="AF101">
        <v>1</v>
      </c>
      <c r="AG101" s="6" t="str">
        <f t="shared" si="11"/>
        <v>030</v>
      </c>
      <c r="AH101" t="str">
        <f t="shared" ca="1" si="12"/>
        <v>48835405</v>
      </c>
      <c r="AI101">
        <v>1</v>
      </c>
      <c r="AK101">
        <v>2</v>
      </c>
      <c r="AN101">
        <v>1</v>
      </c>
      <c r="AU101">
        <v>1</v>
      </c>
    </row>
    <row r="102" spans="1:47" x14ac:dyDescent="0.45">
      <c r="A102">
        <v>100</v>
      </c>
      <c r="B102">
        <v>135</v>
      </c>
      <c r="C102">
        <v>87</v>
      </c>
      <c r="D102" t="s">
        <v>3</v>
      </c>
      <c r="E102" t="s">
        <v>140</v>
      </c>
      <c r="F102" t="s">
        <v>141</v>
      </c>
      <c r="G102" s="1">
        <v>30364</v>
      </c>
      <c r="H102" s="11">
        <f t="shared" ca="1" si="13"/>
        <v>41</v>
      </c>
      <c r="I102" t="s">
        <v>629</v>
      </c>
      <c r="J102" s="1">
        <v>43312</v>
      </c>
      <c r="P102" s="1">
        <f t="shared" ca="1" si="14"/>
        <v>45631</v>
      </c>
      <c r="Q102">
        <f t="shared" ca="1" si="15"/>
        <v>40</v>
      </c>
      <c r="Y102">
        <v>1</v>
      </c>
      <c r="Z102" t="str">
        <f t="shared" ca="1" si="8"/>
        <v>14558</v>
      </c>
      <c r="AA102" t="str">
        <f t="shared" si="9"/>
        <v>Nuthetal</v>
      </c>
      <c r="AB102" t="str">
        <f t="shared" si="10"/>
        <v>Friedrich-Dürrenmatt-Straße</v>
      </c>
      <c r="AC102" t="str" cm="1">
        <f t="array" ref="AC102">ErzeugeHausnummer()</f>
        <v>36C</v>
      </c>
      <c r="AD102">
        <v>1</v>
      </c>
      <c r="AF102">
        <v>1</v>
      </c>
      <c r="AG102" s="6" t="str">
        <f t="shared" si="11"/>
        <v>033200</v>
      </c>
      <c r="AH102" t="str">
        <f t="shared" ca="1" si="12"/>
        <v>6880</v>
      </c>
      <c r="AI102">
        <v>1</v>
      </c>
      <c r="AK102">
        <v>2</v>
      </c>
      <c r="AN102">
        <v>1</v>
      </c>
      <c r="AU102">
        <v>1</v>
      </c>
    </row>
    <row r="103" spans="1:47" x14ac:dyDescent="0.45">
      <c r="A103">
        <v>101</v>
      </c>
      <c r="B103">
        <v>32</v>
      </c>
      <c r="C103">
        <v>254</v>
      </c>
      <c r="D103" t="s">
        <v>0</v>
      </c>
      <c r="E103" t="s">
        <v>142</v>
      </c>
      <c r="F103" t="s">
        <v>143</v>
      </c>
      <c r="G103" s="1">
        <v>35146</v>
      </c>
      <c r="H103" s="11">
        <f t="shared" ca="1" si="13"/>
        <v>28</v>
      </c>
      <c r="I103" t="s">
        <v>624</v>
      </c>
      <c r="P103" s="1">
        <f t="shared" ca="1" si="14"/>
        <v>42399</v>
      </c>
      <c r="Q103">
        <f t="shared" ca="1" si="15"/>
        <v>20</v>
      </c>
      <c r="Y103">
        <v>1</v>
      </c>
      <c r="Z103" t="str">
        <f t="shared" ca="1" si="8"/>
        <v>13581</v>
      </c>
      <c r="AA103" t="str">
        <f t="shared" si="9"/>
        <v>Berlin</v>
      </c>
      <c r="AB103" t="str">
        <f t="shared" si="10"/>
        <v>Schubertstraße</v>
      </c>
      <c r="AC103" t="str" cm="1">
        <f t="array" ref="AC103">ErzeugeHausnummer()</f>
        <v>1</v>
      </c>
      <c r="AD103">
        <v>1</v>
      </c>
      <c r="AF103">
        <v>1</v>
      </c>
      <c r="AG103" s="6" t="str">
        <f t="shared" si="11"/>
        <v>030</v>
      </c>
      <c r="AH103" t="str">
        <f t="shared" ca="1" si="12"/>
        <v>68291142</v>
      </c>
      <c r="AI103">
        <v>1</v>
      </c>
      <c r="AK103">
        <v>2</v>
      </c>
      <c r="AN103">
        <v>1</v>
      </c>
      <c r="AU103">
        <v>1</v>
      </c>
    </row>
    <row r="104" spans="1:47" x14ac:dyDescent="0.45">
      <c r="A104">
        <v>102</v>
      </c>
      <c r="B104">
        <v>134</v>
      </c>
      <c r="C104">
        <v>144</v>
      </c>
      <c r="D104" t="s">
        <v>3</v>
      </c>
      <c r="E104" t="s">
        <v>144</v>
      </c>
      <c r="F104" t="s">
        <v>145</v>
      </c>
      <c r="G104" s="1">
        <v>24131</v>
      </c>
      <c r="H104" s="11">
        <f t="shared" ca="1" si="13"/>
        <v>57</v>
      </c>
      <c r="I104" t="s">
        <v>626</v>
      </c>
      <c r="J104" s="1">
        <v>35898</v>
      </c>
      <c r="P104" s="1">
        <f t="shared" ca="1" si="14"/>
        <v>34018</v>
      </c>
      <c r="Q104">
        <f t="shared" ca="1" si="15"/>
        <v>26</v>
      </c>
      <c r="Y104">
        <v>1</v>
      </c>
      <c r="Z104" t="str">
        <f t="shared" ca="1" si="8"/>
        <v>14552</v>
      </c>
      <c r="AA104" t="str">
        <f t="shared" si="9"/>
        <v>Michendorf</v>
      </c>
      <c r="AB104" t="str">
        <f t="shared" si="10"/>
        <v>Karlstraße</v>
      </c>
      <c r="AC104" t="str" cm="1">
        <f t="array" ref="AC104">ErzeugeHausnummer()</f>
        <v>3B</v>
      </c>
      <c r="AD104">
        <v>1</v>
      </c>
      <c r="AF104">
        <v>1</v>
      </c>
      <c r="AG104" s="6" t="str">
        <f t="shared" si="11"/>
        <v>033205</v>
      </c>
      <c r="AH104" t="str">
        <f t="shared" ca="1" si="12"/>
        <v>5932</v>
      </c>
      <c r="AI104">
        <v>1</v>
      </c>
      <c r="AK104">
        <v>2</v>
      </c>
      <c r="AN104">
        <v>1</v>
      </c>
      <c r="AU104">
        <v>1</v>
      </c>
    </row>
    <row r="105" spans="1:47" x14ac:dyDescent="0.45">
      <c r="A105">
        <v>103</v>
      </c>
      <c r="B105">
        <v>39</v>
      </c>
      <c r="C105">
        <v>182</v>
      </c>
      <c r="D105" t="s">
        <v>0</v>
      </c>
      <c r="E105" t="s">
        <v>146</v>
      </c>
      <c r="F105" t="s">
        <v>147</v>
      </c>
      <c r="G105" s="1">
        <v>19139</v>
      </c>
      <c r="H105" s="11">
        <f t="shared" ca="1" si="13"/>
        <v>71</v>
      </c>
      <c r="I105" t="s">
        <v>626</v>
      </c>
      <c r="J105" s="1">
        <v>27045</v>
      </c>
      <c r="P105" s="1">
        <f t="shared" ca="1" si="14"/>
        <v>31263</v>
      </c>
      <c r="Q105">
        <f t="shared" ca="1" si="15"/>
        <v>32</v>
      </c>
      <c r="R105" s="1">
        <f>DATE(IF(MONTH(G105)=12,YEAR(G105)+66,YEAR(G105)+65),IF(MONTH(G105)=12,1,MONTH(G105)+1),1)</f>
        <v>42887</v>
      </c>
      <c r="S105" t="s">
        <v>1022</v>
      </c>
      <c r="Y105">
        <v>1</v>
      </c>
      <c r="Z105" t="str">
        <f t="shared" ca="1" si="8"/>
        <v>13581</v>
      </c>
      <c r="AA105" t="str">
        <f t="shared" si="9"/>
        <v>Berlin</v>
      </c>
      <c r="AB105" t="str">
        <f t="shared" si="10"/>
        <v>Martin-Luther-Straße</v>
      </c>
      <c r="AC105" t="str" cm="1">
        <f t="array" ref="AC105">ErzeugeHausnummer()</f>
        <v>27C</v>
      </c>
      <c r="AD105">
        <v>1</v>
      </c>
      <c r="AF105">
        <v>1</v>
      </c>
      <c r="AG105" s="6" t="str">
        <f t="shared" si="11"/>
        <v>030</v>
      </c>
      <c r="AH105" t="str">
        <f t="shared" ca="1" si="12"/>
        <v>46966357</v>
      </c>
      <c r="AI105">
        <v>1</v>
      </c>
      <c r="AK105">
        <v>2</v>
      </c>
      <c r="AN105">
        <v>1</v>
      </c>
      <c r="AU105">
        <v>1</v>
      </c>
    </row>
    <row r="106" spans="1:47" x14ac:dyDescent="0.45">
      <c r="A106">
        <v>104</v>
      </c>
      <c r="B106">
        <v>144</v>
      </c>
      <c r="C106">
        <v>248</v>
      </c>
      <c r="D106" t="s">
        <v>3</v>
      </c>
      <c r="E106" t="s">
        <v>148</v>
      </c>
      <c r="F106" t="s">
        <v>149</v>
      </c>
      <c r="G106" s="1">
        <v>22811</v>
      </c>
      <c r="H106" s="11">
        <f t="shared" ca="1" si="13"/>
        <v>62</v>
      </c>
      <c r="I106" t="s">
        <v>627</v>
      </c>
      <c r="J106" s="1">
        <v>44307</v>
      </c>
      <c r="P106" s="1">
        <f t="shared" ca="1" si="14"/>
        <v>33775</v>
      </c>
      <c r="Q106">
        <f t="shared" ca="1" si="15"/>
        <v>30</v>
      </c>
      <c r="Y106">
        <v>1</v>
      </c>
      <c r="Z106" t="str">
        <f t="shared" ca="1" si="8"/>
        <v>14797</v>
      </c>
      <c r="AA106" t="str">
        <f t="shared" si="9"/>
        <v>Kloster Lehnin</v>
      </c>
      <c r="AB106" t="str">
        <f t="shared" si="10"/>
        <v>Schillerstraße</v>
      </c>
      <c r="AC106" t="str" cm="1">
        <f t="array" ref="AC106">ErzeugeHausnummer()</f>
        <v>12</v>
      </c>
      <c r="AD106">
        <v>1</v>
      </c>
      <c r="AF106">
        <v>1</v>
      </c>
      <c r="AG106" s="6" t="str">
        <f t="shared" si="11"/>
        <v>033835</v>
      </c>
      <c r="AH106" t="str">
        <f t="shared" ca="1" si="12"/>
        <v>7505</v>
      </c>
      <c r="AI106">
        <v>1</v>
      </c>
      <c r="AK106">
        <v>2</v>
      </c>
      <c r="AN106">
        <v>1</v>
      </c>
      <c r="AU106">
        <v>1</v>
      </c>
    </row>
    <row r="107" spans="1:47" x14ac:dyDescent="0.45">
      <c r="A107">
        <v>105</v>
      </c>
      <c r="B107">
        <v>142</v>
      </c>
      <c r="C107">
        <v>170</v>
      </c>
      <c r="D107" t="s">
        <v>0</v>
      </c>
      <c r="E107" t="s">
        <v>150</v>
      </c>
      <c r="F107" t="s">
        <v>151</v>
      </c>
      <c r="G107" s="1">
        <v>33686</v>
      </c>
      <c r="H107" s="11">
        <f t="shared" ca="1" si="13"/>
        <v>31</v>
      </c>
      <c r="I107" t="s">
        <v>626</v>
      </c>
      <c r="J107" s="1">
        <v>47406</v>
      </c>
      <c r="P107" s="1">
        <f t="shared" ca="1" si="14"/>
        <v>45455</v>
      </c>
      <c r="Q107">
        <f t="shared" ca="1" si="15"/>
        <v>31</v>
      </c>
      <c r="Y107">
        <v>1</v>
      </c>
      <c r="Z107" t="str">
        <f t="shared" ca="1" si="8"/>
        <v>14827</v>
      </c>
      <c r="AA107" t="str">
        <f t="shared" si="9"/>
        <v>Wiesenburg/Mark</v>
      </c>
      <c r="AB107" t="str">
        <f t="shared" si="10"/>
        <v>Los-Angeles-Straße</v>
      </c>
      <c r="AC107" t="str" cm="1">
        <f t="array" ref="AC107">ErzeugeHausnummer()</f>
        <v>11</v>
      </c>
      <c r="AD107">
        <v>1</v>
      </c>
      <c r="AF107">
        <v>1</v>
      </c>
      <c r="AG107" s="6" t="str">
        <f t="shared" si="11"/>
        <v>033849</v>
      </c>
      <c r="AH107" t="str">
        <f t="shared" ca="1" si="12"/>
        <v>7510</v>
      </c>
      <c r="AI107">
        <v>1</v>
      </c>
      <c r="AK107">
        <v>2</v>
      </c>
      <c r="AN107">
        <v>1</v>
      </c>
      <c r="AU107">
        <v>1</v>
      </c>
    </row>
    <row r="108" spans="1:47" x14ac:dyDescent="0.45">
      <c r="A108">
        <v>106</v>
      </c>
      <c r="B108">
        <v>95</v>
      </c>
      <c r="C108">
        <v>95</v>
      </c>
      <c r="D108" t="s">
        <v>3</v>
      </c>
      <c r="E108" t="s">
        <v>152</v>
      </c>
      <c r="F108" t="s">
        <v>153</v>
      </c>
      <c r="G108" s="1">
        <v>20947</v>
      </c>
      <c r="H108" s="11">
        <f t="shared" ca="1" si="13"/>
        <v>67</v>
      </c>
      <c r="I108" t="s">
        <v>624</v>
      </c>
      <c r="P108" s="1">
        <f t="shared" ca="1" si="14"/>
        <v>27635</v>
      </c>
      <c r="Q108">
        <f t="shared" ca="1" si="15"/>
        <v>18</v>
      </c>
      <c r="R108" s="1">
        <f>DATE(IF(MONTH(G108)=12,YEAR(G108)+66,YEAR(G108)+65),IF(MONTH(G108)=12,1,MONTH(G108)+1),1)</f>
        <v>44713</v>
      </c>
      <c r="S108" t="s">
        <v>1022</v>
      </c>
      <c r="Y108">
        <v>1</v>
      </c>
      <c r="Z108" t="str">
        <f t="shared" ca="1" si="8"/>
        <v>12043</v>
      </c>
      <c r="AA108" t="str">
        <f t="shared" si="9"/>
        <v>Berlin</v>
      </c>
      <c r="AB108" t="str">
        <f t="shared" si="10"/>
        <v>Georg-Friedrich-Händel-Straße</v>
      </c>
      <c r="AC108" t="str" cm="1">
        <f t="array" ref="AC108">ErzeugeHausnummer()</f>
        <v>22</v>
      </c>
      <c r="AD108">
        <v>1</v>
      </c>
      <c r="AF108">
        <v>1</v>
      </c>
      <c r="AG108" s="6" t="str">
        <f t="shared" si="11"/>
        <v>030</v>
      </c>
      <c r="AH108" t="str">
        <f t="shared" ca="1" si="12"/>
        <v>97725076</v>
      </c>
      <c r="AI108">
        <v>1</v>
      </c>
      <c r="AK108">
        <v>2</v>
      </c>
      <c r="AN108">
        <v>1</v>
      </c>
      <c r="AU108">
        <v>1</v>
      </c>
    </row>
    <row r="109" spans="1:47" x14ac:dyDescent="0.45">
      <c r="A109">
        <v>107</v>
      </c>
      <c r="B109">
        <v>199</v>
      </c>
      <c r="C109">
        <v>3</v>
      </c>
      <c r="D109" s="3" t="s">
        <v>3</v>
      </c>
      <c r="E109" s="3" t="s">
        <v>464</v>
      </c>
      <c r="F109" s="3" t="s">
        <v>326</v>
      </c>
      <c r="G109" s="1">
        <v>25672</v>
      </c>
      <c r="H109" s="11">
        <f t="shared" ca="1" si="13"/>
        <v>54</v>
      </c>
      <c r="I109" t="s">
        <v>625</v>
      </c>
      <c r="J109" s="1">
        <v>39986</v>
      </c>
      <c r="P109" s="1">
        <f t="shared" ca="1" si="14"/>
        <v>37841</v>
      </c>
      <c r="Q109">
        <f t="shared" ca="1" si="15"/>
        <v>32</v>
      </c>
      <c r="Y109">
        <v>1</v>
      </c>
      <c r="Z109" t="str">
        <f t="shared" ca="1" si="8"/>
        <v>14772</v>
      </c>
      <c r="AA109" t="str">
        <f t="shared" si="9"/>
        <v>Brandenburg an der Havel</v>
      </c>
      <c r="AB109" t="str">
        <f t="shared" si="10"/>
        <v>Akazienweg</v>
      </c>
      <c r="AC109" t="str" cm="1">
        <f t="array" ref="AC109">ErzeugeHausnummer()</f>
        <v>13C</v>
      </c>
      <c r="AD109">
        <v>1</v>
      </c>
      <c r="AF109">
        <v>1</v>
      </c>
      <c r="AG109" s="6" t="str">
        <f t="shared" si="11"/>
        <v>03381</v>
      </c>
      <c r="AH109" t="str">
        <f t="shared" ca="1" si="12"/>
        <v>84310</v>
      </c>
      <c r="AI109">
        <v>1</v>
      </c>
      <c r="AK109">
        <v>2</v>
      </c>
      <c r="AN109">
        <v>1</v>
      </c>
      <c r="AU109">
        <v>1</v>
      </c>
    </row>
    <row r="110" spans="1:47" x14ac:dyDescent="0.45">
      <c r="A110">
        <v>108</v>
      </c>
      <c r="B110">
        <v>138</v>
      </c>
      <c r="C110">
        <v>101</v>
      </c>
      <c r="D110" s="3" t="s">
        <v>3</v>
      </c>
      <c r="E110" s="3" t="s">
        <v>465</v>
      </c>
      <c r="F110" s="3" t="s">
        <v>327</v>
      </c>
      <c r="G110" s="1">
        <v>32165</v>
      </c>
      <c r="H110" s="11">
        <f t="shared" ca="1" si="13"/>
        <v>35</v>
      </c>
      <c r="I110" t="s">
        <v>626</v>
      </c>
      <c r="J110" s="1">
        <v>40609</v>
      </c>
      <c r="P110" s="1">
        <f t="shared" ca="1" si="14"/>
        <v>39248</v>
      </c>
      <c r="Q110">
        <f t="shared" ca="1" si="15"/>
        <v>18</v>
      </c>
      <c r="Y110">
        <v>1</v>
      </c>
      <c r="Z110" t="str">
        <f t="shared" ca="1" si="8"/>
        <v>14822</v>
      </c>
      <c r="AA110" t="str">
        <f t="shared" si="9"/>
        <v>Borkheide</v>
      </c>
      <c r="AB110" t="str">
        <f t="shared" si="10"/>
        <v>Gustav-Mahler-Straße</v>
      </c>
      <c r="AC110" t="str" cm="1">
        <f t="array" ref="AC110">ErzeugeHausnummer()</f>
        <v>24F/G</v>
      </c>
      <c r="AD110">
        <v>1</v>
      </c>
      <c r="AF110">
        <v>1</v>
      </c>
      <c r="AG110" s="6" t="str">
        <f t="shared" si="11"/>
        <v>033845</v>
      </c>
      <c r="AH110" t="str">
        <f t="shared" ca="1" si="12"/>
        <v>5979</v>
      </c>
      <c r="AI110">
        <v>1</v>
      </c>
      <c r="AK110">
        <v>2</v>
      </c>
      <c r="AN110">
        <v>1</v>
      </c>
      <c r="AU110">
        <v>1</v>
      </c>
    </row>
    <row r="111" spans="1:47" x14ac:dyDescent="0.45">
      <c r="A111">
        <v>109</v>
      </c>
      <c r="B111">
        <v>163</v>
      </c>
      <c r="C111">
        <v>10</v>
      </c>
      <c r="D111" s="3" t="s">
        <v>3</v>
      </c>
      <c r="E111" s="3" t="s">
        <v>466</v>
      </c>
      <c r="F111" s="3" t="s">
        <v>328</v>
      </c>
      <c r="G111" s="1">
        <v>34818</v>
      </c>
      <c r="H111" s="11">
        <f t="shared" ca="1" si="13"/>
        <v>28</v>
      </c>
      <c r="I111" t="s">
        <v>626</v>
      </c>
      <c r="J111" s="1">
        <v>47765</v>
      </c>
      <c r="P111" s="1">
        <f t="shared" ca="1" si="14"/>
        <v>41820</v>
      </c>
      <c r="Q111">
        <f t="shared" ca="1" si="15"/>
        <v>19</v>
      </c>
      <c r="Y111">
        <v>1</v>
      </c>
      <c r="Z111" t="str">
        <f t="shared" ca="1" si="8"/>
        <v>14476</v>
      </c>
      <c r="AA111" t="str">
        <f t="shared" si="9"/>
        <v>Marquardt</v>
      </c>
      <c r="AB111" t="str">
        <f t="shared" si="10"/>
        <v>Am Hang</v>
      </c>
      <c r="AC111" t="str" cm="1">
        <f t="array" ref="AC111">ErzeugeHausnummer()</f>
        <v>2</v>
      </c>
      <c r="AD111">
        <v>1</v>
      </c>
      <c r="AF111">
        <v>1</v>
      </c>
      <c r="AG111" s="6" t="str">
        <f t="shared" si="11"/>
        <v>03381</v>
      </c>
      <c r="AH111" t="str">
        <f t="shared" ca="1" si="12"/>
        <v>98188</v>
      </c>
      <c r="AI111">
        <v>1</v>
      </c>
      <c r="AK111">
        <v>2</v>
      </c>
      <c r="AN111">
        <v>1</v>
      </c>
      <c r="AU111">
        <v>1</v>
      </c>
    </row>
    <row r="112" spans="1:47" x14ac:dyDescent="0.45">
      <c r="A112">
        <v>110</v>
      </c>
      <c r="B112">
        <v>88</v>
      </c>
      <c r="C112">
        <v>190</v>
      </c>
      <c r="D112" s="3" t="s">
        <v>3</v>
      </c>
      <c r="E112" s="3" t="s">
        <v>467</v>
      </c>
      <c r="F112" s="3" t="s">
        <v>329</v>
      </c>
      <c r="G112" s="1">
        <v>35360</v>
      </c>
      <c r="H112" s="11">
        <f t="shared" ca="1" si="13"/>
        <v>28</v>
      </c>
      <c r="I112" t="s">
        <v>624</v>
      </c>
      <c r="P112" s="1">
        <f t="shared" ca="1" si="14"/>
        <v>47004</v>
      </c>
      <c r="Q112">
        <f t="shared" ca="1" si="15"/>
        <v>31</v>
      </c>
      <c r="Y112">
        <v>1</v>
      </c>
      <c r="Z112" t="str">
        <f t="shared" ca="1" si="8"/>
        <v>12101</v>
      </c>
      <c r="AA112" t="str">
        <f t="shared" si="9"/>
        <v>Berlin</v>
      </c>
      <c r="AB112" t="str">
        <f t="shared" si="10"/>
        <v>Minneapolis-Straße</v>
      </c>
      <c r="AC112" t="str" cm="1">
        <f t="array" ref="AC112">ErzeugeHausnummer()</f>
        <v>5</v>
      </c>
      <c r="AD112">
        <v>1</v>
      </c>
      <c r="AF112">
        <v>1</v>
      </c>
      <c r="AG112" s="6" t="str">
        <f t="shared" si="11"/>
        <v>030</v>
      </c>
      <c r="AH112" t="str">
        <f t="shared" ca="1" si="12"/>
        <v>77263729</v>
      </c>
      <c r="AI112">
        <v>1</v>
      </c>
      <c r="AK112">
        <v>2</v>
      </c>
      <c r="AN112">
        <v>1</v>
      </c>
      <c r="AU112">
        <v>1</v>
      </c>
    </row>
    <row r="113" spans="1:47" x14ac:dyDescent="0.45">
      <c r="A113">
        <v>111</v>
      </c>
      <c r="B113">
        <v>3</v>
      </c>
      <c r="C113">
        <v>49</v>
      </c>
      <c r="D113" s="3" t="s">
        <v>0</v>
      </c>
      <c r="E113" s="3" t="s">
        <v>468</v>
      </c>
      <c r="F113" s="3" t="s">
        <v>330</v>
      </c>
      <c r="G113" s="1">
        <v>32619</v>
      </c>
      <c r="H113" s="11">
        <f t="shared" ca="1" si="13"/>
        <v>35</v>
      </c>
      <c r="I113" t="s">
        <v>624</v>
      </c>
      <c r="P113" s="1">
        <f t="shared" ca="1" si="14"/>
        <v>40032</v>
      </c>
      <c r="Q113">
        <f t="shared" ca="1" si="15"/>
        <v>19</v>
      </c>
      <c r="Y113">
        <v>1</v>
      </c>
      <c r="Z113" t="str">
        <f t="shared" ca="1" si="8"/>
        <v>10115</v>
      </c>
      <c r="AA113" t="str">
        <f t="shared" si="9"/>
        <v>Berlin</v>
      </c>
      <c r="AB113" t="str">
        <f t="shared" si="10"/>
        <v>Brüsseler Straße</v>
      </c>
      <c r="AC113" t="str" cm="1">
        <f t="array" ref="AC113">ErzeugeHausnummer()</f>
        <v>24A</v>
      </c>
      <c r="AD113">
        <v>1</v>
      </c>
      <c r="AF113">
        <v>1</v>
      </c>
      <c r="AG113" s="6" t="str">
        <f t="shared" si="11"/>
        <v>030</v>
      </c>
      <c r="AH113" t="str">
        <f t="shared" ca="1" si="12"/>
        <v>47257431</v>
      </c>
      <c r="AI113">
        <v>1</v>
      </c>
      <c r="AK113">
        <v>2</v>
      </c>
      <c r="AN113">
        <v>1</v>
      </c>
      <c r="AU113">
        <v>1</v>
      </c>
    </row>
    <row r="114" spans="1:47" x14ac:dyDescent="0.45">
      <c r="A114">
        <v>112</v>
      </c>
      <c r="B114">
        <v>140</v>
      </c>
      <c r="C114">
        <v>15</v>
      </c>
      <c r="D114" s="3" t="s">
        <v>3</v>
      </c>
      <c r="E114" s="3" t="s">
        <v>469</v>
      </c>
      <c r="F114" s="3" t="s">
        <v>331</v>
      </c>
      <c r="G114" s="1">
        <v>29402</v>
      </c>
      <c r="H114" s="11">
        <f t="shared" ca="1" si="13"/>
        <v>43</v>
      </c>
      <c r="I114" t="s">
        <v>626</v>
      </c>
      <c r="J114" s="1">
        <v>36277</v>
      </c>
      <c r="P114" s="1">
        <f t="shared" ca="1" si="14"/>
        <v>40086</v>
      </c>
      <c r="Q114">
        <f t="shared" ca="1" si="15"/>
        <v>29</v>
      </c>
      <c r="Y114">
        <v>1</v>
      </c>
      <c r="Z114" t="str">
        <f t="shared" ca="1" si="8"/>
        <v>14822</v>
      </c>
      <c r="AA114" t="str">
        <f t="shared" si="9"/>
        <v>Brück</v>
      </c>
      <c r="AB114" t="str">
        <f t="shared" si="10"/>
        <v>Am See</v>
      </c>
      <c r="AC114" t="str" cm="1">
        <f t="array" ref="AC114">ErzeugeHausnummer()</f>
        <v>15</v>
      </c>
      <c r="AD114">
        <v>1</v>
      </c>
      <c r="AF114">
        <v>1</v>
      </c>
      <c r="AG114" s="6" t="str">
        <f t="shared" si="11"/>
        <v>033844</v>
      </c>
      <c r="AH114" t="str">
        <f t="shared" ca="1" si="12"/>
        <v>6768</v>
      </c>
      <c r="AI114">
        <v>1</v>
      </c>
      <c r="AK114">
        <v>2</v>
      </c>
      <c r="AN114">
        <v>1</v>
      </c>
      <c r="AU114">
        <v>1</v>
      </c>
    </row>
    <row r="115" spans="1:47" x14ac:dyDescent="0.45">
      <c r="A115">
        <v>113</v>
      </c>
      <c r="B115">
        <v>76</v>
      </c>
      <c r="C115">
        <v>33</v>
      </c>
      <c r="D115" s="3" t="s">
        <v>3</v>
      </c>
      <c r="E115" s="3" t="s">
        <v>470</v>
      </c>
      <c r="F115" s="3" t="s">
        <v>332</v>
      </c>
      <c r="G115" s="1">
        <v>24224</v>
      </c>
      <c r="H115" s="11">
        <f t="shared" ca="1" si="13"/>
        <v>57</v>
      </c>
      <c r="I115" t="s">
        <v>626</v>
      </c>
      <c r="J115" s="1">
        <v>38526</v>
      </c>
      <c r="P115" s="1">
        <f t="shared" ca="1" si="14"/>
        <v>32817</v>
      </c>
      <c r="Q115">
        <f t="shared" ca="1" si="15"/>
        <v>22</v>
      </c>
      <c r="Y115">
        <v>1</v>
      </c>
      <c r="Z115" t="str">
        <f t="shared" ca="1" si="8"/>
        <v>14050</v>
      </c>
      <c r="AA115" t="str">
        <f t="shared" si="9"/>
        <v>Berlin</v>
      </c>
      <c r="AB115" t="str">
        <f t="shared" si="10"/>
        <v>Beethovenplatz</v>
      </c>
      <c r="AC115" t="str" cm="1">
        <f t="array" ref="AC115">ErzeugeHausnummer()</f>
        <v>21</v>
      </c>
      <c r="AD115">
        <v>1</v>
      </c>
      <c r="AF115">
        <v>1</v>
      </c>
      <c r="AG115" s="6" t="str">
        <f t="shared" si="11"/>
        <v>030</v>
      </c>
      <c r="AH115" t="str">
        <f t="shared" ca="1" si="12"/>
        <v>69682000</v>
      </c>
      <c r="AI115">
        <v>1</v>
      </c>
      <c r="AK115">
        <v>2</v>
      </c>
      <c r="AN115">
        <v>1</v>
      </c>
      <c r="AU115">
        <v>1</v>
      </c>
    </row>
    <row r="116" spans="1:47" x14ac:dyDescent="0.45">
      <c r="A116">
        <v>114</v>
      </c>
      <c r="B116">
        <v>121</v>
      </c>
      <c r="C116">
        <v>221</v>
      </c>
      <c r="D116" s="3" t="s">
        <v>0</v>
      </c>
      <c r="E116" s="3" t="s">
        <v>471</v>
      </c>
      <c r="F116" s="3" t="s">
        <v>333</v>
      </c>
      <c r="G116" s="1">
        <v>30049</v>
      </c>
      <c r="H116" s="11">
        <f t="shared" ca="1" si="13"/>
        <v>42</v>
      </c>
      <c r="I116" t="s">
        <v>626</v>
      </c>
      <c r="J116" s="1">
        <v>38757</v>
      </c>
      <c r="P116" s="1">
        <f t="shared" ca="1" si="14"/>
        <v>47730</v>
      </c>
      <c r="Q116">
        <f t="shared" ca="1" si="15"/>
        <v>47</v>
      </c>
      <c r="Y116">
        <v>1</v>
      </c>
      <c r="Z116" t="str">
        <f t="shared" ca="1" si="8"/>
        <v>13435</v>
      </c>
      <c r="AA116" t="str">
        <f t="shared" si="9"/>
        <v>Berlin</v>
      </c>
      <c r="AB116" t="str">
        <f t="shared" si="10"/>
        <v>Pittsburghplatz</v>
      </c>
      <c r="AC116" t="str" cm="1">
        <f t="array" ref="AC116">ErzeugeHausnummer()</f>
        <v>5E</v>
      </c>
      <c r="AD116">
        <v>1</v>
      </c>
      <c r="AF116">
        <v>1</v>
      </c>
      <c r="AG116" s="6" t="str">
        <f t="shared" si="11"/>
        <v>030</v>
      </c>
      <c r="AH116" t="str">
        <f t="shared" ca="1" si="12"/>
        <v>55974518</v>
      </c>
      <c r="AI116">
        <v>1</v>
      </c>
      <c r="AK116">
        <v>2</v>
      </c>
      <c r="AN116">
        <v>1</v>
      </c>
      <c r="AU116">
        <v>1</v>
      </c>
    </row>
    <row r="117" spans="1:47" x14ac:dyDescent="0.45">
      <c r="A117">
        <v>115</v>
      </c>
      <c r="B117">
        <v>181</v>
      </c>
      <c r="C117">
        <v>169</v>
      </c>
      <c r="D117" s="3" t="s">
        <v>0</v>
      </c>
      <c r="E117" s="3" t="s">
        <v>472</v>
      </c>
      <c r="F117" s="3" t="s">
        <v>334</v>
      </c>
      <c r="G117" s="1">
        <v>31411</v>
      </c>
      <c r="H117" s="11">
        <f t="shared" ca="1" si="13"/>
        <v>38</v>
      </c>
      <c r="I117" t="s">
        <v>625</v>
      </c>
      <c r="J117" s="1">
        <v>45232</v>
      </c>
      <c r="P117" s="1">
        <f t="shared" ca="1" si="14"/>
        <v>41479</v>
      </c>
      <c r="Q117">
        <f t="shared" ca="1" si="15"/>
        <v>27</v>
      </c>
      <c r="Y117">
        <v>1</v>
      </c>
      <c r="Z117" t="str">
        <f t="shared" ca="1" si="8"/>
        <v>14828</v>
      </c>
      <c r="AA117" t="str">
        <f t="shared" si="9"/>
        <v>Görzke</v>
      </c>
      <c r="AB117" t="str">
        <f t="shared" si="10"/>
        <v>Londoner Straße</v>
      </c>
      <c r="AC117" t="str" cm="1">
        <f t="array" ref="AC117">ErzeugeHausnummer()</f>
        <v>6</v>
      </c>
      <c r="AD117">
        <v>1</v>
      </c>
      <c r="AF117">
        <v>1</v>
      </c>
      <c r="AG117" s="6" t="str">
        <f t="shared" si="11"/>
        <v>033847</v>
      </c>
      <c r="AH117" t="str">
        <f t="shared" ca="1" si="12"/>
        <v>8397</v>
      </c>
      <c r="AI117">
        <v>1</v>
      </c>
      <c r="AK117">
        <v>2</v>
      </c>
      <c r="AN117">
        <v>1</v>
      </c>
      <c r="AU117">
        <v>1</v>
      </c>
    </row>
    <row r="118" spans="1:47" x14ac:dyDescent="0.45">
      <c r="A118">
        <v>116</v>
      </c>
      <c r="B118">
        <v>136</v>
      </c>
      <c r="C118">
        <v>66</v>
      </c>
      <c r="D118" s="3" t="s">
        <v>0</v>
      </c>
      <c r="E118" s="3" t="s">
        <v>473</v>
      </c>
      <c r="F118" s="3" t="s">
        <v>335</v>
      </c>
      <c r="G118" s="1">
        <v>30271</v>
      </c>
      <c r="H118" s="11">
        <f t="shared" ca="1" si="13"/>
        <v>42</v>
      </c>
      <c r="I118" t="s">
        <v>624</v>
      </c>
      <c r="P118" s="1">
        <f t="shared" ca="1" si="14"/>
        <v>40655</v>
      </c>
      <c r="Q118">
        <f t="shared" ca="1" si="15"/>
        <v>29</v>
      </c>
      <c r="Y118">
        <v>1</v>
      </c>
      <c r="Z118" t="str">
        <f t="shared" ca="1" si="8"/>
        <v>14548</v>
      </c>
      <c r="AA118" t="str">
        <f t="shared" si="9"/>
        <v>Schwielowsee</v>
      </c>
      <c r="AB118" t="str">
        <f t="shared" si="10"/>
        <v>Dorfstraße</v>
      </c>
      <c r="AC118" t="str" cm="1">
        <f t="array" ref="AC118">ErzeugeHausnummer()</f>
        <v>13</v>
      </c>
      <c r="AD118">
        <v>1</v>
      </c>
      <c r="AF118">
        <v>1</v>
      </c>
      <c r="AG118" s="6" t="str">
        <f t="shared" si="11"/>
        <v>03327</v>
      </c>
      <c r="AH118" t="str">
        <f t="shared" ca="1" si="12"/>
        <v>57696</v>
      </c>
      <c r="AI118">
        <v>1</v>
      </c>
      <c r="AK118">
        <v>2</v>
      </c>
      <c r="AN118">
        <v>1</v>
      </c>
      <c r="AU118">
        <v>1</v>
      </c>
    </row>
    <row r="119" spans="1:47" x14ac:dyDescent="0.45">
      <c r="A119">
        <v>117</v>
      </c>
      <c r="B119">
        <v>144</v>
      </c>
      <c r="C119">
        <v>39</v>
      </c>
      <c r="D119" s="3" t="s">
        <v>0</v>
      </c>
      <c r="E119" s="3" t="s">
        <v>474</v>
      </c>
      <c r="F119" s="3" t="s">
        <v>27</v>
      </c>
      <c r="G119" s="1">
        <v>29962</v>
      </c>
      <c r="H119" s="11">
        <f t="shared" ca="1" si="13"/>
        <v>42</v>
      </c>
      <c r="I119" t="s">
        <v>625</v>
      </c>
      <c r="J119" s="1">
        <v>44529</v>
      </c>
      <c r="P119" s="1">
        <f t="shared" ca="1" si="14"/>
        <v>37493</v>
      </c>
      <c r="Q119">
        <f t="shared" ca="1" si="15"/>
        <v>20</v>
      </c>
      <c r="Y119">
        <v>1</v>
      </c>
      <c r="Z119" t="str">
        <f t="shared" ca="1" si="8"/>
        <v>14797</v>
      </c>
      <c r="AA119" t="str">
        <f t="shared" si="9"/>
        <v>Kloster Lehnin</v>
      </c>
      <c r="AB119" t="str">
        <f t="shared" si="10"/>
        <v>Berliner Straße</v>
      </c>
      <c r="AC119" t="str" cm="1">
        <f t="array" ref="AC119">ErzeugeHausnummer()</f>
        <v>8</v>
      </c>
      <c r="AD119">
        <v>1</v>
      </c>
      <c r="AF119">
        <v>1</v>
      </c>
      <c r="AG119" s="6" t="str">
        <f t="shared" si="11"/>
        <v>033835</v>
      </c>
      <c r="AH119" t="str">
        <f t="shared" ca="1" si="12"/>
        <v>9283</v>
      </c>
      <c r="AI119">
        <v>1</v>
      </c>
      <c r="AK119">
        <v>2</v>
      </c>
      <c r="AN119">
        <v>1</v>
      </c>
      <c r="AU119">
        <v>1</v>
      </c>
    </row>
    <row r="120" spans="1:47" x14ac:dyDescent="0.45">
      <c r="A120">
        <v>118</v>
      </c>
      <c r="B120">
        <v>165</v>
      </c>
      <c r="C120">
        <v>175</v>
      </c>
      <c r="D120" s="3" t="s">
        <v>0</v>
      </c>
      <c r="E120" s="3" t="s">
        <v>475</v>
      </c>
      <c r="F120" s="3" t="s">
        <v>5</v>
      </c>
      <c r="G120" s="1">
        <v>27981</v>
      </c>
      <c r="H120" s="11">
        <f t="shared" ca="1" si="13"/>
        <v>48</v>
      </c>
      <c r="I120" t="s">
        <v>626</v>
      </c>
      <c r="J120" s="1">
        <v>37795</v>
      </c>
      <c r="P120" s="1">
        <f t="shared" ca="1" si="14"/>
        <v>40216</v>
      </c>
      <c r="Q120">
        <f t="shared" ca="1" si="15"/>
        <v>33</v>
      </c>
      <c r="Y120">
        <v>1</v>
      </c>
      <c r="Z120" t="str">
        <f t="shared" ca="1" si="8"/>
        <v>14641</v>
      </c>
      <c r="AA120" t="str">
        <f t="shared" si="9"/>
        <v>Groß Behnitz</v>
      </c>
      <c r="AB120" t="str">
        <f t="shared" si="10"/>
        <v>Ludwig-van-Beethoven-Straße</v>
      </c>
      <c r="AC120" t="str" cm="1">
        <f t="array" ref="AC120">ErzeugeHausnummer()</f>
        <v>15C</v>
      </c>
      <c r="AD120">
        <v>1</v>
      </c>
      <c r="AF120">
        <v>1</v>
      </c>
      <c r="AG120" s="6" t="str">
        <f t="shared" si="11"/>
        <v>033234</v>
      </c>
      <c r="AH120" t="str">
        <f t="shared" ca="1" si="12"/>
        <v>7912</v>
      </c>
      <c r="AI120">
        <v>1</v>
      </c>
      <c r="AK120">
        <v>2</v>
      </c>
      <c r="AN120">
        <v>1</v>
      </c>
      <c r="AU120">
        <v>1</v>
      </c>
    </row>
    <row r="121" spans="1:47" x14ac:dyDescent="0.45">
      <c r="A121">
        <v>119</v>
      </c>
      <c r="B121">
        <v>139</v>
      </c>
      <c r="C121">
        <v>99</v>
      </c>
      <c r="D121" s="3" t="s">
        <v>3</v>
      </c>
      <c r="E121" s="3" t="s">
        <v>476</v>
      </c>
      <c r="F121" s="3" t="s">
        <v>85</v>
      </c>
      <c r="G121" s="1">
        <v>30758</v>
      </c>
      <c r="H121" s="11">
        <f t="shared" ca="1" si="13"/>
        <v>40</v>
      </c>
      <c r="I121" t="s">
        <v>626</v>
      </c>
      <c r="J121" s="1">
        <v>39412</v>
      </c>
      <c r="P121" s="1">
        <f t="shared" ca="1" si="14"/>
        <v>38240</v>
      </c>
      <c r="Q121">
        <f t="shared" ca="1" si="15"/>
        <v>19</v>
      </c>
      <c r="Y121">
        <v>1</v>
      </c>
      <c r="Z121" t="str">
        <f t="shared" ca="1" si="8"/>
        <v>14778</v>
      </c>
      <c r="AA121" t="str">
        <f t="shared" si="9"/>
        <v>Beetzsee</v>
      </c>
      <c r="AB121" t="str">
        <f t="shared" si="10"/>
        <v>Goetheplatz</v>
      </c>
      <c r="AC121" t="str" cm="1">
        <f t="array" ref="AC121">ErzeugeHausnummer()</f>
        <v>63</v>
      </c>
      <c r="AD121">
        <v>1</v>
      </c>
      <c r="AF121">
        <v>1</v>
      </c>
      <c r="AG121" s="6" t="str">
        <f t="shared" si="11"/>
        <v>03381</v>
      </c>
      <c r="AH121" t="str">
        <f t="shared" ca="1" si="12"/>
        <v>73161</v>
      </c>
      <c r="AI121">
        <v>1</v>
      </c>
      <c r="AK121">
        <v>2</v>
      </c>
      <c r="AN121">
        <v>1</v>
      </c>
      <c r="AU121">
        <v>1</v>
      </c>
    </row>
    <row r="122" spans="1:47" x14ac:dyDescent="0.45">
      <c r="A122">
        <v>120</v>
      </c>
      <c r="B122">
        <v>29</v>
      </c>
      <c r="C122">
        <v>67</v>
      </c>
      <c r="D122" s="3" t="s">
        <v>0</v>
      </c>
      <c r="E122" s="3" t="s">
        <v>477</v>
      </c>
      <c r="F122" s="3" t="s">
        <v>336</v>
      </c>
      <c r="G122" s="1">
        <v>22806</v>
      </c>
      <c r="H122" s="11">
        <f t="shared" ca="1" si="13"/>
        <v>62</v>
      </c>
      <c r="I122" t="s">
        <v>626</v>
      </c>
      <c r="J122" s="1">
        <v>35747</v>
      </c>
      <c r="P122" s="1">
        <f t="shared" ca="1" si="14"/>
        <v>31602</v>
      </c>
      <c r="Q122">
        <f t="shared" ca="1" si="15"/>
        <v>24</v>
      </c>
      <c r="Y122">
        <v>1</v>
      </c>
      <c r="Z122" t="str">
        <f t="shared" ca="1" si="8"/>
        <v>14052</v>
      </c>
      <c r="AA122" t="str">
        <f t="shared" si="9"/>
        <v>Berlin</v>
      </c>
      <c r="AB122" t="str">
        <f t="shared" si="10"/>
        <v>Drosselweg</v>
      </c>
      <c r="AC122" t="str" cm="1">
        <f t="array" ref="AC122">ErzeugeHausnummer()</f>
        <v>1</v>
      </c>
      <c r="AD122">
        <v>1</v>
      </c>
      <c r="AF122">
        <v>1</v>
      </c>
      <c r="AG122" s="6" t="str">
        <f t="shared" si="11"/>
        <v>030</v>
      </c>
      <c r="AH122" t="str">
        <f t="shared" ca="1" si="12"/>
        <v>97939781</v>
      </c>
      <c r="AI122">
        <v>1</v>
      </c>
      <c r="AK122">
        <v>2</v>
      </c>
      <c r="AN122">
        <v>1</v>
      </c>
      <c r="AU122">
        <v>1</v>
      </c>
    </row>
    <row r="123" spans="1:47" x14ac:dyDescent="0.45">
      <c r="A123">
        <v>121</v>
      </c>
      <c r="B123">
        <v>96</v>
      </c>
      <c r="C123">
        <v>289</v>
      </c>
      <c r="D123" s="3" t="s">
        <v>3</v>
      </c>
      <c r="E123" s="3" t="s">
        <v>478</v>
      </c>
      <c r="F123" s="3" t="s">
        <v>337</v>
      </c>
      <c r="G123" s="1">
        <v>36009</v>
      </c>
      <c r="H123" s="11">
        <f t="shared" ca="1" si="13"/>
        <v>26</v>
      </c>
      <c r="I123" t="s">
        <v>624</v>
      </c>
      <c r="P123" s="1">
        <f t="shared" ca="1" si="14"/>
        <v>53362</v>
      </c>
      <c r="Q123">
        <f t="shared" ca="1" si="15"/>
        <v>48</v>
      </c>
      <c r="Y123">
        <v>1</v>
      </c>
      <c r="Z123" t="str">
        <f t="shared" ca="1" si="8"/>
        <v>12043</v>
      </c>
      <c r="AA123" t="str">
        <f t="shared" si="9"/>
        <v>Berlin</v>
      </c>
      <c r="AB123" t="str">
        <f t="shared" si="10"/>
        <v>Waldstraße</v>
      </c>
      <c r="AC123" t="str" cm="1">
        <f t="array" ref="AC123">ErzeugeHausnummer()</f>
        <v>14</v>
      </c>
      <c r="AD123">
        <v>1</v>
      </c>
      <c r="AF123">
        <v>1</v>
      </c>
      <c r="AG123" s="6" t="str">
        <f t="shared" si="11"/>
        <v>030</v>
      </c>
      <c r="AH123" t="str">
        <f t="shared" ca="1" si="12"/>
        <v>55901598</v>
      </c>
      <c r="AI123">
        <v>1</v>
      </c>
      <c r="AK123">
        <v>2</v>
      </c>
      <c r="AN123">
        <v>1</v>
      </c>
      <c r="AU123">
        <v>1</v>
      </c>
    </row>
    <row r="124" spans="1:47" x14ac:dyDescent="0.45">
      <c r="A124">
        <v>122</v>
      </c>
      <c r="B124">
        <v>102</v>
      </c>
      <c r="C124">
        <v>118</v>
      </c>
      <c r="D124" s="3" t="s">
        <v>0</v>
      </c>
      <c r="E124" s="3" t="s">
        <v>479</v>
      </c>
      <c r="F124" s="3" t="s">
        <v>338</v>
      </c>
      <c r="G124" s="1">
        <v>25238</v>
      </c>
      <c r="H124" s="11">
        <f t="shared" ca="1" si="13"/>
        <v>55</v>
      </c>
      <c r="I124" t="s">
        <v>626</v>
      </c>
      <c r="J124" s="1">
        <v>32818</v>
      </c>
      <c r="P124" s="1">
        <f t="shared" ca="1" si="14"/>
        <v>35448</v>
      </c>
      <c r="Q124">
        <f t="shared" ca="1" si="15"/>
        <v>28</v>
      </c>
      <c r="Y124">
        <v>1</v>
      </c>
      <c r="Z124" t="str">
        <f t="shared" ca="1" si="8"/>
        <v>12435</v>
      </c>
      <c r="AA124" t="str">
        <f t="shared" si="9"/>
        <v>Berlin</v>
      </c>
      <c r="AB124" t="str">
        <f t="shared" si="10"/>
        <v>Hintergasse</v>
      </c>
      <c r="AC124" t="str" cm="1">
        <f t="array" ref="AC124">ErzeugeHausnummer()</f>
        <v>81</v>
      </c>
      <c r="AD124">
        <v>1</v>
      </c>
      <c r="AF124">
        <v>1</v>
      </c>
      <c r="AG124" s="6" t="str">
        <f t="shared" si="11"/>
        <v>030</v>
      </c>
      <c r="AH124" t="str">
        <f t="shared" ca="1" si="12"/>
        <v>78115560</v>
      </c>
      <c r="AI124">
        <v>1</v>
      </c>
      <c r="AK124">
        <v>2</v>
      </c>
      <c r="AN124">
        <v>1</v>
      </c>
      <c r="AU124">
        <v>1</v>
      </c>
    </row>
    <row r="125" spans="1:47" x14ac:dyDescent="0.45">
      <c r="A125">
        <v>123</v>
      </c>
      <c r="B125">
        <v>152</v>
      </c>
      <c r="C125">
        <v>267</v>
      </c>
      <c r="D125" s="3" t="s">
        <v>3</v>
      </c>
      <c r="E125" s="3" t="s">
        <v>480</v>
      </c>
      <c r="F125" s="3" t="s">
        <v>21</v>
      </c>
      <c r="G125" s="1">
        <v>20934</v>
      </c>
      <c r="H125" s="11">
        <f t="shared" ca="1" si="13"/>
        <v>66</v>
      </c>
      <c r="I125" t="s">
        <v>626</v>
      </c>
      <c r="J125" s="1">
        <v>32110</v>
      </c>
      <c r="P125" s="1">
        <f t="shared" ca="1" si="14"/>
        <v>28032</v>
      </c>
      <c r="Q125">
        <f t="shared" ca="1" si="15"/>
        <v>19</v>
      </c>
      <c r="R125" s="1">
        <f>DATE(IF(MONTH(G125)=12,YEAR(G125)+66,YEAR(G125)+65),IF(MONTH(G125)=12,1,MONTH(G125)+1),1)</f>
        <v>44682</v>
      </c>
      <c r="S125" t="s">
        <v>1022</v>
      </c>
      <c r="Y125">
        <v>1</v>
      </c>
      <c r="Z125" t="str">
        <f t="shared" ca="1" si="8"/>
        <v>14542</v>
      </c>
      <c r="AA125" t="str">
        <f t="shared" si="9"/>
        <v>Werder (Havel)</v>
      </c>
      <c r="AB125" t="str">
        <f t="shared" si="10"/>
        <v>Sonnenstraße</v>
      </c>
      <c r="AC125" t="str" cm="1">
        <f t="array" ref="AC125">ErzeugeHausnummer()</f>
        <v>9</v>
      </c>
      <c r="AD125">
        <v>1</v>
      </c>
      <c r="AF125">
        <v>1</v>
      </c>
      <c r="AG125" s="6" t="str">
        <f t="shared" si="11"/>
        <v>03327</v>
      </c>
      <c r="AH125" t="str">
        <f t="shared" ca="1" si="12"/>
        <v>81034</v>
      </c>
      <c r="AI125">
        <v>1</v>
      </c>
      <c r="AK125">
        <v>2</v>
      </c>
      <c r="AN125">
        <v>1</v>
      </c>
      <c r="AU125">
        <v>1</v>
      </c>
    </row>
    <row r="126" spans="1:47" x14ac:dyDescent="0.45">
      <c r="A126">
        <v>124</v>
      </c>
      <c r="B126">
        <v>150</v>
      </c>
      <c r="C126">
        <v>250</v>
      </c>
      <c r="D126" s="3" t="s">
        <v>3</v>
      </c>
      <c r="E126" s="3" t="s">
        <v>481</v>
      </c>
      <c r="F126" s="3" t="s">
        <v>339</v>
      </c>
      <c r="G126" s="1">
        <v>24094</v>
      </c>
      <c r="H126" s="11">
        <f t="shared" ca="1" si="13"/>
        <v>59</v>
      </c>
      <c r="I126" t="s">
        <v>624</v>
      </c>
      <c r="P126" s="1">
        <f t="shared" ca="1" si="14"/>
        <v>41288</v>
      </c>
      <c r="Q126">
        <f t="shared" ca="1" si="15"/>
        <v>47</v>
      </c>
      <c r="Y126">
        <v>1</v>
      </c>
      <c r="Z126" t="str">
        <f t="shared" ca="1" si="8"/>
        <v>14550</v>
      </c>
      <c r="AA126" t="str">
        <f t="shared" si="9"/>
        <v>Töplitz</v>
      </c>
      <c r="AB126" t="str">
        <f t="shared" si="10"/>
        <v>Schloßgasse</v>
      </c>
      <c r="AC126" t="str" cm="1">
        <f t="array" ref="AC126">ErzeugeHausnummer()</f>
        <v>30</v>
      </c>
      <c r="AD126">
        <v>1</v>
      </c>
      <c r="AF126">
        <v>1</v>
      </c>
      <c r="AG126" s="6" t="str">
        <f t="shared" si="11"/>
        <v>033209</v>
      </c>
      <c r="AH126" t="str">
        <f t="shared" ca="1" si="12"/>
        <v>7992</v>
      </c>
      <c r="AI126">
        <v>1</v>
      </c>
      <c r="AK126">
        <v>2</v>
      </c>
      <c r="AN126">
        <v>1</v>
      </c>
      <c r="AU126">
        <v>1</v>
      </c>
    </row>
    <row r="127" spans="1:47" x14ac:dyDescent="0.45">
      <c r="A127">
        <v>125</v>
      </c>
      <c r="B127">
        <v>43</v>
      </c>
      <c r="C127">
        <v>206</v>
      </c>
      <c r="D127" s="3" t="s">
        <v>0</v>
      </c>
      <c r="E127" s="3" t="s">
        <v>482</v>
      </c>
      <c r="F127" s="3" t="s">
        <v>340</v>
      </c>
      <c r="G127" s="1">
        <v>24000</v>
      </c>
      <c r="H127" s="11">
        <f t="shared" ca="1" si="13"/>
        <v>59</v>
      </c>
      <c r="I127" t="s">
        <v>626</v>
      </c>
      <c r="J127" s="1">
        <v>32302</v>
      </c>
      <c r="P127" s="1">
        <f t="shared" ca="1" si="14"/>
        <v>33437</v>
      </c>
      <c r="Q127">
        <f t="shared" ca="1" si="15"/>
        <v>26</v>
      </c>
      <c r="Y127">
        <v>1</v>
      </c>
      <c r="Z127" t="str">
        <f t="shared" ca="1" si="8"/>
        <v>13581</v>
      </c>
      <c r="AA127" t="str">
        <f t="shared" si="9"/>
        <v>Berlin</v>
      </c>
      <c r="AB127" t="str">
        <f t="shared" si="10"/>
        <v>Oranienstraße</v>
      </c>
      <c r="AC127" t="str" cm="1">
        <f t="array" ref="AC127">ErzeugeHausnummer()</f>
        <v>7</v>
      </c>
      <c r="AD127">
        <v>1</v>
      </c>
      <c r="AF127">
        <v>1</v>
      </c>
      <c r="AG127" s="6" t="str">
        <f t="shared" si="11"/>
        <v>030</v>
      </c>
      <c r="AH127" t="str">
        <f t="shared" ca="1" si="12"/>
        <v>72622296</v>
      </c>
      <c r="AI127">
        <v>1</v>
      </c>
      <c r="AK127">
        <v>2</v>
      </c>
      <c r="AN127">
        <v>1</v>
      </c>
      <c r="AU127">
        <v>1</v>
      </c>
    </row>
    <row r="128" spans="1:47" x14ac:dyDescent="0.45">
      <c r="A128">
        <v>126</v>
      </c>
      <c r="B128">
        <v>124</v>
      </c>
      <c r="C128">
        <v>42</v>
      </c>
      <c r="D128" s="3" t="s">
        <v>0</v>
      </c>
      <c r="E128" s="3" t="s">
        <v>483</v>
      </c>
      <c r="F128" s="3" t="s">
        <v>29</v>
      </c>
      <c r="G128" s="1">
        <v>30407</v>
      </c>
      <c r="H128" s="11">
        <f t="shared" ca="1" si="13"/>
        <v>41</v>
      </c>
      <c r="I128" t="s">
        <v>625</v>
      </c>
      <c r="J128" s="1">
        <v>45261</v>
      </c>
      <c r="P128" s="1">
        <f t="shared" ca="1" si="14"/>
        <v>47880</v>
      </c>
      <c r="Q128">
        <f t="shared" ca="1" si="15"/>
        <v>48</v>
      </c>
      <c r="Y128">
        <v>1</v>
      </c>
      <c r="Z128" t="str">
        <f t="shared" ca="1" si="8"/>
        <v>14467</v>
      </c>
      <c r="AA128" t="str">
        <f t="shared" si="9"/>
        <v>Potsdam</v>
      </c>
      <c r="AB128" t="str">
        <f t="shared" si="10"/>
        <v>Birkenallee</v>
      </c>
      <c r="AC128" t="str" cm="1">
        <f t="array" ref="AC128">ErzeugeHausnummer()</f>
        <v>48B</v>
      </c>
      <c r="AD128">
        <v>1</v>
      </c>
      <c r="AF128">
        <v>1</v>
      </c>
      <c r="AG128" s="6" t="str">
        <f t="shared" si="11"/>
        <v>0331</v>
      </c>
      <c r="AH128" t="str">
        <f t="shared" ca="1" si="12"/>
        <v>47805</v>
      </c>
      <c r="AI128">
        <v>1</v>
      </c>
      <c r="AK128">
        <v>2</v>
      </c>
      <c r="AN128">
        <v>1</v>
      </c>
      <c r="AU128">
        <v>1</v>
      </c>
    </row>
    <row r="129" spans="1:47" x14ac:dyDescent="0.45">
      <c r="A129">
        <v>127</v>
      </c>
      <c r="B129">
        <v>23</v>
      </c>
      <c r="C129">
        <v>4</v>
      </c>
      <c r="D129" s="3" t="s">
        <v>3</v>
      </c>
      <c r="E129" s="3" t="s">
        <v>484</v>
      </c>
      <c r="F129" s="3" t="s">
        <v>610</v>
      </c>
      <c r="G129" s="1">
        <v>19732</v>
      </c>
      <c r="H129" s="11">
        <f t="shared" ca="1" si="13"/>
        <v>70</v>
      </c>
      <c r="I129" t="s">
        <v>626</v>
      </c>
      <c r="J129" s="1">
        <v>27902</v>
      </c>
      <c r="P129" s="1">
        <f t="shared" ca="1" si="14"/>
        <v>37795</v>
      </c>
      <c r="Q129">
        <f t="shared" ca="1" si="15"/>
        <v>49</v>
      </c>
      <c r="R129" s="1">
        <f>DATE(IF(MONTH(G129)=12,YEAR(G129)+66,YEAR(G129)+65),IF(MONTH(G129)=12,1,MONTH(G129)+1),1)</f>
        <v>43497</v>
      </c>
      <c r="S129" t="s">
        <v>1022</v>
      </c>
      <c r="Y129">
        <v>1</v>
      </c>
      <c r="Z129" t="str">
        <f t="shared" ca="1" si="8"/>
        <v>10707</v>
      </c>
      <c r="AA129" t="str">
        <f t="shared" si="9"/>
        <v>Berlin</v>
      </c>
      <c r="AB129" t="str">
        <f t="shared" si="10"/>
        <v>Albert-Einstein-Straße</v>
      </c>
      <c r="AC129" t="str" cm="1">
        <f t="array" ref="AC129">ErzeugeHausnummer()</f>
        <v>8F</v>
      </c>
      <c r="AD129">
        <v>1</v>
      </c>
      <c r="AF129">
        <v>1</v>
      </c>
      <c r="AG129" s="6" t="str">
        <f t="shared" si="11"/>
        <v>030</v>
      </c>
      <c r="AH129" t="str">
        <f t="shared" ca="1" si="12"/>
        <v>77531417</v>
      </c>
      <c r="AI129">
        <v>1</v>
      </c>
      <c r="AK129">
        <v>2</v>
      </c>
      <c r="AN129">
        <v>1</v>
      </c>
      <c r="AU129">
        <v>1</v>
      </c>
    </row>
    <row r="130" spans="1:47" x14ac:dyDescent="0.45">
      <c r="A130">
        <v>128</v>
      </c>
      <c r="B130">
        <v>114</v>
      </c>
      <c r="C130">
        <v>81</v>
      </c>
      <c r="D130" s="3" t="s">
        <v>3</v>
      </c>
      <c r="E130" s="3" t="s">
        <v>485</v>
      </c>
      <c r="F130" s="3" t="s">
        <v>341</v>
      </c>
      <c r="G130" s="1">
        <v>20436</v>
      </c>
      <c r="H130" s="11">
        <f t="shared" ca="1" si="13"/>
        <v>69</v>
      </c>
      <c r="I130" t="s">
        <v>626</v>
      </c>
      <c r="J130" s="1">
        <v>27909</v>
      </c>
      <c r="P130" s="1">
        <f t="shared" ca="1" si="14"/>
        <v>37042</v>
      </c>
      <c r="Q130">
        <f t="shared" ca="1" si="15"/>
        <v>46</v>
      </c>
      <c r="R130" s="1">
        <f>DATE(IF(MONTH(G130)=12,YEAR(G130)+66,YEAR(G130)+65),IF(MONTH(G130)=12,1,MONTH(G130)+1),1)</f>
        <v>44197</v>
      </c>
      <c r="S130" t="s">
        <v>1022</v>
      </c>
      <c r="Y130">
        <v>1</v>
      </c>
      <c r="Z130" t="str">
        <f t="shared" ca="1" si="8"/>
        <v>13403</v>
      </c>
      <c r="AA130" t="str">
        <f t="shared" si="9"/>
        <v>Berlin</v>
      </c>
      <c r="AB130" t="str">
        <f t="shared" si="10"/>
        <v>Fichtenweg</v>
      </c>
      <c r="AC130" t="str" cm="1">
        <f t="array" ref="AC130">ErzeugeHausnummer()</f>
        <v>5</v>
      </c>
      <c r="AD130">
        <v>1</v>
      </c>
      <c r="AF130">
        <v>1</v>
      </c>
      <c r="AG130" s="6" t="str">
        <f t="shared" si="11"/>
        <v>030</v>
      </c>
      <c r="AH130" t="str">
        <f t="shared" ca="1" si="12"/>
        <v>46292261</v>
      </c>
      <c r="AI130">
        <v>1</v>
      </c>
      <c r="AK130">
        <v>2</v>
      </c>
      <c r="AN130">
        <v>1</v>
      </c>
      <c r="AU130">
        <v>1</v>
      </c>
    </row>
    <row r="131" spans="1:47" x14ac:dyDescent="0.45">
      <c r="A131">
        <v>129</v>
      </c>
      <c r="B131">
        <v>136</v>
      </c>
      <c r="C131">
        <v>204</v>
      </c>
      <c r="D131" s="3" t="s">
        <v>0</v>
      </c>
      <c r="E131" s="3" t="s">
        <v>486</v>
      </c>
      <c r="F131" s="3" t="s">
        <v>342</v>
      </c>
      <c r="G131" s="1">
        <v>24959</v>
      </c>
      <c r="H131" s="11">
        <f t="shared" ca="1" si="13"/>
        <v>56</v>
      </c>
      <c r="I131" t="s">
        <v>624</v>
      </c>
      <c r="P131" s="1">
        <f t="shared" ca="1" si="14"/>
        <v>42645</v>
      </c>
      <c r="Q131">
        <f t="shared" ca="1" si="15"/>
        <v>48</v>
      </c>
      <c r="Y131">
        <v>1</v>
      </c>
      <c r="Z131" t="str">
        <f t="shared" ref="Z131:Z194" ca="1" si="16">TEXT(INT(RAND() * (VLOOKUP(B131,Adressen_Zufall,5,TRUE) - VLOOKUP(B131,Adressen_Zufall,5,TRUE)  + 1) + VLOOKUP(B131,Adressen_Zufall,5,TRUE) ),"0")</f>
        <v>14548</v>
      </c>
      <c r="AA131" t="str">
        <f t="shared" ref="AA131:AA194" si="17">VLOOKUP(B131,Adressen_Zufall,3,TRUE)</f>
        <v>Schwielowsee</v>
      </c>
      <c r="AB131" t="str">
        <f t="shared" ref="AB131:AB194" si="18">VLOOKUP(C131,Strassen_Zufall,2,TRUE)</f>
        <v>New-Orleans-Allee</v>
      </c>
      <c r="AC131" t="str" cm="1">
        <f t="array" ref="AC131">ErzeugeHausnummer()</f>
        <v>45A</v>
      </c>
      <c r="AD131">
        <v>1</v>
      </c>
      <c r="AF131">
        <v>1</v>
      </c>
      <c r="AG131" s="6" t="str">
        <f t="shared" ref="AG131:AG194" si="19">VLOOKUP(B131,Adressen_Zufall,7,TRUE)</f>
        <v>03327</v>
      </c>
      <c r="AH131" t="str">
        <f t="shared" ref="AH131:AH194" ca="1" si="20">LEFT(TEXT(INT(RANDBETWEEN(4,9)) &amp; RANDBETWEEN(100000000000,999999999999), "0"),VLOOKUP(B131,Adressen_Zufall,8,TRUE)-LEN(VLOOKUP(B131,Adressen_Zufall,7,TRUE)))</f>
        <v>98358</v>
      </c>
      <c r="AI131">
        <v>1</v>
      </c>
      <c r="AK131">
        <v>2</v>
      </c>
      <c r="AN131">
        <v>1</v>
      </c>
      <c r="AU131">
        <v>1</v>
      </c>
    </row>
    <row r="132" spans="1:47" x14ac:dyDescent="0.45">
      <c r="A132">
        <v>130</v>
      </c>
      <c r="B132">
        <v>47</v>
      </c>
      <c r="C132">
        <v>72</v>
      </c>
      <c r="D132" s="3" t="s">
        <v>3</v>
      </c>
      <c r="E132" s="3" t="s">
        <v>487</v>
      </c>
      <c r="F132" s="3" t="s">
        <v>343</v>
      </c>
      <c r="G132" s="1">
        <v>27532</v>
      </c>
      <c r="H132" s="11">
        <f t="shared" ref="H132:H195" ca="1" si="21">YEAR(TODAY())-YEAR(G132) - (DAY(TODAY()) &lt; DAY(G132))</f>
        <v>49</v>
      </c>
      <c r="I132" t="s">
        <v>626</v>
      </c>
      <c r="J132" s="1">
        <v>36290</v>
      </c>
      <c r="P132" s="1">
        <f t="shared" ref="P132:P195" ca="1" si="22">G132 + ROUND(RAND()*(50*365-18*365) + 18*365, 0)</f>
        <v>35261</v>
      </c>
      <c r="Q132">
        <f t="shared" ca="1" si="15"/>
        <v>20</v>
      </c>
      <c r="Y132">
        <v>1</v>
      </c>
      <c r="Z132" t="str">
        <f t="shared" ca="1" si="16"/>
        <v>13581</v>
      </c>
      <c r="AA132" t="str">
        <f t="shared" si="17"/>
        <v>Berlin</v>
      </c>
      <c r="AB132" t="str">
        <f t="shared" si="18"/>
        <v>Elsternweg</v>
      </c>
      <c r="AC132" t="str" cm="1">
        <f t="array" ref="AC132">ErzeugeHausnummer()</f>
        <v>11</v>
      </c>
      <c r="AD132">
        <v>1</v>
      </c>
      <c r="AF132">
        <v>1</v>
      </c>
      <c r="AG132" s="6" t="str">
        <f t="shared" si="19"/>
        <v>030</v>
      </c>
      <c r="AH132" t="str">
        <f t="shared" ca="1" si="20"/>
        <v>68043627</v>
      </c>
      <c r="AI132">
        <v>1</v>
      </c>
      <c r="AK132">
        <v>2</v>
      </c>
      <c r="AN132">
        <v>1</v>
      </c>
      <c r="AU132">
        <v>1</v>
      </c>
    </row>
    <row r="133" spans="1:47" x14ac:dyDescent="0.45">
      <c r="A133">
        <v>131</v>
      </c>
      <c r="B133">
        <v>67</v>
      </c>
      <c r="C133">
        <v>208</v>
      </c>
      <c r="D133" s="3" t="s">
        <v>0</v>
      </c>
      <c r="E133" s="3" t="s">
        <v>488</v>
      </c>
      <c r="F133" s="3" t="s">
        <v>344</v>
      </c>
      <c r="G133" s="1">
        <v>22008</v>
      </c>
      <c r="H133" s="11">
        <f t="shared" ca="1" si="21"/>
        <v>64</v>
      </c>
      <c r="I133" t="s">
        <v>625</v>
      </c>
      <c r="J133" s="1">
        <v>42699</v>
      </c>
      <c r="P133" s="1">
        <f t="shared" ca="1" si="22"/>
        <v>35796</v>
      </c>
      <c r="Q133">
        <f t="shared" ref="Q133:Q196" ca="1" si="23">YEAR(P133)-YEAR(G133) - (DAY(P133) &lt; DAY(G133))</f>
        <v>37</v>
      </c>
      <c r="Y133">
        <v>1</v>
      </c>
      <c r="Z133" t="str">
        <f t="shared" ca="1" si="16"/>
        <v>13597</v>
      </c>
      <c r="AA133" t="str">
        <f t="shared" si="17"/>
        <v>Berlin</v>
      </c>
      <c r="AB133" t="str">
        <f t="shared" si="18"/>
        <v>Oslostraße</v>
      </c>
      <c r="AC133" t="str" cm="1">
        <f t="array" ref="AC133">ErzeugeHausnummer()</f>
        <v>71D</v>
      </c>
      <c r="AD133">
        <v>1</v>
      </c>
      <c r="AF133">
        <v>1</v>
      </c>
      <c r="AG133" s="6" t="str">
        <f t="shared" si="19"/>
        <v>030</v>
      </c>
      <c r="AH133" t="str">
        <f t="shared" ca="1" si="20"/>
        <v>99985880</v>
      </c>
      <c r="AI133">
        <v>1</v>
      </c>
      <c r="AK133">
        <v>2</v>
      </c>
      <c r="AN133">
        <v>1</v>
      </c>
      <c r="AU133">
        <v>1</v>
      </c>
    </row>
    <row r="134" spans="1:47" x14ac:dyDescent="0.45">
      <c r="A134">
        <v>132</v>
      </c>
      <c r="B134">
        <v>198</v>
      </c>
      <c r="C134">
        <v>172</v>
      </c>
      <c r="D134" s="3" t="s">
        <v>0</v>
      </c>
      <c r="E134" s="3" t="s">
        <v>71</v>
      </c>
      <c r="F134" s="3" t="s">
        <v>345</v>
      </c>
      <c r="G134" s="1">
        <v>31169</v>
      </c>
      <c r="H134" s="11">
        <f t="shared" ca="1" si="21"/>
        <v>39</v>
      </c>
      <c r="I134" t="s">
        <v>626</v>
      </c>
      <c r="J134" s="1">
        <v>38463</v>
      </c>
      <c r="P134" s="1">
        <f t="shared" ca="1" si="22"/>
        <v>45059</v>
      </c>
      <c r="Q134">
        <f t="shared" ca="1" si="23"/>
        <v>38</v>
      </c>
      <c r="Y134">
        <v>1</v>
      </c>
      <c r="Z134" t="str">
        <f t="shared" ca="1" si="16"/>
        <v>14778</v>
      </c>
      <c r="AA134" t="str">
        <f t="shared" si="17"/>
        <v>Päwesin</v>
      </c>
      <c r="AB134" t="str">
        <f t="shared" si="18"/>
        <v>Löwenweg</v>
      </c>
      <c r="AC134" t="str" cm="1">
        <f t="array" ref="AC134">ErzeugeHausnummer()</f>
        <v>13B</v>
      </c>
      <c r="AD134">
        <v>1</v>
      </c>
      <c r="AF134">
        <v>1</v>
      </c>
      <c r="AG134" s="6" t="str">
        <f t="shared" si="19"/>
        <v>03381</v>
      </c>
      <c r="AH134" t="str">
        <f t="shared" ca="1" si="20"/>
        <v>85140</v>
      </c>
      <c r="AI134">
        <v>1</v>
      </c>
      <c r="AK134">
        <v>2</v>
      </c>
      <c r="AN134">
        <v>1</v>
      </c>
      <c r="AU134">
        <v>1</v>
      </c>
    </row>
    <row r="135" spans="1:47" x14ac:dyDescent="0.45">
      <c r="A135">
        <v>133</v>
      </c>
      <c r="B135">
        <v>28</v>
      </c>
      <c r="C135">
        <v>51</v>
      </c>
      <c r="D135" s="3" t="s">
        <v>3</v>
      </c>
      <c r="E135" s="3" t="s">
        <v>489</v>
      </c>
      <c r="F135" s="3" t="s">
        <v>611</v>
      </c>
      <c r="G135" s="1">
        <v>29080</v>
      </c>
      <c r="H135" s="11">
        <f t="shared" ca="1" si="21"/>
        <v>45</v>
      </c>
      <c r="I135" t="s">
        <v>626</v>
      </c>
      <c r="J135" s="1">
        <v>38571</v>
      </c>
      <c r="P135" s="1">
        <f t="shared" ca="1" si="22"/>
        <v>43538</v>
      </c>
      <c r="Q135">
        <f t="shared" ca="1" si="23"/>
        <v>40</v>
      </c>
      <c r="Y135">
        <v>1</v>
      </c>
      <c r="Z135" t="str">
        <f t="shared" ca="1" si="16"/>
        <v>14052</v>
      </c>
      <c r="AA135" t="str">
        <f t="shared" si="17"/>
        <v>Berlin</v>
      </c>
      <c r="AB135" t="str">
        <f t="shared" si="18"/>
        <v>Budapeststraße</v>
      </c>
      <c r="AC135" t="str" cm="1">
        <f t="array" ref="AC135">ErzeugeHausnummer()</f>
        <v>9</v>
      </c>
      <c r="AD135">
        <v>1</v>
      </c>
      <c r="AF135">
        <v>1</v>
      </c>
      <c r="AG135" s="6" t="str">
        <f t="shared" si="19"/>
        <v>030</v>
      </c>
      <c r="AH135" t="str">
        <f t="shared" ca="1" si="20"/>
        <v>68511764</v>
      </c>
      <c r="AI135">
        <v>1</v>
      </c>
      <c r="AK135">
        <v>2</v>
      </c>
      <c r="AN135">
        <v>1</v>
      </c>
      <c r="AU135">
        <v>1</v>
      </c>
    </row>
    <row r="136" spans="1:47" x14ac:dyDescent="0.45">
      <c r="A136">
        <v>134</v>
      </c>
      <c r="B136">
        <v>46</v>
      </c>
      <c r="C136">
        <v>170</v>
      </c>
      <c r="D136" s="3" t="s">
        <v>3</v>
      </c>
      <c r="E136" s="3" t="s">
        <v>50</v>
      </c>
      <c r="F136" s="3" t="s">
        <v>346</v>
      </c>
      <c r="G136" s="1">
        <v>22389</v>
      </c>
      <c r="H136" s="11">
        <f t="shared" ca="1" si="21"/>
        <v>63</v>
      </c>
      <c r="I136" t="s">
        <v>626</v>
      </c>
      <c r="J136" s="1">
        <v>34172</v>
      </c>
      <c r="P136" s="1">
        <f t="shared" ca="1" si="22"/>
        <v>35095</v>
      </c>
      <c r="Q136">
        <f t="shared" ca="1" si="23"/>
        <v>35</v>
      </c>
      <c r="Y136">
        <v>1</v>
      </c>
      <c r="Z136" t="str">
        <f t="shared" ca="1" si="16"/>
        <v>13581</v>
      </c>
      <c r="AA136" t="str">
        <f t="shared" si="17"/>
        <v>Berlin</v>
      </c>
      <c r="AB136" t="str">
        <f t="shared" si="18"/>
        <v>Los-Angeles-Straße</v>
      </c>
      <c r="AC136" t="str" cm="1">
        <f t="array" ref="AC136">ErzeugeHausnummer()</f>
        <v>91F</v>
      </c>
      <c r="AD136">
        <v>1</v>
      </c>
      <c r="AF136">
        <v>1</v>
      </c>
      <c r="AG136" s="6" t="str">
        <f t="shared" si="19"/>
        <v>030</v>
      </c>
      <c r="AH136" t="str">
        <f t="shared" ca="1" si="20"/>
        <v>76217304</v>
      </c>
      <c r="AI136">
        <v>1</v>
      </c>
      <c r="AK136">
        <v>2</v>
      </c>
      <c r="AN136">
        <v>1</v>
      </c>
      <c r="AU136">
        <v>1</v>
      </c>
    </row>
    <row r="137" spans="1:47" x14ac:dyDescent="0.45">
      <c r="A137">
        <v>135</v>
      </c>
      <c r="B137">
        <v>179</v>
      </c>
      <c r="C137">
        <v>59</v>
      </c>
      <c r="D137" s="3" t="s">
        <v>0</v>
      </c>
      <c r="E137" s="3" t="s">
        <v>490</v>
      </c>
      <c r="F137" s="3" t="s">
        <v>5</v>
      </c>
      <c r="G137" s="1">
        <v>21085</v>
      </c>
      <c r="H137" s="11">
        <f t="shared" ca="1" si="21"/>
        <v>67</v>
      </c>
      <c r="I137" t="s">
        <v>627</v>
      </c>
      <c r="J137" s="1">
        <v>44435</v>
      </c>
      <c r="P137" s="1">
        <f t="shared" ca="1" si="22"/>
        <v>35045</v>
      </c>
      <c r="Q137">
        <f t="shared" ca="1" si="23"/>
        <v>37</v>
      </c>
      <c r="R137" s="1">
        <f>DATE(IF(MONTH(G137)=12,YEAR(G137)+66,YEAR(G137)+65),IF(MONTH(G137)=12,1,MONTH(G137)+1),1)</f>
        <v>44835</v>
      </c>
      <c r="S137" t="s">
        <v>1022</v>
      </c>
      <c r="Y137">
        <v>1</v>
      </c>
      <c r="Z137" t="str">
        <f t="shared" ca="1" si="16"/>
        <v>14778</v>
      </c>
      <c r="AA137" t="str">
        <f t="shared" si="17"/>
        <v>Beetzsee</v>
      </c>
      <c r="AB137" t="str">
        <f t="shared" si="18"/>
        <v>Cincinnati-Straße</v>
      </c>
      <c r="AC137" t="str" cm="1">
        <f t="array" ref="AC137">ErzeugeHausnummer()</f>
        <v>5</v>
      </c>
      <c r="AD137">
        <v>1</v>
      </c>
      <c r="AF137">
        <v>1</v>
      </c>
      <c r="AG137" s="6" t="str">
        <f t="shared" si="19"/>
        <v>03381</v>
      </c>
      <c r="AH137" t="str">
        <f t="shared" ca="1" si="20"/>
        <v>93191</v>
      </c>
      <c r="AI137">
        <v>1</v>
      </c>
      <c r="AK137">
        <v>2</v>
      </c>
      <c r="AN137">
        <v>1</v>
      </c>
      <c r="AU137">
        <v>1</v>
      </c>
    </row>
    <row r="138" spans="1:47" x14ac:dyDescent="0.45">
      <c r="A138">
        <v>136</v>
      </c>
      <c r="B138">
        <v>26</v>
      </c>
      <c r="C138">
        <v>196</v>
      </c>
      <c r="D138" s="3" t="s">
        <v>0</v>
      </c>
      <c r="E138" s="3" t="s">
        <v>491</v>
      </c>
      <c r="F138" s="3" t="s">
        <v>347</v>
      </c>
      <c r="G138" s="1">
        <v>21646</v>
      </c>
      <c r="H138" s="11">
        <f t="shared" ca="1" si="21"/>
        <v>65</v>
      </c>
      <c r="I138" t="s">
        <v>624</v>
      </c>
      <c r="P138" s="1">
        <f t="shared" ca="1" si="22"/>
        <v>34582</v>
      </c>
      <c r="Q138">
        <f t="shared" ca="1" si="23"/>
        <v>34</v>
      </c>
      <c r="Y138">
        <v>1</v>
      </c>
      <c r="Z138" t="str">
        <f t="shared" ca="1" si="16"/>
        <v>14052</v>
      </c>
      <c r="AA138" t="str">
        <f t="shared" si="17"/>
        <v>Berlin</v>
      </c>
      <c r="AB138" t="str">
        <f t="shared" si="18"/>
        <v>Mozartweg</v>
      </c>
      <c r="AC138" t="str" cm="1">
        <f t="array" ref="AC138">ErzeugeHausnummer()</f>
        <v>14</v>
      </c>
      <c r="AD138">
        <v>1</v>
      </c>
      <c r="AF138">
        <v>1</v>
      </c>
      <c r="AG138" s="6" t="str">
        <f t="shared" si="19"/>
        <v>030</v>
      </c>
      <c r="AH138" t="str">
        <f t="shared" ca="1" si="20"/>
        <v>65997914</v>
      </c>
      <c r="AI138">
        <v>1</v>
      </c>
      <c r="AK138">
        <v>2</v>
      </c>
      <c r="AN138">
        <v>1</v>
      </c>
      <c r="AU138">
        <v>1</v>
      </c>
    </row>
    <row r="139" spans="1:47" x14ac:dyDescent="0.45">
      <c r="A139">
        <v>137</v>
      </c>
      <c r="B139">
        <v>28</v>
      </c>
      <c r="C139">
        <v>97</v>
      </c>
      <c r="D139" s="3" t="s">
        <v>3</v>
      </c>
      <c r="E139" s="3" t="s">
        <v>492</v>
      </c>
      <c r="F139" s="3" t="s">
        <v>348</v>
      </c>
      <c r="G139" s="1">
        <v>23143</v>
      </c>
      <c r="H139" s="11">
        <f t="shared" ca="1" si="21"/>
        <v>61</v>
      </c>
      <c r="I139" t="s">
        <v>626</v>
      </c>
      <c r="J139" s="1">
        <v>35175</v>
      </c>
      <c r="P139" s="1">
        <f t="shared" ca="1" si="22"/>
        <v>33892</v>
      </c>
      <c r="Q139">
        <f t="shared" ca="1" si="23"/>
        <v>29</v>
      </c>
      <c r="Y139">
        <v>1</v>
      </c>
      <c r="Z139" t="str">
        <f t="shared" ca="1" si="16"/>
        <v>14052</v>
      </c>
      <c r="AA139" t="str">
        <f t="shared" si="17"/>
        <v>Berlin</v>
      </c>
      <c r="AB139" t="str">
        <f t="shared" si="18"/>
        <v>Gerhard-Schröder-Straße</v>
      </c>
      <c r="AC139" t="str" cm="1">
        <f t="array" ref="AC139">ErzeugeHausnummer()</f>
        <v>64</v>
      </c>
      <c r="AD139">
        <v>1</v>
      </c>
      <c r="AF139">
        <v>1</v>
      </c>
      <c r="AG139" s="6" t="str">
        <f t="shared" si="19"/>
        <v>030</v>
      </c>
      <c r="AH139" t="str">
        <f t="shared" ca="1" si="20"/>
        <v>92803435</v>
      </c>
      <c r="AI139">
        <v>1</v>
      </c>
      <c r="AK139">
        <v>2</v>
      </c>
      <c r="AN139">
        <v>1</v>
      </c>
      <c r="AU139">
        <v>1</v>
      </c>
    </row>
    <row r="140" spans="1:47" x14ac:dyDescent="0.45">
      <c r="A140">
        <v>138</v>
      </c>
      <c r="B140">
        <v>99</v>
      </c>
      <c r="C140">
        <v>48</v>
      </c>
      <c r="D140" s="3" t="s">
        <v>0</v>
      </c>
      <c r="E140" s="3" t="s">
        <v>493</v>
      </c>
      <c r="F140" s="3" t="s">
        <v>349</v>
      </c>
      <c r="G140" s="1">
        <v>22291</v>
      </c>
      <c r="H140" s="11">
        <f t="shared" ca="1" si="21"/>
        <v>63</v>
      </c>
      <c r="I140" t="s">
        <v>626</v>
      </c>
      <c r="J140" s="1">
        <v>35862</v>
      </c>
      <c r="P140" s="1">
        <f t="shared" ca="1" si="22"/>
        <v>38496</v>
      </c>
      <c r="Q140">
        <f t="shared" ca="1" si="23"/>
        <v>44</v>
      </c>
      <c r="Y140">
        <v>1</v>
      </c>
      <c r="Z140" t="str">
        <f t="shared" ca="1" si="16"/>
        <v>12057</v>
      </c>
      <c r="AA140" t="str">
        <f t="shared" si="17"/>
        <v>Berlin</v>
      </c>
      <c r="AB140" t="str">
        <f t="shared" si="18"/>
        <v>Breite Straße</v>
      </c>
      <c r="AC140" t="str" cm="1">
        <f t="array" ref="AC140">ErzeugeHausnummer()</f>
        <v>27</v>
      </c>
      <c r="AD140">
        <v>1</v>
      </c>
      <c r="AF140">
        <v>1</v>
      </c>
      <c r="AG140" s="6" t="str">
        <f t="shared" si="19"/>
        <v>030</v>
      </c>
      <c r="AH140" t="str">
        <f t="shared" ca="1" si="20"/>
        <v>55642174</v>
      </c>
      <c r="AI140">
        <v>1</v>
      </c>
      <c r="AK140">
        <v>2</v>
      </c>
      <c r="AN140">
        <v>1</v>
      </c>
      <c r="AU140">
        <v>1</v>
      </c>
    </row>
    <row r="141" spans="1:47" x14ac:dyDescent="0.45">
      <c r="A141">
        <v>139</v>
      </c>
      <c r="B141">
        <v>27</v>
      </c>
      <c r="C141">
        <v>102</v>
      </c>
      <c r="D141" s="3" t="s">
        <v>0</v>
      </c>
      <c r="E141" s="3" t="s">
        <v>494</v>
      </c>
      <c r="F141" s="3" t="s">
        <v>350</v>
      </c>
      <c r="G141" s="1">
        <v>35665</v>
      </c>
      <c r="H141" s="11">
        <f t="shared" ca="1" si="21"/>
        <v>26</v>
      </c>
      <c r="I141" t="s">
        <v>626</v>
      </c>
      <c r="J141" s="1">
        <v>45226</v>
      </c>
      <c r="P141" s="1">
        <f t="shared" ca="1" si="22"/>
        <v>50582</v>
      </c>
      <c r="Q141">
        <f t="shared" ca="1" si="23"/>
        <v>41</v>
      </c>
      <c r="Y141">
        <v>1</v>
      </c>
      <c r="Z141" t="str">
        <f t="shared" ca="1" si="16"/>
        <v>14052</v>
      </c>
      <c r="AA141" t="str">
        <f t="shared" si="17"/>
        <v>Berlin</v>
      </c>
      <c r="AB141" t="str">
        <f t="shared" si="18"/>
        <v>Gustav-Stresemann-Straße</v>
      </c>
      <c r="AC141" t="str" cm="1">
        <f t="array" ref="AC141">ErzeugeHausnummer()</f>
        <v>71</v>
      </c>
      <c r="AD141">
        <v>1</v>
      </c>
      <c r="AF141">
        <v>1</v>
      </c>
      <c r="AG141" s="6" t="str">
        <f t="shared" si="19"/>
        <v>030</v>
      </c>
      <c r="AH141" t="str">
        <f t="shared" ca="1" si="20"/>
        <v>85565693</v>
      </c>
      <c r="AI141">
        <v>1</v>
      </c>
      <c r="AK141">
        <v>2</v>
      </c>
      <c r="AN141">
        <v>1</v>
      </c>
      <c r="AU141">
        <v>1</v>
      </c>
    </row>
    <row r="142" spans="1:47" x14ac:dyDescent="0.45">
      <c r="A142">
        <v>140</v>
      </c>
      <c r="B142">
        <v>113</v>
      </c>
      <c r="C142">
        <v>28</v>
      </c>
      <c r="D142" s="3" t="s">
        <v>0</v>
      </c>
      <c r="E142" s="3" t="s">
        <v>495</v>
      </c>
      <c r="F142" s="3" t="s">
        <v>351</v>
      </c>
      <c r="G142" s="1">
        <v>34731</v>
      </c>
      <c r="H142" s="11">
        <f t="shared" ca="1" si="21"/>
        <v>29</v>
      </c>
      <c r="I142" t="s">
        <v>624</v>
      </c>
      <c r="J142" s="1"/>
      <c r="P142" s="1">
        <f t="shared" ca="1" si="22"/>
        <v>41936</v>
      </c>
      <c r="Q142">
        <f t="shared" ca="1" si="23"/>
        <v>19</v>
      </c>
      <c r="Y142">
        <v>1</v>
      </c>
      <c r="Z142" t="str">
        <f t="shared" ca="1" si="16"/>
        <v>10369</v>
      </c>
      <c r="AA142" t="str">
        <f t="shared" si="17"/>
        <v>Berlin</v>
      </c>
      <c r="AB142" t="str">
        <f t="shared" si="18"/>
        <v>Bachstraße</v>
      </c>
      <c r="AC142" t="str" cm="1">
        <f t="array" ref="AC142">ErzeugeHausnummer()</f>
        <v>32</v>
      </c>
      <c r="AD142">
        <v>1</v>
      </c>
      <c r="AF142">
        <v>1</v>
      </c>
      <c r="AG142" s="6" t="str">
        <f t="shared" si="19"/>
        <v>030</v>
      </c>
      <c r="AH142" t="str">
        <f t="shared" ca="1" si="20"/>
        <v>96228092</v>
      </c>
      <c r="AI142">
        <v>1</v>
      </c>
      <c r="AK142">
        <v>2</v>
      </c>
      <c r="AN142">
        <v>1</v>
      </c>
      <c r="AU142">
        <v>1</v>
      </c>
    </row>
    <row r="143" spans="1:47" x14ac:dyDescent="0.45">
      <c r="A143">
        <v>141</v>
      </c>
      <c r="B143">
        <v>167</v>
      </c>
      <c r="C143">
        <v>172</v>
      </c>
      <c r="D143" s="3" t="s">
        <v>0</v>
      </c>
      <c r="E143" s="3" t="s">
        <v>496</v>
      </c>
      <c r="F143" s="3" t="s">
        <v>352</v>
      </c>
      <c r="G143" s="1">
        <v>27396</v>
      </c>
      <c r="H143" s="11">
        <f t="shared" ca="1" si="21"/>
        <v>49</v>
      </c>
      <c r="I143" t="s">
        <v>624</v>
      </c>
      <c r="P143" s="1">
        <f t="shared" ca="1" si="22"/>
        <v>39499</v>
      </c>
      <c r="Q143">
        <f t="shared" ca="1" si="23"/>
        <v>33</v>
      </c>
      <c r="Y143">
        <v>1</v>
      </c>
      <c r="Z143" t="str">
        <f t="shared" ca="1" si="16"/>
        <v>14621</v>
      </c>
      <c r="AA143" t="str">
        <f t="shared" si="17"/>
        <v>Paaren im Glien</v>
      </c>
      <c r="AB143" t="str">
        <f t="shared" si="18"/>
        <v>Löwenweg</v>
      </c>
      <c r="AC143" t="str" cm="1">
        <f t="array" ref="AC143">ErzeugeHausnummer()</f>
        <v>2</v>
      </c>
      <c r="AD143">
        <v>1</v>
      </c>
      <c r="AF143">
        <v>1</v>
      </c>
      <c r="AG143" s="6" t="str">
        <f t="shared" si="19"/>
        <v>033230</v>
      </c>
      <c r="AH143" t="str">
        <f t="shared" ca="1" si="20"/>
        <v>4165</v>
      </c>
      <c r="AI143">
        <v>1</v>
      </c>
      <c r="AK143">
        <v>2</v>
      </c>
      <c r="AN143">
        <v>1</v>
      </c>
      <c r="AU143">
        <v>1</v>
      </c>
    </row>
    <row r="144" spans="1:47" x14ac:dyDescent="0.45">
      <c r="A144">
        <v>142</v>
      </c>
      <c r="B144">
        <v>177</v>
      </c>
      <c r="C144">
        <v>166</v>
      </c>
      <c r="D144" s="3" t="s">
        <v>3</v>
      </c>
      <c r="E144" s="3" t="s">
        <v>497</v>
      </c>
      <c r="F144" s="3" t="s">
        <v>353</v>
      </c>
      <c r="G144" s="1">
        <v>27326</v>
      </c>
      <c r="H144" s="11">
        <f t="shared" ca="1" si="21"/>
        <v>49</v>
      </c>
      <c r="I144" t="s">
        <v>626</v>
      </c>
      <c r="J144" s="1">
        <v>41339</v>
      </c>
      <c r="P144" s="1">
        <f t="shared" ca="1" si="22"/>
        <v>42236</v>
      </c>
      <c r="Q144">
        <f t="shared" ca="1" si="23"/>
        <v>40</v>
      </c>
      <c r="Y144">
        <v>1</v>
      </c>
      <c r="Z144" t="str">
        <f t="shared" ca="1" si="16"/>
        <v>14554</v>
      </c>
      <c r="AA144" t="str">
        <f t="shared" si="17"/>
        <v>Seddiner See</v>
      </c>
      <c r="AB144" t="str">
        <f t="shared" si="18"/>
        <v>Lindenstraße</v>
      </c>
      <c r="AC144" t="str" cm="1">
        <f t="array" ref="AC144">ErzeugeHausnummer()</f>
        <v>28</v>
      </c>
      <c r="AD144">
        <v>1</v>
      </c>
      <c r="AF144">
        <v>1</v>
      </c>
      <c r="AG144" s="6" t="str">
        <f t="shared" si="19"/>
        <v>033205</v>
      </c>
      <c r="AH144" t="str">
        <f t="shared" ca="1" si="20"/>
        <v>9614</v>
      </c>
      <c r="AI144">
        <v>1</v>
      </c>
      <c r="AK144">
        <v>2</v>
      </c>
      <c r="AN144">
        <v>1</v>
      </c>
      <c r="AU144">
        <v>1</v>
      </c>
    </row>
    <row r="145" spans="1:47" x14ac:dyDescent="0.45">
      <c r="A145">
        <v>143</v>
      </c>
      <c r="B145">
        <v>84</v>
      </c>
      <c r="C145">
        <v>88</v>
      </c>
      <c r="D145" s="3" t="s">
        <v>3</v>
      </c>
      <c r="E145" s="3" t="s">
        <v>498</v>
      </c>
      <c r="F145" s="3" t="s">
        <v>93</v>
      </c>
      <c r="G145" s="1">
        <v>18969</v>
      </c>
      <c r="H145" s="11">
        <f t="shared" ca="1" si="21"/>
        <v>73</v>
      </c>
      <c r="I145" t="s">
        <v>626</v>
      </c>
      <c r="J145" s="1">
        <v>27278</v>
      </c>
      <c r="P145" s="1">
        <f t="shared" ca="1" si="22"/>
        <v>33178</v>
      </c>
      <c r="Q145">
        <f t="shared" ca="1" si="23"/>
        <v>38</v>
      </c>
      <c r="R145" s="1">
        <f>DATE(IF(MONTH(G145)=12,YEAR(G145)+66,YEAR(G145)+65),IF(MONTH(G145)=12,1,MONTH(G145)+1),1)</f>
        <v>42736</v>
      </c>
      <c r="S145" t="s">
        <v>1022</v>
      </c>
      <c r="Y145">
        <v>1</v>
      </c>
      <c r="Z145" t="str">
        <f t="shared" ca="1" si="16"/>
        <v>14163</v>
      </c>
      <c r="AA145" t="str">
        <f t="shared" si="17"/>
        <v>Berlin</v>
      </c>
      <c r="AB145" t="str">
        <f t="shared" si="18"/>
        <v>Friedrich-Engels-Straße</v>
      </c>
      <c r="AC145" t="str" cm="1">
        <f t="array" ref="AC145">ErzeugeHausnummer()</f>
        <v>11D/E</v>
      </c>
      <c r="AD145">
        <v>1</v>
      </c>
      <c r="AF145">
        <v>1</v>
      </c>
      <c r="AG145" s="6" t="str">
        <f t="shared" si="19"/>
        <v>030</v>
      </c>
      <c r="AH145" t="str">
        <f t="shared" ca="1" si="20"/>
        <v>81041231</v>
      </c>
      <c r="AI145">
        <v>1</v>
      </c>
      <c r="AK145">
        <v>2</v>
      </c>
      <c r="AN145">
        <v>1</v>
      </c>
      <c r="AU145">
        <v>1</v>
      </c>
    </row>
    <row r="146" spans="1:47" x14ac:dyDescent="0.45">
      <c r="A146">
        <v>144</v>
      </c>
      <c r="B146">
        <v>38</v>
      </c>
      <c r="C146">
        <v>90</v>
      </c>
      <c r="D146" s="3" t="s">
        <v>0</v>
      </c>
      <c r="E146" s="3" t="s">
        <v>499</v>
      </c>
      <c r="F146" s="3" t="s">
        <v>354</v>
      </c>
      <c r="G146" s="1">
        <v>34789</v>
      </c>
      <c r="H146" s="11">
        <f t="shared" ca="1" si="21"/>
        <v>28</v>
      </c>
      <c r="I146" t="s">
        <v>624</v>
      </c>
      <c r="J146" s="1"/>
      <c r="P146" s="1">
        <f t="shared" ca="1" si="22"/>
        <v>51369</v>
      </c>
      <c r="Q146">
        <f t="shared" ca="1" si="23"/>
        <v>44</v>
      </c>
      <c r="Y146">
        <v>1</v>
      </c>
      <c r="Z146" t="str">
        <f t="shared" ca="1" si="16"/>
        <v>13581</v>
      </c>
      <c r="AA146" t="str">
        <f t="shared" si="17"/>
        <v>Berlin</v>
      </c>
      <c r="AB146" t="str">
        <f t="shared" si="18"/>
        <v>Friedrich-Schiller-Straße</v>
      </c>
      <c r="AC146" t="str" cm="1">
        <f t="array" ref="AC146">ErzeugeHausnummer()</f>
        <v>76</v>
      </c>
      <c r="AD146">
        <v>1</v>
      </c>
      <c r="AF146">
        <v>1</v>
      </c>
      <c r="AG146" s="6" t="str">
        <f t="shared" si="19"/>
        <v>030</v>
      </c>
      <c r="AH146" t="str">
        <f t="shared" ca="1" si="20"/>
        <v>61020202</v>
      </c>
      <c r="AI146">
        <v>1</v>
      </c>
      <c r="AK146">
        <v>2</v>
      </c>
      <c r="AN146">
        <v>1</v>
      </c>
      <c r="AU146">
        <v>1</v>
      </c>
    </row>
    <row r="147" spans="1:47" x14ac:dyDescent="0.45">
      <c r="A147">
        <v>145</v>
      </c>
      <c r="B147">
        <v>145</v>
      </c>
      <c r="C147">
        <v>193</v>
      </c>
      <c r="D147" s="3" t="s">
        <v>0</v>
      </c>
      <c r="E147" s="3" t="s">
        <v>500</v>
      </c>
      <c r="F147" s="3" t="s">
        <v>355</v>
      </c>
      <c r="G147" s="1">
        <v>25722</v>
      </c>
      <c r="H147" s="11">
        <f t="shared" ca="1" si="21"/>
        <v>54</v>
      </c>
      <c r="I147" t="s">
        <v>627</v>
      </c>
      <c r="J147" s="1">
        <v>43977</v>
      </c>
      <c r="P147" s="1">
        <f t="shared" ca="1" si="22"/>
        <v>43271</v>
      </c>
      <c r="Q147">
        <f t="shared" ca="1" si="23"/>
        <v>48</v>
      </c>
      <c r="Y147">
        <v>1</v>
      </c>
      <c r="Z147" t="str">
        <f t="shared" ca="1" si="16"/>
        <v>14797</v>
      </c>
      <c r="AA147" t="str">
        <f t="shared" si="17"/>
        <v>Lehnin</v>
      </c>
      <c r="AB147" t="str">
        <f t="shared" si="18"/>
        <v>Mozartgasse</v>
      </c>
      <c r="AC147" t="str" cm="1">
        <f t="array" ref="AC147">ErzeugeHausnummer()</f>
        <v>30</v>
      </c>
      <c r="AD147">
        <v>1</v>
      </c>
      <c r="AF147">
        <v>1</v>
      </c>
      <c r="AG147" s="6" t="str">
        <f t="shared" si="19"/>
        <v>033835</v>
      </c>
      <c r="AH147" t="str">
        <f t="shared" ca="1" si="20"/>
        <v>6546</v>
      </c>
      <c r="AI147">
        <v>1</v>
      </c>
      <c r="AK147">
        <v>2</v>
      </c>
      <c r="AN147">
        <v>1</v>
      </c>
      <c r="AU147">
        <v>1</v>
      </c>
    </row>
    <row r="148" spans="1:47" x14ac:dyDescent="0.45">
      <c r="A148">
        <v>146</v>
      </c>
      <c r="B148">
        <v>137</v>
      </c>
      <c r="C148">
        <v>108</v>
      </c>
      <c r="D148" s="3" t="s">
        <v>3</v>
      </c>
      <c r="E148" s="3" t="s">
        <v>501</v>
      </c>
      <c r="F148" s="3" t="s">
        <v>2</v>
      </c>
      <c r="G148" s="1">
        <v>30431</v>
      </c>
      <c r="H148" s="11">
        <f t="shared" ca="1" si="21"/>
        <v>40</v>
      </c>
      <c r="I148" t="s">
        <v>624</v>
      </c>
      <c r="P148" s="1">
        <f t="shared" ca="1" si="22"/>
        <v>42969</v>
      </c>
      <c r="Q148">
        <f t="shared" ca="1" si="23"/>
        <v>33</v>
      </c>
      <c r="Y148">
        <v>1</v>
      </c>
      <c r="Z148" t="str">
        <f t="shared" ca="1" si="16"/>
        <v>14554</v>
      </c>
      <c r="AA148" t="str">
        <f t="shared" si="17"/>
        <v>Seddiner See</v>
      </c>
      <c r="AB148" t="str">
        <f t="shared" si="18"/>
        <v>Hauptplatz</v>
      </c>
      <c r="AC148" t="str" cm="1">
        <f t="array" ref="AC148">ErzeugeHausnummer()</f>
        <v>2</v>
      </c>
      <c r="AD148">
        <v>1</v>
      </c>
      <c r="AF148">
        <v>1</v>
      </c>
      <c r="AG148" s="6" t="str">
        <f t="shared" si="19"/>
        <v>033205</v>
      </c>
      <c r="AH148" t="str">
        <f t="shared" ca="1" si="20"/>
        <v>8323</v>
      </c>
      <c r="AI148">
        <v>1</v>
      </c>
      <c r="AK148">
        <v>2</v>
      </c>
      <c r="AN148">
        <v>1</v>
      </c>
      <c r="AU148">
        <v>1</v>
      </c>
    </row>
    <row r="149" spans="1:47" x14ac:dyDescent="0.45">
      <c r="A149">
        <v>147</v>
      </c>
      <c r="B149">
        <v>197</v>
      </c>
      <c r="C149">
        <v>117</v>
      </c>
      <c r="D149" s="3" t="s">
        <v>0</v>
      </c>
      <c r="E149" s="3" t="s">
        <v>502</v>
      </c>
      <c r="F149" s="3" t="s">
        <v>356</v>
      </c>
      <c r="G149" s="1">
        <v>30262</v>
      </c>
      <c r="H149" s="11">
        <f t="shared" ca="1" si="21"/>
        <v>42</v>
      </c>
      <c r="I149" t="s">
        <v>626</v>
      </c>
      <c r="J149" s="1">
        <v>39595</v>
      </c>
      <c r="P149" s="1">
        <f t="shared" ca="1" si="22"/>
        <v>45513</v>
      </c>
      <c r="Q149">
        <f t="shared" ca="1" si="23"/>
        <v>42</v>
      </c>
      <c r="Y149">
        <v>1</v>
      </c>
      <c r="Z149" t="str">
        <f t="shared" ca="1" si="16"/>
        <v>14772</v>
      </c>
      <c r="AA149" t="str">
        <f t="shared" si="17"/>
        <v>Hohenstücken</v>
      </c>
      <c r="AB149" t="str">
        <f t="shared" si="18"/>
        <v>Hermann-Hesse-Straße</v>
      </c>
      <c r="AC149" t="str" cm="1">
        <f t="array" ref="AC149">ErzeugeHausnummer()</f>
        <v>7</v>
      </c>
      <c r="AD149">
        <v>1</v>
      </c>
      <c r="AF149">
        <v>1</v>
      </c>
      <c r="AG149" s="6" t="str">
        <f t="shared" si="19"/>
        <v>03381</v>
      </c>
      <c r="AH149" t="str">
        <f t="shared" ca="1" si="20"/>
        <v>81959</v>
      </c>
      <c r="AI149">
        <v>1</v>
      </c>
      <c r="AK149">
        <v>2</v>
      </c>
      <c r="AN149">
        <v>1</v>
      </c>
      <c r="AU149">
        <v>1</v>
      </c>
    </row>
    <row r="150" spans="1:47" x14ac:dyDescent="0.45">
      <c r="A150">
        <v>148</v>
      </c>
      <c r="B150">
        <v>198</v>
      </c>
      <c r="C150">
        <v>200</v>
      </c>
      <c r="D150" s="3" t="s">
        <v>0</v>
      </c>
      <c r="E150" s="3" t="s">
        <v>503</v>
      </c>
      <c r="F150" s="3" t="s">
        <v>357</v>
      </c>
      <c r="G150" s="1">
        <v>22589</v>
      </c>
      <c r="H150" s="11">
        <f t="shared" ca="1" si="21"/>
        <v>63</v>
      </c>
      <c r="I150" t="s">
        <v>626</v>
      </c>
      <c r="J150" s="1">
        <v>35608</v>
      </c>
      <c r="P150" s="1">
        <f t="shared" ca="1" si="22"/>
        <v>33288</v>
      </c>
      <c r="Q150">
        <f t="shared" ca="1" si="23"/>
        <v>30</v>
      </c>
      <c r="Y150">
        <v>1</v>
      </c>
      <c r="Z150" t="str">
        <f t="shared" ca="1" si="16"/>
        <v>14778</v>
      </c>
      <c r="AA150" t="str">
        <f t="shared" si="17"/>
        <v>Päwesin</v>
      </c>
      <c r="AB150" t="str">
        <f t="shared" si="18"/>
        <v>Nashvilleplatz</v>
      </c>
      <c r="AC150" t="str" cm="1">
        <f t="array" ref="AC150">ErzeugeHausnummer()</f>
        <v>83</v>
      </c>
      <c r="AD150">
        <v>1</v>
      </c>
      <c r="AF150">
        <v>1</v>
      </c>
      <c r="AG150" s="6" t="str">
        <f t="shared" si="19"/>
        <v>03381</v>
      </c>
      <c r="AH150" t="str">
        <f t="shared" ca="1" si="20"/>
        <v>83871</v>
      </c>
      <c r="AI150">
        <v>1</v>
      </c>
      <c r="AK150">
        <v>2</v>
      </c>
      <c r="AN150">
        <v>1</v>
      </c>
      <c r="AU150">
        <v>1</v>
      </c>
    </row>
    <row r="151" spans="1:47" x14ac:dyDescent="0.45">
      <c r="A151">
        <v>149</v>
      </c>
      <c r="B151">
        <v>29</v>
      </c>
      <c r="C151">
        <v>264</v>
      </c>
      <c r="D151" s="3" t="s">
        <v>3</v>
      </c>
      <c r="E151" s="3" t="s">
        <v>504</v>
      </c>
      <c r="F151" s="3" t="s">
        <v>358</v>
      </c>
      <c r="G151" s="1">
        <v>32683</v>
      </c>
      <c r="H151" s="11">
        <f t="shared" ca="1" si="21"/>
        <v>34</v>
      </c>
      <c r="I151" t="s">
        <v>624</v>
      </c>
      <c r="P151" s="1">
        <f t="shared" ca="1" si="22"/>
        <v>45335</v>
      </c>
      <c r="Q151">
        <f t="shared" ca="1" si="23"/>
        <v>34</v>
      </c>
      <c r="Y151">
        <v>1</v>
      </c>
      <c r="Z151" t="str">
        <f t="shared" ca="1" si="16"/>
        <v>14052</v>
      </c>
      <c r="AA151" t="str">
        <f t="shared" si="17"/>
        <v>Berlin</v>
      </c>
      <c r="AB151" t="str">
        <f t="shared" si="18"/>
        <v>Siedlungsstraße</v>
      </c>
      <c r="AC151" t="str" cm="1">
        <f t="array" ref="AC151">ErzeugeHausnummer()</f>
        <v>16</v>
      </c>
      <c r="AD151">
        <v>1</v>
      </c>
      <c r="AF151">
        <v>1</v>
      </c>
      <c r="AG151" s="6" t="str">
        <f t="shared" si="19"/>
        <v>030</v>
      </c>
      <c r="AH151" t="str">
        <f t="shared" ca="1" si="20"/>
        <v>45972043</v>
      </c>
      <c r="AI151">
        <v>1</v>
      </c>
      <c r="AK151">
        <v>2</v>
      </c>
      <c r="AN151">
        <v>1</v>
      </c>
      <c r="AU151">
        <v>1</v>
      </c>
    </row>
    <row r="152" spans="1:47" x14ac:dyDescent="0.45">
      <c r="A152">
        <v>150</v>
      </c>
      <c r="B152">
        <v>120</v>
      </c>
      <c r="C152">
        <v>160</v>
      </c>
      <c r="D152" s="3" t="s">
        <v>3</v>
      </c>
      <c r="E152" s="3" t="s">
        <v>505</v>
      </c>
      <c r="F152" s="3" t="s">
        <v>359</v>
      </c>
      <c r="G152" s="1">
        <v>28048</v>
      </c>
      <c r="H152" s="11">
        <f t="shared" ca="1" si="21"/>
        <v>48</v>
      </c>
      <c r="I152" t="s">
        <v>626</v>
      </c>
      <c r="J152" s="1">
        <v>37750</v>
      </c>
      <c r="P152" s="1">
        <f t="shared" ca="1" si="22"/>
        <v>42095</v>
      </c>
      <c r="Q152">
        <f t="shared" ca="1" si="23"/>
        <v>38</v>
      </c>
      <c r="Y152">
        <v>1</v>
      </c>
      <c r="Z152" t="str">
        <f t="shared" ca="1" si="16"/>
        <v>13435</v>
      </c>
      <c r="AA152" t="str">
        <f t="shared" si="17"/>
        <v>Berlin</v>
      </c>
      <c r="AB152" t="str">
        <f t="shared" si="18"/>
        <v>Kurt-Tucholsky-Straße</v>
      </c>
      <c r="AC152" t="str" cm="1">
        <f t="array" ref="AC152">ErzeugeHausnummer()</f>
        <v>18B/C</v>
      </c>
      <c r="AD152">
        <v>1</v>
      </c>
      <c r="AF152">
        <v>1</v>
      </c>
      <c r="AG152" s="6" t="str">
        <f t="shared" si="19"/>
        <v>030</v>
      </c>
      <c r="AH152" t="str">
        <f t="shared" ca="1" si="20"/>
        <v>41182080</v>
      </c>
      <c r="AI152">
        <v>1</v>
      </c>
      <c r="AK152">
        <v>2</v>
      </c>
      <c r="AN152">
        <v>1</v>
      </c>
      <c r="AU152">
        <v>1</v>
      </c>
    </row>
    <row r="153" spans="1:47" x14ac:dyDescent="0.45">
      <c r="A153">
        <v>151</v>
      </c>
      <c r="B153">
        <v>3</v>
      </c>
      <c r="C153">
        <v>242</v>
      </c>
      <c r="D153" s="3" t="s">
        <v>3</v>
      </c>
      <c r="E153" s="3" t="s">
        <v>506</v>
      </c>
      <c r="F153" s="3" t="s">
        <v>360</v>
      </c>
      <c r="G153" s="1">
        <v>26367</v>
      </c>
      <c r="H153" s="11">
        <f t="shared" ca="1" si="21"/>
        <v>52</v>
      </c>
      <c r="I153" t="s">
        <v>626</v>
      </c>
      <c r="J153" s="1">
        <v>33446</v>
      </c>
      <c r="P153" s="1">
        <f t="shared" ca="1" si="22"/>
        <v>36862</v>
      </c>
      <c r="Q153">
        <f t="shared" ca="1" si="23"/>
        <v>27</v>
      </c>
      <c r="Y153">
        <v>1</v>
      </c>
      <c r="Z153" t="str">
        <f t="shared" ca="1" si="16"/>
        <v>10115</v>
      </c>
      <c r="AA153" t="str">
        <f t="shared" si="17"/>
        <v>Berlin</v>
      </c>
      <c r="AB153" t="str">
        <f t="shared" si="18"/>
        <v>San-Antonio-Weg</v>
      </c>
      <c r="AC153" t="str" cm="1">
        <f t="array" ref="AC153">ErzeugeHausnummer()</f>
        <v>9F</v>
      </c>
      <c r="AD153">
        <v>1</v>
      </c>
      <c r="AF153">
        <v>1</v>
      </c>
      <c r="AG153" s="6" t="str">
        <f t="shared" si="19"/>
        <v>030</v>
      </c>
      <c r="AH153" t="str">
        <f t="shared" ca="1" si="20"/>
        <v>82245606</v>
      </c>
      <c r="AI153">
        <v>1</v>
      </c>
      <c r="AK153">
        <v>2</v>
      </c>
      <c r="AN153">
        <v>1</v>
      </c>
      <c r="AU153">
        <v>1</v>
      </c>
    </row>
    <row r="154" spans="1:47" x14ac:dyDescent="0.45">
      <c r="A154">
        <v>152</v>
      </c>
      <c r="B154">
        <v>96</v>
      </c>
      <c r="C154">
        <v>62</v>
      </c>
      <c r="D154" s="3" t="s">
        <v>0</v>
      </c>
      <c r="E154" s="3" t="s">
        <v>507</v>
      </c>
      <c r="F154" s="3" t="s">
        <v>342</v>
      </c>
      <c r="G154" s="1">
        <v>38433</v>
      </c>
      <c r="H154" s="11">
        <f t="shared" ca="1" si="21"/>
        <v>19</v>
      </c>
      <c r="I154" t="s">
        <v>624</v>
      </c>
      <c r="P154" s="1">
        <f t="shared" ca="1" si="22"/>
        <v>52233</v>
      </c>
      <c r="Q154">
        <f t="shared" ca="1" si="23"/>
        <v>37</v>
      </c>
      <c r="Y154">
        <v>1</v>
      </c>
      <c r="Z154" t="str">
        <f t="shared" ca="1" si="16"/>
        <v>12043</v>
      </c>
      <c r="AA154" t="str">
        <f t="shared" si="17"/>
        <v>Berlin</v>
      </c>
      <c r="AB154" t="str">
        <f t="shared" si="18"/>
        <v>Dallas-Allee</v>
      </c>
      <c r="AC154" t="str" cm="1">
        <f t="array" ref="AC154">ErzeugeHausnummer()</f>
        <v>14</v>
      </c>
      <c r="AD154">
        <v>1</v>
      </c>
      <c r="AF154">
        <v>1</v>
      </c>
      <c r="AG154" s="6" t="str">
        <f t="shared" si="19"/>
        <v>030</v>
      </c>
      <c r="AH154" t="str">
        <f t="shared" ca="1" si="20"/>
        <v>48877596</v>
      </c>
      <c r="AI154">
        <v>1</v>
      </c>
      <c r="AK154">
        <v>2</v>
      </c>
      <c r="AN154">
        <v>1</v>
      </c>
      <c r="AU154">
        <v>1</v>
      </c>
    </row>
    <row r="155" spans="1:47" x14ac:dyDescent="0.45">
      <c r="A155">
        <v>153</v>
      </c>
      <c r="B155">
        <v>53</v>
      </c>
      <c r="C155">
        <v>38</v>
      </c>
      <c r="D155" s="3" t="s">
        <v>3</v>
      </c>
      <c r="E155" s="3" t="s">
        <v>508</v>
      </c>
      <c r="F155" s="3" t="s">
        <v>361</v>
      </c>
      <c r="G155" s="1">
        <v>19333</v>
      </c>
      <c r="H155" s="11">
        <f t="shared" ca="1" si="21"/>
        <v>72</v>
      </c>
      <c r="I155" t="s">
        <v>626</v>
      </c>
      <c r="J155" s="1">
        <v>30030</v>
      </c>
      <c r="P155" s="1">
        <f t="shared" ca="1" si="22"/>
        <v>36936</v>
      </c>
      <c r="Q155">
        <f t="shared" ca="1" si="23"/>
        <v>49</v>
      </c>
      <c r="R155" s="1">
        <f>DATE(IF(MONTH(G155)=12,YEAR(G155)+66,YEAR(G155)+65),IF(MONTH(G155)=12,1,MONTH(G155)+1),1)</f>
        <v>43101</v>
      </c>
      <c r="S155" t="s">
        <v>1022</v>
      </c>
      <c r="Y155">
        <v>1</v>
      </c>
      <c r="Z155" t="str">
        <f t="shared" ca="1" si="16"/>
        <v>13597</v>
      </c>
      <c r="AA155" t="str">
        <f t="shared" si="17"/>
        <v>Berlin</v>
      </c>
      <c r="AB155" t="str">
        <f t="shared" si="18"/>
        <v>Bergweg</v>
      </c>
      <c r="AC155" t="str" cm="1">
        <f t="array" ref="AC155">ErzeugeHausnummer()</f>
        <v>14</v>
      </c>
      <c r="AD155">
        <v>1</v>
      </c>
      <c r="AF155">
        <v>1</v>
      </c>
      <c r="AG155" s="6" t="str">
        <f t="shared" si="19"/>
        <v>030</v>
      </c>
      <c r="AH155" t="str">
        <f t="shared" ca="1" si="20"/>
        <v>69286020</v>
      </c>
      <c r="AI155">
        <v>1</v>
      </c>
      <c r="AK155">
        <v>2</v>
      </c>
      <c r="AN155">
        <v>1</v>
      </c>
      <c r="AU155">
        <v>1</v>
      </c>
    </row>
    <row r="156" spans="1:47" x14ac:dyDescent="0.45">
      <c r="A156">
        <v>154</v>
      </c>
      <c r="B156">
        <v>51</v>
      </c>
      <c r="C156">
        <v>84</v>
      </c>
      <c r="D156" s="3" t="s">
        <v>3</v>
      </c>
      <c r="E156" s="3" t="s">
        <v>509</v>
      </c>
      <c r="F156" s="3" t="s">
        <v>612</v>
      </c>
      <c r="G156" s="1">
        <v>37496</v>
      </c>
      <c r="H156" s="11">
        <f t="shared" ca="1" si="21"/>
        <v>21</v>
      </c>
      <c r="I156" t="s">
        <v>624</v>
      </c>
      <c r="P156" s="1">
        <f t="shared" ca="1" si="22"/>
        <v>55214</v>
      </c>
      <c r="Q156">
        <f t="shared" ca="1" si="23"/>
        <v>48</v>
      </c>
      <c r="Y156">
        <v>1</v>
      </c>
      <c r="Z156" t="str">
        <f t="shared" ca="1" si="16"/>
        <v>13581</v>
      </c>
      <c r="AA156" t="str">
        <f t="shared" si="17"/>
        <v>Berlin</v>
      </c>
      <c r="AB156" t="str">
        <f t="shared" si="18"/>
        <v>Franz-Kafka-Straße</v>
      </c>
      <c r="AC156" t="str" cm="1">
        <f t="array" ref="AC156">ErzeugeHausnummer()</f>
        <v>15D</v>
      </c>
      <c r="AD156">
        <v>1</v>
      </c>
      <c r="AF156">
        <v>1</v>
      </c>
      <c r="AG156" s="6" t="str">
        <f t="shared" si="19"/>
        <v>030</v>
      </c>
      <c r="AH156" t="str">
        <f t="shared" ca="1" si="20"/>
        <v>99866156</v>
      </c>
      <c r="AI156">
        <v>1</v>
      </c>
      <c r="AK156">
        <v>2</v>
      </c>
      <c r="AN156">
        <v>1</v>
      </c>
      <c r="AU156">
        <v>1</v>
      </c>
    </row>
    <row r="157" spans="1:47" x14ac:dyDescent="0.45">
      <c r="A157">
        <v>155</v>
      </c>
      <c r="B157">
        <v>164</v>
      </c>
      <c r="C157">
        <v>109</v>
      </c>
      <c r="D157" s="3" t="s">
        <v>3</v>
      </c>
      <c r="E157" s="3" t="s">
        <v>510</v>
      </c>
      <c r="F157" s="3" t="s">
        <v>93</v>
      </c>
      <c r="G157" s="1">
        <v>23282</v>
      </c>
      <c r="H157" s="11">
        <f t="shared" ca="1" si="21"/>
        <v>60</v>
      </c>
      <c r="I157" t="s">
        <v>626</v>
      </c>
      <c r="J157" s="1">
        <v>37558</v>
      </c>
      <c r="P157" s="1">
        <f t="shared" ca="1" si="22"/>
        <v>31831</v>
      </c>
      <c r="Q157">
        <f t="shared" ca="1" si="23"/>
        <v>23</v>
      </c>
      <c r="Y157">
        <v>1</v>
      </c>
      <c r="Z157" t="str">
        <f t="shared" ca="1" si="16"/>
        <v>14715</v>
      </c>
      <c r="AA157" t="str">
        <f t="shared" si="17"/>
        <v>Berge</v>
      </c>
      <c r="AB157" t="str">
        <f t="shared" si="18"/>
        <v>Hauptstraße</v>
      </c>
      <c r="AC157" t="str" cm="1">
        <f t="array" ref="AC157">ErzeugeHausnummer()</f>
        <v>62A/B</v>
      </c>
      <c r="AD157">
        <v>1</v>
      </c>
      <c r="AF157">
        <v>1</v>
      </c>
      <c r="AG157" s="6" t="str">
        <f t="shared" si="19"/>
        <v>033874</v>
      </c>
      <c r="AH157" t="str">
        <f t="shared" ca="1" si="20"/>
        <v>5278</v>
      </c>
      <c r="AI157">
        <v>1</v>
      </c>
      <c r="AK157">
        <v>2</v>
      </c>
      <c r="AN157">
        <v>1</v>
      </c>
      <c r="AU157">
        <v>1</v>
      </c>
    </row>
    <row r="158" spans="1:47" x14ac:dyDescent="0.45">
      <c r="A158">
        <v>156</v>
      </c>
      <c r="B158">
        <v>111</v>
      </c>
      <c r="C158">
        <v>79</v>
      </c>
      <c r="D158" s="3" t="s">
        <v>3</v>
      </c>
      <c r="E158" s="3" t="s">
        <v>511</v>
      </c>
      <c r="F158" s="3" t="s">
        <v>362</v>
      </c>
      <c r="G158" s="1">
        <v>34874</v>
      </c>
      <c r="H158" s="11">
        <f t="shared" ca="1" si="21"/>
        <v>28</v>
      </c>
      <c r="I158" t="s">
        <v>626</v>
      </c>
      <c r="J158" s="1">
        <v>48567</v>
      </c>
      <c r="P158" s="1">
        <f t="shared" ca="1" si="22"/>
        <v>44713</v>
      </c>
      <c r="Q158">
        <f t="shared" ca="1" si="23"/>
        <v>26</v>
      </c>
      <c r="Y158">
        <v>1</v>
      </c>
      <c r="Z158" t="str">
        <f t="shared" ca="1" si="16"/>
        <v>10317</v>
      </c>
      <c r="AA158" t="str">
        <f t="shared" si="17"/>
        <v>Berlin</v>
      </c>
      <c r="AB158" t="str">
        <f t="shared" si="18"/>
        <v>Fasanenweg</v>
      </c>
      <c r="AC158" t="str" cm="1">
        <f t="array" ref="AC158">ErzeugeHausnummer()</f>
        <v>19</v>
      </c>
      <c r="AD158">
        <v>1</v>
      </c>
      <c r="AF158">
        <v>1</v>
      </c>
      <c r="AG158" s="6" t="str">
        <f t="shared" si="19"/>
        <v>030</v>
      </c>
      <c r="AH158" t="str">
        <f t="shared" ca="1" si="20"/>
        <v>61355489</v>
      </c>
      <c r="AI158">
        <v>1</v>
      </c>
      <c r="AK158">
        <v>2</v>
      </c>
      <c r="AN158">
        <v>1</v>
      </c>
      <c r="AU158">
        <v>1</v>
      </c>
    </row>
    <row r="159" spans="1:47" x14ac:dyDescent="0.45">
      <c r="A159">
        <v>157</v>
      </c>
      <c r="B159">
        <v>200</v>
      </c>
      <c r="C159">
        <v>132</v>
      </c>
      <c r="D159" s="3" t="s">
        <v>0</v>
      </c>
      <c r="E159" s="3" t="s">
        <v>512</v>
      </c>
      <c r="F159" s="3" t="s">
        <v>360</v>
      </c>
      <c r="G159" s="1">
        <v>37807</v>
      </c>
      <c r="H159" s="11">
        <f t="shared" ca="1" si="21"/>
        <v>21</v>
      </c>
      <c r="I159" t="s">
        <v>624</v>
      </c>
      <c r="P159" s="1">
        <f t="shared" ca="1" si="22"/>
        <v>46030</v>
      </c>
      <c r="Q159">
        <f t="shared" ca="1" si="23"/>
        <v>23</v>
      </c>
      <c r="Y159">
        <v>1</v>
      </c>
      <c r="Z159" t="str">
        <f t="shared" ca="1" si="16"/>
        <v>14776</v>
      </c>
      <c r="AA159" t="str">
        <f t="shared" si="17"/>
        <v>Brandenburg an der Havel</v>
      </c>
      <c r="AB159" t="str">
        <f t="shared" si="18"/>
        <v>Johannes-Gutenberg-Straße</v>
      </c>
      <c r="AC159" t="str" cm="1">
        <f t="array" ref="AC159">ErzeugeHausnummer()</f>
        <v>99D</v>
      </c>
      <c r="AD159">
        <v>1</v>
      </c>
      <c r="AF159">
        <v>1</v>
      </c>
      <c r="AG159" s="6" t="str">
        <f t="shared" si="19"/>
        <v>03381</v>
      </c>
      <c r="AH159" t="str">
        <f t="shared" ca="1" si="20"/>
        <v>84191</v>
      </c>
      <c r="AI159">
        <v>1</v>
      </c>
      <c r="AK159">
        <v>2</v>
      </c>
      <c r="AN159">
        <v>1</v>
      </c>
      <c r="AU159">
        <v>1</v>
      </c>
    </row>
    <row r="160" spans="1:47" x14ac:dyDescent="0.45">
      <c r="A160">
        <v>158</v>
      </c>
      <c r="B160">
        <v>109</v>
      </c>
      <c r="C160">
        <v>23</v>
      </c>
      <c r="D160" s="3" t="s">
        <v>0</v>
      </c>
      <c r="E160" s="3" t="s">
        <v>472</v>
      </c>
      <c r="F160" s="3" t="s">
        <v>363</v>
      </c>
      <c r="G160" s="1">
        <v>25770</v>
      </c>
      <c r="H160" s="11">
        <f t="shared" ca="1" si="21"/>
        <v>54</v>
      </c>
      <c r="I160" t="s">
        <v>626</v>
      </c>
      <c r="J160" s="1">
        <v>36506</v>
      </c>
      <c r="P160" s="1">
        <f t="shared" ca="1" si="22"/>
        <v>36958</v>
      </c>
      <c r="Q160">
        <f t="shared" ca="1" si="23"/>
        <v>30</v>
      </c>
      <c r="Y160">
        <v>1</v>
      </c>
      <c r="Z160" t="str">
        <f t="shared" ca="1" si="16"/>
        <v>12679</v>
      </c>
      <c r="AA160" t="str">
        <f t="shared" si="17"/>
        <v>Berlin</v>
      </c>
      <c r="AB160" t="str">
        <f t="shared" si="18"/>
        <v>Atlantastraße</v>
      </c>
      <c r="AC160" t="str" cm="1">
        <f t="array" ref="AC160">ErzeugeHausnummer()</f>
        <v>26</v>
      </c>
      <c r="AD160">
        <v>1</v>
      </c>
      <c r="AF160">
        <v>1</v>
      </c>
      <c r="AG160" s="6" t="str">
        <f t="shared" si="19"/>
        <v>030</v>
      </c>
      <c r="AH160" t="str">
        <f t="shared" ca="1" si="20"/>
        <v>42069521</v>
      </c>
      <c r="AI160">
        <v>1</v>
      </c>
      <c r="AK160">
        <v>2</v>
      </c>
      <c r="AN160">
        <v>1</v>
      </c>
      <c r="AU160">
        <v>1</v>
      </c>
    </row>
    <row r="161" spans="1:47" x14ac:dyDescent="0.45">
      <c r="A161">
        <v>159</v>
      </c>
      <c r="B161">
        <v>160</v>
      </c>
      <c r="C161">
        <v>272</v>
      </c>
      <c r="D161" s="3" t="s">
        <v>0</v>
      </c>
      <c r="E161" s="3" t="s">
        <v>513</v>
      </c>
      <c r="F161" s="3" t="s">
        <v>326</v>
      </c>
      <c r="G161" s="1">
        <v>18470</v>
      </c>
      <c r="H161" s="11">
        <f t="shared" ca="1" si="21"/>
        <v>73</v>
      </c>
      <c r="I161" t="s">
        <v>625</v>
      </c>
      <c r="J161" s="1">
        <v>42393</v>
      </c>
      <c r="P161" s="1">
        <f t="shared" ca="1" si="22"/>
        <v>27207</v>
      </c>
      <c r="Q161">
        <f t="shared" ca="1" si="23"/>
        <v>24</v>
      </c>
      <c r="R161" s="1">
        <f>DATE(IF(MONTH(G161)=12,YEAR(G161)+66,YEAR(G161)+65),IF(MONTH(G161)=12,1,MONTH(G161)+1),1)</f>
        <v>42217</v>
      </c>
      <c r="S161" t="s">
        <v>1022</v>
      </c>
      <c r="Y161">
        <v>1</v>
      </c>
      <c r="Z161" t="str">
        <f t="shared" ca="1" si="16"/>
        <v>14641</v>
      </c>
      <c r="AA161" t="str">
        <f t="shared" si="17"/>
        <v>Elstal</v>
      </c>
      <c r="AB161" t="str">
        <f t="shared" si="18"/>
        <v>Sternweg</v>
      </c>
      <c r="AC161" t="str" cm="1">
        <f t="array" ref="AC161">ErzeugeHausnummer()</f>
        <v>21</v>
      </c>
      <c r="AD161">
        <v>1</v>
      </c>
      <c r="AF161">
        <v>1</v>
      </c>
      <c r="AG161" s="6" t="str">
        <f t="shared" si="19"/>
        <v>033234</v>
      </c>
      <c r="AH161" t="str">
        <f t="shared" ca="1" si="20"/>
        <v>8796</v>
      </c>
      <c r="AI161">
        <v>1</v>
      </c>
      <c r="AK161">
        <v>2</v>
      </c>
      <c r="AN161">
        <v>1</v>
      </c>
      <c r="AU161">
        <v>1</v>
      </c>
    </row>
    <row r="162" spans="1:47" x14ac:dyDescent="0.45">
      <c r="A162">
        <v>160</v>
      </c>
      <c r="B162">
        <v>125</v>
      </c>
      <c r="C162">
        <v>168</v>
      </c>
      <c r="D162" s="3" t="s">
        <v>0</v>
      </c>
      <c r="E162" s="3" t="s">
        <v>514</v>
      </c>
      <c r="F162" s="3" t="s">
        <v>17</v>
      </c>
      <c r="G162" s="1">
        <v>28418</v>
      </c>
      <c r="H162" s="11">
        <f t="shared" ca="1" si="21"/>
        <v>47</v>
      </c>
      <c r="I162" t="s">
        <v>626</v>
      </c>
      <c r="J162" s="1">
        <v>38840</v>
      </c>
      <c r="P162" s="1">
        <f t="shared" ca="1" si="22"/>
        <v>39388</v>
      </c>
      <c r="Q162">
        <f t="shared" ca="1" si="23"/>
        <v>29</v>
      </c>
      <c r="Y162">
        <v>1</v>
      </c>
      <c r="Z162" t="str">
        <f t="shared" ca="1" si="16"/>
        <v>14467</v>
      </c>
      <c r="AA162" t="str">
        <f t="shared" si="17"/>
        <v>Potsdam</v>
      </c>
      <c r="AB162" t="str">
        <f t="shared" si="18"/>
        <v>Lissabonstraße</v>
      </c>
      <c r="AC162" t="str" cm="1">
        <f t="array" ref="AC162">ErzeugeHausnummer()</f>
        <v>7</v>
      </c>
      <c r="AD162">
        <v>1</v>
      </c>
      <c r="AF162">
        <v>1</v>
      </c>
      <c r="AG162" s="6" t="str">
        <f t="shared" si="19"/>
        <v>0331</v>
      </c>
      <c r="AH162" t="str">
        <f t="shared" ca="1" si="20"/>
        <v>66867</v>
      </c>
      <c r="AI162">
        <v>1</v>
      </c>
      <c r="AK162">
        <v>2</v>
      </c>
      <c r="AN162">
        <v>1</v>
      </c>
      <c r="AU162">
        <v>1</v>
      </c>
    </row>
    <row r="163" spans="1:47" x14ac:dyDescent="0.45">
      <c r="A163">
        <v>161</v>
      </c>
      <c r="B163">
        <v>195</v>
      </c>
      <c r="C163">
        <v>47</v>
      </c>
      <c r="D163" s="3" t="s">
        <v>0</v>
      </c>
      <c r="E163" s="3" t="s">
        <v>515</v>
      </c>
      <c r="F163" s="3" t="s">
        <v>87</v>
      </c>
      <c r="G163" s="1">
        <v>23492</v>
      </c>
      <c r="H163" s="11">
        <f t="shared" ca="1" si="21"/>
        <v>59</v>
      </c>
      <c r="I163" t="s">
        <v>624</v>
      </c>
      <c r="P163" s="1">
        <f t="shared" ca="1" si="22"/>
        <v>30168</v>
      </c>
      <c r="Q163">
        <f t="shared" ca="1" si="23"/>
        <v>17</v>
      </c>
      <c r="Y163">
        <v>1</v>
      </c>
      <c r="Z163" t="str">
        <f t="shared" ca="1" si="16"/>
        <v>14778</v>
      </c>
      <c r="AA163" t="str">
        <f t="shared" si="17"/>
        <v>Beetzsee</v>
      </c>
      <c r="AB163" t="str">
        <f t="shared" si="18"/>
        <v>Brahmsweg</v>
      </c>
      <c r="AC163" t="str" cm="1">
        <f t="array" ref="AC163">ErzeugeHausnummer()</f>
        <v>7</v>
      </c>
      <c r="AD163">
        <v>1</v>
      </c>
      <c r="AF163">
        <v>1</v>
      </c>
      <c r="AG163" s="6" t="str">
        <f t="shared" si="19"/>
        <v>03381</v>
      </c>
      <c r="AH163" t="str">
        <f t="shared" ca="1" si="20"/>
        <v>57284</v>
      </c>
      <c r="AI163">
        <v>1</v>
      </c>
      <c r="AK163">
        <v>2</v>
      </c>
      <c r="AN163">
        <v>1</v>
      </c>
      <c r="AU163">
        <v>1</v>
      </c>
    </row>
    <row r="164" spans="1:47" x14ac:dyDescent="0.45">
      <c r="A164">
        <v>162</v>
      </c>
      <c r="B164">
        <v>172</v>
      </c>
      <c r="C164">
        <v>208</v>
      </c>
      <c r="D164" s="3" t="s">
        <v>0</v>
      </c>
      <c r="E164" s="3" t="s">
        <v>516</v>
      </c>
      <c r="F164" s="3" t="s">
        <v>364</v>
      </c>
      <c r="G164" s="1">
        <v>30289</v>
      </c>
      <c r="H164" s="11">
        <f t="shared" ca="1" si="21"/>
        <v>42</v>
      </c>
      <c r="I164" t="s">
        <v>626</v>
      </c>
      <c r="J164" s="1">
        <v>38932</v>
      </c>
      <c r="P164" s="1">
        <f t="shared" ca="1" si="22"/>
        <v>36918</v>
      </c>
      <c r="Q164">
        <f t="shared" ca="1" si="23"/>
        <v>19</v>
      </c>
      <c r="Y164">
        <v>1</v>
      </c>
      <c r="Z164" t="str">
        <f t="shared" ca="1" si="16"/>
        <v>14542</v>
      </c>
      <c r="AA164" t="str">
        <f t="shared" si="17"/>
        <v>Werder (Havel)</v>
      </c>
      <c r="AB164" t="str">
        <f t="shared" si="18"/>
        <v>Oslostraße</v>
      </c>
      <c r="AC164" t="str" cm="1">
        <f t="array" ref="AC164">ErzeugeHausnummer()</f>
        <v>35</v>
      </c>
      <c r="AD164">
        <v>1</v>
      </c>
      <c r="AF164">
        <v>1</v>
      </c>
      <c r="AG164" s="6" t="str">
        <f t="shared" si="19"/>
        <v>03327</v>
      </c>
      <c r="AH164" t="str">
        <f t="shared" ca="1" si="20"/>
        <v>78675</v>
      </c>
      <c r="AI164">
        <v>1</v>
      </c>
      <c r="AK164">
        <v>2</v>
      </c>
      <c r="AN164">
        <v>1</v>
      </c>
      <c r="AU164">
        <v>1</v>
      </c>
    </row>
    <row r="165" spans="1:47" x14ac:dyDescent="0.45">
      <c r="A165">
        <v>163</v>
      </c>
      <c r="B165">
        <v>151</v>
      </c>
      <c r="C165">
        <v>200</v>
      </c>
      <c r="D165" s="3" t="s">
        <v>0</v>
      </c>
      <c r="E165" s="3" t="s">
        <v>440</v>
      </c>
      <c r="F165" s="3" t="s">
        <v>365</v>
      </c>
      <c r="G165" s="1">
        <v>22958</v>
      </c>
      <c r="H165" s="11">
        <f t="shared" ca="1" si="21"/>
        <v>62</v>
      </c>
      <c r="I165" t="s">
        <v>624</v>
      </c>
      <c r="P165" s="1">
        <f t="shared" ca="1" si="22"/>
        <v>40108</v>
      </c>
      <c r="Q165">
        <f t="shared" ca="1" si="23"/>
        <v>47</v>
      </c>
      <c r="Y165">
        <v>1</v>
      </c>
      <c r="Z165" t="str">
        <f t="shared" ca="1" si="16"/>
        <v>14542</v>
      </c>
      <c r="AA165" t="str">
        <f t="shared" si="17"/>
        <v>Werder</v>
      </c>
      <c r="AB165" t="str">
        <f t="shared" si="18"/>
        <v>Nashvilleplatz</v>
      </c>
      <c r="AC165" t="str" cm="1">
        <f t="array" ref="AC165">ErzeugeHausnummer()</f>
        <v>22</v>
      </c>
      <c r="AD165">
        <v>1</v>
      </c>
      <c r="AF165">
        <v>1</v>
      </c>
      <c r="AG165" s="6" t="str">
        <f t="shared" si="19"/>
        <v>033202</v>
      </c>
      <c r="AH165" t="str">
        <f t="shared" ca="1" si="20"/>
        <v>8249</v>
      </c>
      <c r="AI165">
        <v>1</v>
      </c>
      <c r="AK165">
        <v>2</v>
      </c>
      <c r="AN165">
        <v>1</v>
      </c>
      <c r="AU165">
        <v>1</v>
      </c>
    </row>
    <row r="166" spans="1:47" x14ac:dyDescent="0.45">
      <c r="A166">
        <v>164</v>
      </c>
      <c r="B166">
        <v>26</v>
      </c>
      <c r="C166">
        <v>9</v>
      </c>
      <c r="D166" s="3" t="s">
        <v>0</v>
      </c>
      <c r="E166" s="3" t="s">
        <v>517</v>
      </c>
      <c r="F166" s="3" t="s">
        <v>366</v>
      </c>
      <c r="G166" s="1">
        <v>24762</v>
      </c>
      <c r="H166" s="11">
        <f t="shared" ca="1" si="21"/>
        <v>57</v>
      </c>
      <c r="I166" t="s">
        <v>626</v>
      </c>
      <c r="J166" s="1">
        <v>35816</v>
      </c>
      <c r="P166" s="1">
        <f t="shared" ca="1" si="22"/>
        <v>38875</v>
      </c>
      <c r="Q166">
        <f t="shared" ca="1" si="23"/>
        <v>38</v>
      </c>
      <c r="Y166">
        <v>1</v>
      </c>
      <c r="Z166" t="str">
        <f t="shared" ca="1" si="16"/>
        <v>14052</v>
      </c>
      <c r="AA166" t="str">
        <f t="shared" si="17"/>
        <v>Berlin</v>
      </c>
      <c r="AB166" t="str">
        <f t="shared" si="18"/>
        <v>Am Bahnhof</v>
      </c>
      <c r="AC166" t="str" cm="1">
        <f t="array" ref="AC166">ErzeugeHausnummer()</f>
        <v>30</v>
      </c>
      <c r="AD166">
        <v>1</v>
      </c>
      <c r="AF166">
        <v>1</v>
      </c>
      <c r="AG166" s="6" t="str">
        <f t="shared" si="19"/>
        <v>030</v>
      </c>
      <c r="AH166" t="str">
        <f t="shared" ca="1" si="20"/>
        <v>64113189</v>
      </c>
      <c r="AI166">
        <v>1</v>
      </c>
      <c r="AK166">
        <v>2</v>
      </c>
      <c r="AN166">
        <v>1</v>
      </c>
      <c r="AU166">
        <v>1</v>
      </c>
    </row>
    <row r="167" spans="1:47" x14ac:dyDescent="0.45">
      <c r="A167">
        <v>165</v>
      </c>
      <c r="B167">
        <v>89</v>
      </c>
      <c r="C167">
        <v>58</v>
      </c>
      <c r="D167" s="3" t="s">
        <v>3</v>
      </c>
      <c r="E167" s="3" t="s">
        <v>72</v>
      </c>
      <c r="F167" s="3" t="s">
        <v>2</v>
      </c>
      <c r="G167" s="1">
        <v>28593</v>
      </c>
      <c r="H167" s="11">
        <f t="shared" ca="1" si="21"/>
        <v>46</v>
      </c>
      <c r="I167" t="s">
        <v>626</v>
      </c>
      <c r="J167" s="1">
        <v>40892</v>
      </c>
      <c r="P167" s="1">
        <f t="shared" ca="1" si="22"/>
        <v>40288</v>
      </c>
      <c r="Q167">
        <f t="shared" ca="1" si="23"/>
        <v>32</v>
      </c>
      <c r="Y167">
        <v>1</v>
      </c>
      <c r="Z167" t="str">
        <f t="shared" ca="1" si="16"/>
        <v>12157</v>
      </c>
      <c r="AA167" t="str">
        <f t="shared" si="17"/>
        <v>Berlin</v>
      </c>
      <c r="AB167" t="str">
        <f t="shared" si="18"/>
        <v>Chicagostraße</v>
      </c>
      <c r="AC167" t="str" cm="1">
        <f t="array" ref="AC167">ErzeugeHausnummer()</f>
        <v>23</v>
      </c>
      <c r="AD167">
        <v>1</v>
      </c>
      <c r="AF167">
        <v>1</v>
      </c>
      <c r="AG167" s="6" t="str">
        <f t="shared" si="19"/>
        <v>030</v>
      </c>
      <c r="AH167" t="str">
        <f t="shared" ca="1" si="20"/>
        <v>44177901</v>
      </c>
      <c r="AI167">
        <v>1</v>
      </c>
      <c r="AK167">
        <v>2</v>
      </c>
      <c r="AN167">
        <v>1</v>
      </c>
      <c r="AU167">
        <v>1</v>
      </c>
    </row>
    <row r="168" spans="1:47" x14ac:dyDescent="0.45">
      <c r="A168">
        <v>166</v>
      </c>
      <c r="B168">
        <v>144</v>
      </c>
      <c r="C168">
        <v>115</v>
      </c>
      <c r="D168" s="3" t="s">
        <v>0</v>
      </c>
      <c r="E168" s="3" t="s">
        <v>516</v>
      </c>
      <c r="F168" s="3" t="s">
        <v>367</v>
      </c>
      <c r="G168" s="1">
        <v>26758</v>
      </c>
      <c r="H168" s="11">
        <f t="shared" ca="1" si="21"/>
        <v>51</v>
      </c>
      <c r="I168" t="s">
        <v>626</v>
      </c>
      <c r="J168" s="1">
        <v>40679</v>
      </c>
      <c r="P168" s="1">
        <f t="shared" ca="1" si="22"/>
        <v>36958</v>
      </c>
      <c r="Q168">
        <f t="shared" ca="1" si="23"/>
        <v>28</v>
      </c>
      <c r="Y168">
        <v>1</v>
      </c>
      <c r="Z168" t="str">
        <f t="shared" ca="1" si="16"/>
        <v>14797</v>
      </c>
      <c r="AA168" t="str">
        <f t="shared" si="17"/>
        <v>Kloster Lehnin</v>
      </c>
      <c r="AB168" t="str">
        <f t="shared" si="18"/>
        <v>Helmut-Kohl-Straße</v>
      </c>
      <c r="AC168" t="str" cm="1">
        <f t="array" ref="AC168">ErzeugeHausnummer()</f>
        <v>26</v>
      </c>
      <c r="AD168">
        <v>1</v>
      </c>
      <c r="AF168">
        <v>1</v>
      </c>
      <c r="AG168" s="6" t="str">
        <f t="shared" si="19"/>
        <v>033835</v>
      </c>
      <c r="AH168" t="str">
        <f t="shared" ca="1" si="20"/>
        <v>9287</v>
      </c>
      <c r="AI168">
        <v>1</v>
      </c>
      <c r="AK168">
        <v>2</v>
      </c>
      <c r="AN168">
        <v>1</v>
      </c>
      <c r="AU168">
        <v>1</v>
      </c>
    </row>
    <row r="169" spans="1:47" x14ac:dyDescent="0.45">
      <c r="A169">
        <v>167</v>
      </c>
      <c r="B169">
        <v>92</v>
      </c>
      <c r="C169">
        <v>248</v>
      </c>
      <c r="D169" s="3" t="s">
        <v>3</v>
      </c>
      <c r="E169" s="3" t="s">
        <v>518</v>
      </c>
      <c r="F169" s="3" t="s">
        <v>368</v>
      </c>
      <c r="G169" s="1">
        <v>37502</v>
      </c>
      <c r="H169" s="11">
        <f t="shared" ca="1" si="21"/>
        <v>22</v>
      </c>
      <c r="I169" t="s">
        <v>624</v>
      </c>
      <c r="P169" s="1">
        <f t="shared" ca="1" si="22"/>
        <v>55575</v>
      </c>
      <c r="Q169">
        <f t="shared" ca="1" si="23"/>
        <v>50</v>
      </c>
      <c r="Y169">
        <v>1</v>
      </c>
      <c r="Z169" t="str">
        <f t="shared" ca="1" si="16"/>
        <v>12247</v>
      </c>
      <c r="AA169" t="str">
        <f t="shared" si="17"/>
        <v>Berlin</v>
      </c>
      <c r="AB169" t="str">
        <f t="shared" si="18"/>
        <v>Schillerstraße</v>
      </c>
      <c r="AC169" t="str" cm="1">
        <f t="array" ref="AC169">ErzeugeHausnummer()</f>
        <v>28D/E</v>
      </c>
      <c r="AD169">
        <v>1</v>
      </c>
      <c r="AF169">
        <v>1</v>
      </c>
      <c r="AG169" s="6" t="str">
        <f t="shared" si="19"/>
        <v>030</v>
      </c>
      <c r="AH169" t="str">
        <f t="shared" ca="1" si="20"/>
        <v>45774811</v>
      </c>
      <c r="AI169">
        <v>1</v>
      </c>
      <c r="AK169">
        <v>2</v>
      </c>
      <c r="AN169">
        <v>1</v>
      </c>
      <c r="AU169">
        <v>1</v>
      </c>
    </row>
    <row r="170" spans="1:47" x14ac:dyDescent="0.45">
      <c r="A170">
        <v>168</v>
      </c>
      <c r="B170">
        <v>187</v>
      </c>
      <c r="C170">
        <v>188</v>
      </c>
      <c r="D170" s="3" t="s">
        <v>3</v>
      </c>
      <c r="E170" s="3" t="s">
        <v>519</v>
      </c>
      <c r="F170" s="3" t="s">
        <v>46</v>
      </c>
      <c r="G170" s="1">
        <v>20079</v>
      </c>
      <c r="H170" s="11">
        <f t="shared" ca="1" si="21"/>
        <v>70</v>
      </c>
      <c r="I170" t="s">
        <v>627</v>
      </c>
      <c r="J170" s="1">
        <v>43136</v>
      </c>
      <c r="P170" s="1">
        <f t="shared" ca="1" si="22"/>
        <v>34006</v>
      </c>
      <c r="Q170">
        <f t="shared" ca="1" si="23"/>
        <v>38</v>
      </c>
      <c r="R170" s="1">
        <f>DATE(IF(MONTH(G170)=12,YEAR(G170)+66,YEAR(G170)+65),IF(MONTH(G170)=12,1,MONTH(G170)+1),1)</f>
        <v>43831</v>
      </c>
      <c r="S170" t="s">
        <v>1022</v>
      </c>
      <c r="Y170">
        <v>1</v>
      </c>
      <c r="Z170" t="str">
        <f t="shared" ca="1" si="16"/>
        <v>14806</v>
      </c>
      <c r="AA170" t="str">
        <f t="shared" si="17"/>
        <v>Belzig</v>
      </c>
      <c r="AB170" t="str">
        <f t="shared" si="18"/>
        <v>Miamiweg</v>
      </c>
      <c r="AC170" t="str" cm="1">
        <f t="array" ref="AC170">ErzeugeHausnummer()</f>
        <v>11E</v>
      </c>
      <c r="AD170">
        <v>1</v>
      </c>
      <c r="AF170">
        <v>1</v>
      </c>
      <c r="AG170" s="6" t="str">
        <f t="shared" si="19"/>
        <v>033841</v>
      </c>
      <c r="AH170" t="str">
        <f t="shared" ca="1" si="20"/>
        <v>4167</v>
      </c>
      <c r="AI170">
        <v>1</v>
      </c>
      <c r="AK170">
        <v>2</v>
      </c>
      <c r="AN170">
        <v>1</v>
      </c>
      <c r="AU170">
        <v>1</v>
      </c>
    </row>
    <row r="171" spans="1:47" x14ac:dyDescent="0.45">
      <c r="A171">
        <v>169</v>
      </c>
      <c r="B171">
        <v>1</v>
      </c>
      <c r="C171">
        <v>188</v>
      </c>
      <c r="D171" s="3" t="s">
        <v>0</v>
      </c>
      <c r="E171" s="3" t="s">
        <v>520</v>
      </c>
      <c r="F171" s="3" t="s">
        <v>369</v>
      </c>
      <c r="G171" s="1">
        <v>33800</v>
      </c>
      <c r="H171" s="11">
        <f t="shared" ca="1" si="21"/>
        <v>32</v>
      </c>
      <c r="I171" t="s">
        <v>626</v>
      </c>
      <c r="J171" s="1">
        <v>46959</v>
      </c>
      <c r="P171" s="1">
        <f t="shared" ca="1" si="22"/>
        <v>42008</v>
      </c>
      <c r="Q171">
        <f t="shared" ca="1" si="23"/>
        <v>22</v>
      </c>
      <c r="Y171">
        <v>1</v>
      </c>
      <c r="Z171" t="str">
        <f t="shared" ca="1" si="16"/>
        <v>10115</v>
      </c>
      <c r="AA171" t="str">
        <f t="shared" si="17"/>
        <v>Berlin</v>
      </c>
      <c r="AB171" t="str">
        <f t="shared" si="18"/>
        <v>Miamiweg</v>
      </c>
      <c r="AC171" t="str" cm="1">
        <f t="array" ref="AC171">ErzeugeHausnummer()</f>
        <v>2</v>
      </c>
      <c r="AD171">
        <v>1</v>
      </c>
      <c r="AF171">
        <v>1</v>
      </c>
      <c r="AG171" s="6" t="str">
        <f t="shared" si="19"/>
        <v>030</v>
      </c>
      <c r="AH171" t="str">
        <f t="shared" ca="1" si="20"/>
        <v>53113632</v>
      </c>
      <c r="AI171">
        <v>1</v>
      </c>
      <c r="AK171">
        <v>2</v>
      </c>
      <c r="AN171">
        <v>1</v>
      </c>
      <c r="AU171">
        <v>1</v>
      </c>
    </row>
    <row r="172" spans="1:47" x14ac:dyDescent="0.45">
      <c r="A172">
        <v>170</v>
      </c>
      <c r="B172">
        <v>16</v>
      </c>
      <c r="C172">
        <v>263</v>
      </c>
      <c r="D172" s="3" t="s">
        <v>3</v>
      </c>
      <c r="E172" s="3" t="s">
        <v>521</v>
      </c>
      <c r="F172" s="3" t="s">
        <v>370</v>
      </c>
      <c r="G172" s="1">
        <v>20696</v>
      </c>
      <c r="H172" s="11">
        <f t="shared" ca="1" si="21"/>
        <v>67</v>
      </c>
      <c r="I172" t="s">
        <v>626</v>
      </c>
      <c r="J172" s="1">
        <v>30983</v>
      </c>
      <c r="P172" s="1">
        <f t="shared" ca="1" si="22"/>
        <v>27356</v>
      </c>
      <c r="Q172">
        <f t="shared" ca="1" si="23"/>
        <v>17</v>
      </c>
      <c r="R172" s="1">
        <f>DATE(IF(MONTH(G172)=12,YEAR(G172)+66,YEAR(G172)+65),IF(MONTH(G172)=12,1,MONTH(G172)+1),1)</f>
        <v>44440</v>
      </c>
      <c r="S172" t="s">
        <v>1022</v>
      </c>
      <c r="Y172">
        <v>1</v>
      </c>
      <c r="Z172" t="str">
        <f t="shared" ca="1" si="16"/>
        <v>13187</v>
      </c>
      <c r="AA172" t="str">
        <f t="shared" si="17"/>
        <v>Berlin</v>
      </c>
      <c r="AB172" t="str">
        <f t="shared" si="18"/>
        <v>Sebastianstraße</v>
      </c>
      <c r="AC172" t="str" cm="1">
        <f t="array" ref="AC172">ErzeugeHausnummer()</f>
        <v>29D/E</v>
      </c>
      <c r="AD172">
        <v>1</v>
      </c>
      <c r="AF172">
        <v>1</v>
      </c>
      <c r="AG172" s="6" t="str">
        <f t="shared" si="19"/>
        <v>030</v>
      </c>
      <c r="AH172" t="str">
        <f t="shared" ca="1" si="20"/>
        <v>78932092</v>
      </c>
      <c r="AI172">
        <v>1</v>
      </c>
      <c r="AK172">
        <v>2</v>
      </c>
      <c r="AN172">
        <v>1</v>
      </c>
      <c r="AU172">
        <v>1</v>
      </c>
    </row>
    <row r="173" spans="1:47" x14ac:dyDescent="0.45">
      <c r="A173">
        <v>171</v>
      </c>
      <c r="B173">
        <v>55</v>
      </c>
      <c r="C173">
        <v>266</v>
      </c>
      <c r="D173" s="3" t="s">
        <v>3</v>
      </c>
      <c r="E173" s="3" t="s">
        <v>522</v>
      </c>
      <c r="F173" s="3" t="s">
        <v>371</v>
      </c>
      <c r="G173" s="1">
        <v>21624</v>
      </c>
      <c r="H173" s="11">
        <f t="shared" ca="1" si="21"/>
        <v>65</v>
      </c>
      <c r="I173" t="s">
        <v>626</v>
      </c>
      <c r="J173" s="1">
        <v>35070</v>
      </c>
      <c r="P173" s="1">
        <f t="shared" ca="1" si="22"/>
        <v>39108</v>
      </c>
      <c r="Q173">
        <f t="shared" ca="1" si="23"/>
        <v>48</v>
      </c>
      <c r="R173" s="1">
        <f>DATE(IF(MONTH(G173)=12,YEAR(G173)+66,YEAR(G173)+65),IF(MONTH(G173)=12,1,MONTH(G173)+1),1)</f>
        <v>45383</v>
      </c>
      <c r="S173" t="s">
        <v>1022</v>
      </c>
      <c r="Y173">
        <v>1</v>
      </c>
      <c r="Z173" t="str">
        <f t="shared" ca="1" si="16"/>
        <v>13597</v>
      </c>
      <c r="AA173" t="str">
        <f t="shared" si="17"/>
        <v>Berlin</v>
      </c>
      <c r="AB173" t="str">
        <f t="shared" si="18"/>
        <v>Sonnenplatz</v>
      </c>
      <c r="AC173" t="str" cm="1">
        <f t="array" ref="AC173">ErzeugeHausnummer()</f>
        <v>40</v>
      </c>
      <c r="AD173">
        <v>1</v>
      </c>
      <c r="AF173">
        <v>1</v>
      </c>
      <c r="AG173" s="6" t="str">
        <f t="shared" si="19"/>
        <v>030</v>
      </c>
      <c r="AH173" t="str">
        <f t="shared" ca="1" si="20"/>
        <v>84212966</v>
      </c>
      <c r="AI173">
        <v>1</v>
      </c>
      <c r="AK173">
        <v>2</v>
      </c>
      <c r="AN173">
        <v>1</v>
      </c>
      <c r="AU173">
        <v>1</v>
      </c>
    </row>
    <row r="174" spans="1:47" x14ac:dyDescent="0.45">
      <c r="A174">
        <v>172</v>
      </c>
      <c r="B174">
        <v>119</v>
      </c>
      <c r="C174">
        <v>104</v>
      </c>
      <c r="D174" s="3" t="s">
        <v>3</v>
      </c>
      <c r="E174" s="3" t="s">
        <v>523</v>
      </c>
      <c r="F174" s="3" t="s">
        <v>372</v>
      </c>
      <c r="G174" s="1">
        <v>38706</v>
      </c>
      <c r="H174" s="11">
        <f t="shared" ca="1" si="21"/>
        <v>19</v>
      </c>
      <c r="I174" t="s">
        <v>624</v>
      </c>
      <c r="P174" s="1">
        <f t="shared" ca="1" si="22"/>
        <v>51970</v>
      </c>
      <c r="Q174">
        <f t="shared" ca="1" si="23"/>
        <v>36</v>
      </c>
      <c r="Y174">
        <v>1</v>
      </c>
      <c r="Z174" t="str">
        <f t="shared" ca="1" si="16"/>
        <v>13435</v>
      </c>
      <c r="AA174" t="str">
        <f t="shared" si="17"/>
        <v>Berlin</v>
      </c>
      <c r="AB174" t="str">
        <f t="shared" si="18"/>
        <v>Gutenbergstraße</v>
      </c>
      <c r="AC174" t="str" cm="1">
        <f t="array" ref="AC174">ErzeugeHausnummer()</f>
        <v>39</v>
      </c>
      <c r="AD174">
        <v>1</v>
      </c>
      <c r="AF174">
        <v>1</v>
      </c>
      <c r="AG174" s="6" t="str">
        <f t="shared" si="19"/>
        <v>030</v>
      </c>
      <c r="AH174" t="str">
        <f t="shared" ca="1" si="20"/>
        <v>94436123</v>
      </c>
      <c r="AI174">
        <v>1</v>
      </c>
      <c r="AK174">
        <v>2</v>
      </c>
      <c r="AN174">
        <v>1</v>
      </c>
      <c r="AU174">
        <v>1</v>
      </c>
    </row>
    <row r="175" spans="1:47" x14ac:dyDescent="0.45">
      <c r="A175">
        <v>173</v>
      </c>
      <c r="B175">
        <v>79</v>
      </c>
      <c r="C175">
        <v>101</v>
      </c>
      <c r="D175" s="3" t="s">
        <v>0</v>
      </c>
      <c r="E175" s="3" t="s">
        <v>524</v>
      </c>
      <c r="F175" s="3" t="s">
        <v>79</v>
      </c>
      <c r="G175" s="1">
        <v>20934</v>
      </c>
      <c r="H175" s="11">
        <f t="shared" ca="1" si="21"/>
        <v>66</v>
      </c>
      <c r="I175" t="s">
        <v>626</v>
      </c>
      <c r="J175" s="1">
        <v>33451</v>
      </c>
      <c r="P175" s="1">
        <f t="shared" ca="1" si="22"/>
        <v>38405</v>
      </c>
      <c r="Q175">
        <f t="shared" ca="1" si="23"/>
        <v>47</v>
      </c>
      <c r="R175" s="1">
        <f>DATE(IF(MONTH(G175)=12,YEAR(G175)+66,YEAR(G175)+65),IF(MONTH(G175)=12,1,MONTH(G175)+1),1)</f>
        <v>44682</v>
      </c>
      <c r="S175" t="s">
        <v>1022</v>
      </c>
      <c r="Y175">
        <v>1</v>
      </c>
      <c r="Z175" t="str">
        <f t="shared" ca="1" si="16"/>
        <v>14050</v>
      </c>
      <c r="AA175" t="str">
        <f t="shared" si="17"/>
        <v>Berlin</v>
      </c>
      <c r="AB175" t="str">
        <f t="shared" si="18"/>
        <v>Gustav-Mahler-Straße</v>
      </c>
      <c r="AC175" t="str" cm="1">
        <f t="array" ref="AC175">ErzeugeHausnummer()</f>
        <v>15</v>
      </c>
      <c r="AD175">
        <v>1</v>
      </c>
      <c r="AF175">
        <v>1</v>
      </c>
      <c r="AG175" s="6" t="str">
        <f t="shared" si="19"/>
        <v>030</v>
      </c>
      <c r="AH175" t="str">
        <f t="shared" ca="1" si="20"/>
        <v>57419469</v>
      </c>
      <c r="AI175">
        <v>1</v>
      </c>
      <c r="AK175">
        <v>2</v>
      </c>
      <c r="AN175">
        <v>1</v>
      </c>
      <c r="AU175">
        <v>1</v>
      </c>
    </row>
    <row r="176" spans="1:47" x14ac:dyDescent="0.45">
      <c r="A176">
        <v>174</v>
      </c>
      <c r="B176">
        <v>63</v>
      </c>
      <c r="C176">
        <v>62</v>
      </c>
      <c r="D176" s="3" t="s">
        <v>3</v>
      </c>
      <c r="E176" s="3" t="s">
        <v>50</v>
      </c>
      <c r="F176" s="3" t="s">
        <v>373</v>
      </c>
      <c r="G176" s="1">
        <v>20932</v>
      </c>
      <c r="H176" s="11">
        <f t="shared" ca="1" si="21"/>
        <v>67</v>
      </c>
      <c r="I176" t="s">
        <v>627</v>
      </c>
      <c r="J176" s="1">
        <v>44226</v>
      </c>
      <c r="P176" s="1">
        <f t="shared" ca="1" si="22"/>
        <v>28132</v>
      </c>
      <c r="Q176">
        <f t="shared" ca="1" si="23"/>
        <v>19</v>
      </c>
      <c r="R176" s="1">
        <f>DATE(IF(MONTH(G176)=12,YEAR(G176)+66,YEAR(G176)+65),IF(MONTH(G176)=12,1,MONTH(G176)+1),1)</f>
        <v>44682</v>
      </c>
      <c r="S176" t="s">
        <v>1022</v>
      </c>
      <c r="Y176">
        <v>1</v>
      </c>
      <c r="Z176" t="str">
        <f t="shared" ca="1" si="16"/>
        <v>13597</v>
      </c>
      <c r="AA176" t="str">
        <f t="shared" si="17"/>
        <v>Berlin</v>
      </c>
      <c r="AB176" t="str">
        <f t="shared" si="18"/>
        <v>Dallas-Allee</v>
      </c>
      <c r="AC176" t="str" cm="1">
        <f t="array" ref="AC176">ErzeugeHausnummer()</f>
        <v>10</v>
      </c>
      <c r="AD176">
        <v>1</v>
      </c>
      <c r="AF176">
        <v>1</v>
      </c>
      <c r="AG176" s="6" t="str">
        <f t="shared" si="19"/>
        <v>030</v>
      </c>
      <c r="AH176" t="str">
        <f t="shared" ca="1" si="20"/>
        <v>41594283</v>
      </c>
      <c r="AI176">
        <v>1</v>
      </c>
      <c r="AK176">
        <v>2</v>
      </c>
      <c r="AN176">
        <v>1</v>
      </c>
      <c r="AU176">
        <v>1</v>
      </c>
    </row>
    <row r="177" spans="1:47" x14ac:dyDescent="0.45">
      <c r="A177">
        <v>175</v>
      </c>
      <c r="B177">
        <v>23</v>
      </c>
      <c r="C177">
        <v>78</v>
      </c>
      <c r="D177" s="3" t="s">
        <v>0</v>
      </c>
      <c r="E177" s="3" t="s">
        <v>525</v>
      </c>
      <c r="F177" s="3" t="s">
        <v>374</v>
      </c>
      <c r="G177" s="1">
        <v>30913</v>
      </c>
      <c r="H177" s="11">
        <f t="shared" ca="1" si="21"/>
        <v>40</v>
      </c>
      <c r="I177" t="s">
        <v>624</v>
      </c>
      <c r="P177" s="1">
        <f t="shared" ca="1" si="22"/>
        <v>42579</v>
      </c>
      <c r="Q177">
        <f t="shared" ca="1" si="23"/>
        <v>32</v>
      </c>
      <c r="Y177">
        <v>1</v>
      </c>
      <c r="Z177" t="str">
        <f t="shared" ca="1" si="16"/>
        <v>10707</v>
      </c>
      <c r="AA177" t="str">
        <f t="shared" si="17"/>
        <v>Berlin</v>
      </c>
      <c r="AB177" t="str">
        <f t="shared" si="18"/>
        <v>Fasanenstraße</v>
      </c>
      <c r="AC177" t="str" cm="1">
        <f t="array" ref="AC177">ErzeugeHausnummer()</f>
        <v>16E</v>
      </c>
      <c r="AD177">
        <v>1</v>
      </c>
      <c r="AF177">
        <v>1</v>
      </c>
      <c r="AG177" s="6" t="str">
        <f t="shared" si="19"/>
        <v>030</v>
      </c>
      <c r="AH177" t="str">
        <f t="shared" ca="1" si="20"/>
        <v>68599972</v>
      </c>
      <c r="AI177">
        <v>1</v>
      </c>
      <c r="AK177">
        <v>2</v>
      </c>
      <c r="AN177">
        <v>1</v>
      </c>
      <c r="AU177">
        <v>1</v>
      </c>
    </row>
    <row r="178" spans="1:47" x14ac:dyDescent="0.45">
      <c r="A178">
        <v>176</v>
      </c>
      <c r="B178">
        <v>80</v>
      </c>
      <c r="C178">
        <v>77</v>
      </c>
      <c r="D178" s="3" t="s">
        <v>3</v>
      </c>
      <c r="E178" s="3" t="s">
        <v>70</v>
      </c>
      <c r="F178" s="3" t="s">
        <v>375</v>
      </c>
      <c r="G178" s="1">
        <v>21016</v>
      </c>
      <c r="H178" s="11">
        <f t="shared" ca="1" si="21"/>
        <v>67</v>
      </c>
      <c r="I178" t="s">
        <v>626</v>
      </c>
      <c r="J178" s="1">
        <v>32965</v>
      </c>
      <c r="P178" s="1">
        <f t="shared" ca="1" si="22"/>
        <v>32991</v>
      </c>
      <c r="Q178">
        <f t="shared" ca="1" si="23"/>
        <v>33</v>
      </c>
      <c r="R178" s="1">
        <f>DATE(IF(MONTH(G178)=12,YEAR(G178)+66,YEAR(G178)+65),IF(MONTH(G178)=12,1,MONTH(G178)+1),1)</f>
        <v>44774</v>
      </c>
      <c r="S178" t="s">
        <v>1022</v>
      </c>
      <c r="Y178">
        <v>1</v>
      </c>
      <c r="Z178" t="str">
        <f t="shared" ca="1" si="16"/>
        <v>14050</v>
      </c>
      <c r="AA178" t="str">
        <f t="shared" si="17"/>
        <v>Berlin</v>
      </c>
      <c r="AB178" t="str">
        <f t="shared" si="18"/>
        <v>Falkenstraße</v>
      </c>
      <c r="AC178" t="str" cm="1">
        <f t="array" ref="AC178">ErzeugeHausnummer()</f>
        <v>76</v>
      </c>
      <c r="AD178">
        <v>1</v>
      </c>
      <c r="AF178">
        <v>1</v>
      </c>
      <c r="AG178" s="6" t="str">
        <f t="shared" si="19"/>
        <v>030</v>
      </c>
      <c r="AH178" t="str">
        <f t="shared" ca="1" si="20"/>
        <v>55908352</v>
      </c>
      <c r="AI178">
        <v>1</v>
      </c>
      <c r="AK178">
        <v>2</v>
      </c>
      <c r="AN178">
        <v>1</v>
      </c>
      <c r="AU178">
        <v>1</v>
      </c>
    </row>
    <row r="179" spans="1:47" x14ac:dyDescent="0.45">
      <c r="A179">
        <v>177</v>
      </c>
      <c r="B179">
        <v>13</v>
      </c>
      <c r="C179">
        <v>237</v>
      </c>
      <c r="D179" s="3" t="s">
        <v>3</v>
      </c>
      <c r="E179" s="3" t="s">
        <v>526</v>
      </c>
      <c r="F179" s="3" t="s">
        <v>376</v>
      </c>
      <c r="G179" s="1">
        <v>27548</v>
      </c>
      <c r="H179" s="11">
        <f t="shared" ca="1" si="21"/>
        <v>49</v>
      </c>
      <c r="I179" t="s">
        <v>626</v>
      </c>
      <c r="J179" s="1">
        <v>37785</v>
      </c>
      <c r="P179" s="1">
        <f t="shared" ca="1" si="22"/>
        <v>39262</v>
      </c>
      <c r="Q179">
        <f t="shared" ca="1" si="23"/>
        <v>32</v>
      </c>
      <c r="Y179">
        <v>1</v>
      </c>
      <c r="Z179" t="str">
        <f t="shared" ca="1" si="16"/>
        <v>13156</v>
      </c>
      <c r="AA179" t="str">
        <f t="shared" si="17"/>
        <v>Berlin</v>
      </c>
      <c r="AB179" t="str">
        <f t="shared" si="18"/>
        <v>Romstraße</v>
      </c>
      <c r="AC179" t="str" cm="1">
        <f t="array" ref="AC179">ErzeugeHausnummer()</f>
        <v>7</v>
      </c>
      <c r="AD179">
        <v>1</v>
      </c>
      <c r="AF179">
        <v>1</v>
      </c>
      <c r="AG179" s="6" t="str">
        <f t="shared" si="19"/>
        <v>030</v>
      </c>
      <c r="AH179" t="str">
        <f t="shared" ca="1" si="20"/>
        <v>64542133</v>
      </c>
      <c r="AI179">
        <v>1</v>
      </c>
      <c r="AK179">
        <v>2</v>
      </c>
      <c r="AN179">
        <v>1</v>
      </c>
      <c r="AU179">
        <v>1</v>
      </c>
    </row>
    <row r="180" spans="1:47" x14ac:dyDescent="0.45">
      <c r="A180">
        <v>178</v>
      </c>
      <c r="B180">
        <v>69</v>
      </c>
      <c r="C180">
        <v>281</v>
      </c>
      <c r="D180" s="3" t="s">
        <v>0</v>
      </c>
      <c r="E180" s="3" t="s">
        <v>527</v>
      </c>
      <c r="F180" s="3" t="s">
        <v>21</v>
      </c>
      <c r="G180" s="1">
        <v>19865</v>
      </c>
      <c r="H180" s="11">
        <f t="shared" ca="1" si="21"/>
        <v>70</v>
      </c>
      <c r="I180" t="s">
        <v>626</v>
      </c>
      <c r="J180" s="1">
        <v>28824</v>
      </c>
      <c r="P180" s="1">
        <f t="shared" ca="1" si="22"/>
        <v>37573</v>
      </c>
      <c r="Q180">
        <f t="shared" ca="1" si="23"/>
        <v>47</v>
      </c>
      <c r="R180" s="1">
        <f>DATE(IF(MONTH(G180)=12,YEAR(G180)+66,YEAR(G180)+65),IF(MONTH(G180)=12,1,MONTH(G180)+1),1)</f>
        <v>43617</v>
      </c>
      <c r="S180" t="s">
        <v>1022</v>
      </c>
      <c r="Y180">
        <v>1</v>
      </c>
      <c r="Z180" t="str">
        <f t="shared" ca="1" si="16"/>
        <v>14050</v>
      </c>
      <c r="AA180" t="str">
        <f t="shared" si="17"/>
        <v>Berlin</v>
      </c>
      <c r="AB180" t="str">
        <f t="shared" si="18"/>
        <v>Tokiostraße</v>
      </c>
      <c r="AC180" t="str" cm="1">
        <f t="array" ref="AC180">ErzeugeHausnummer()</f>
        <v>29</v>
      </c>
      <c r="AD180">
        <v>1</v>
      </c>
      <c r="AF180">
        <v>1</v>
      </c>
      <c r="AG180" s="6" t="str">
        <f t="shared" si="19"/>
        <v>030</v>
      </c>
      <c r="AH180" t="str">
        <f t="shared" ca="1" si="20"/>
        <v>54972500</v>
      </c>
      <c r="AI180">
        <v>1</v>
      </c>
      <c r="AK180">
        <v>2</v>
      </c>
      <c r="AN180">
        <v>1</v>
      </c>
      <c r="AU180">
        <v>1</v>
      </c>
    </row>
    <row r="181" spans="1:47" x14ac:dyDescent="0.45">
      <c r="A181">
        <v>179</v>
      </c>
      <c r="B181">
        <v>81</v>
      </c>
      <c r="C181">
        <v>102</v>
      </c>
      <c r="D181" s="3" t="s">
        <v>0</v>
      </c>
      <c r="E181" s="3" t="s">
        <v>528</v>
      </c>
      <c r="F181" s="3" t="s">
        <v>377</v>
      </c>
      <c r="G181" s="1">
        <v>22915</v>
      </c>
      <c r="H181" s="11">
        <f t="shared" ca="1" si="21"/>
        <v>61</v>
      </c>
      <c r="I181" t="s">
        <v>626</v>
      </c>
      <c r="J181" s="1">
        <v>35625</v>
      </c>
      <c r="P181" s="1">
        <f t="shared" ca="1" si="22"/>
        <v>34734</v>
      </c>
      <c r="Q181">
        <f t="shared" ca="1" si="23"/>
        <v>32</v>
      </c>
      <c r="Y181">
        <v>1</v>
      </c>
      <c r="Z181" t="str">
        <f t="shared" ca="1" si="16"/>
        <v>12157</v>
      </c>
      <c r="AA181" t="str">
        <f t="shared" si="17"/>
        <v>Berlin</v>
      </c>
      <c r="AB181" t="str">
        <f t="shared" si="18"/>
        <v>Gustav-Stresemann-Straße</v>
      </c>
      <c r="AC181" t="str" cm="1">
        <f t="array" ref="AC181">ErzeugeHausnummer()</f>
        <v>53</v>
      </c>
      <c r="AD181">
        <v>1</v>
      </c>
      <c r="AF181">
        <v>1</v>
      </c>
      <c r="AG181" s="6" t="str">
        <f t="shared" si="19"/>
        <v>030</v>
      </c>
      <c r="AH181" t="str">
        <f t="shared" ca="1" si="20"/>
        <v>93504247</v>
      </c>
      <c r="AI181">
        <v>1</v>
      </c>
      <c r="AK181">
        <v>2</v>
      </c>
      <c r="AN181">
        <v>1</v>
      </c>
      <c r="AU181">
        <v>1</v>
      </c>
    </row>
    <row r="182" spans="1:47" x14ac:dyDescent="0.45">
      <c r="A182">
        <v>180</v>
      </c>
      <c r="B182">
        <v>147</v>
      </c>
      <c r="C182">
        <v>141</v>
      </c>
      <c r="D182" s="3" t="s">
        <v>3</v>
      </c>
      <c r="E182" s="3" t="s">
        <v>509</v>
      </c>
      <c r="F182" s="3" t="s">
        <v>613</v>
      </c>
      <c r="G182" s="1">
        <v>29229</v>
      </c>
      <c r="H182" s="11">
        <f t="shared" ca="1" si="21"/>
        <v>44</v>
      </c>
      <c r="I182" t="s">
        <v>626</v>
      </c>
      <c r="J182" s="1">
        <v>38396</v>
      </c>
      <c r="P182" s="1">
        <f t="shared" ca="1" si="22"/>
        <v>37494</v>
      </c>
      <c r="Q182">
        <f t="shared" ca="1" si="23"/>
        <v>22</v>
      </c>
      <c r="Y182">
        <v>1</v>
      </c>
      <c r="Z182" t="str">
        <f t="shared" ca="1" si="16"/>
        <v>14806</v>
      </c>
      <c r="AA182" t="str">
        <f t="shared" si="17"/>
        <v>Belzig</v>
      </c>
      <c r="AB182" t="str">
        <f t="shared" si="18"/>
        <v>Kapstadtweg</v>
      </c>
      <c r="AC182" t="str" cm="1">
        <f t="array" ref="AC182">ErzeugeHausnummer()</f>
        <v>15</v>
      </c>
      <c r="AD182">
        <v>1</v>
      </c>
      <c r="AF182">
        <v>1</v>
      </c>
      <c r="AG182" s="6" t="str">
        <f t="shared" si="19"/>
        <v>033841</v>
      </c>
      <c r="AH182" t="str">
        <f t="shared" ca="1" si="20"/>
        <v>9486</v>
      </c>
      <c r="AI182">
        <v>1</v>
      </c>
      <c r="AK182">
        <v>2</v>
      </c>
      <c r="AN182">
        <v>1</v>
      </c>
      <c r="AU182">
        <v>1</v>
      </c>
    </row>
    <row r="183" spans="1:47" x14ac:dyDescent="0.45">
      <c r="A183">
        <v>181</v>
      </c>
      <c r="B183">
        <v>105</v>
      </c>
      <c r="C183">
        <v>69</v>
      </c>
      <c r="D183" s="3" t="s">
        <v>3</v>
      </c>
      <c r="E183" s="3" t="s">
        <v>4</v>
      </c>
      <c r="F183" s="3" t="s">
        <v>378</v>
      </c>
      <c r="G183" s="1">
        <v>27888</v>
      </c>
      <c r="H183" s="11">
        <f t="shared" ca="1" si="21"/>
        <v>48</v>
      </c>
      <c r="I183" t="s">
        <v>624</v>
      </c>
      <c r="P183" s="1">
        <f t="shared" ca="1" si="22"/>
        <v>43746</v>
      </c>
      <c r="Q183">
        <f t="shared" ca="1" si="23"/>
        <v>43</v>
      </c>
      <c r="Y183">
        <v>1</v>
      </c>
      <c r="Z183" t="str">
        <f t="shared" ca="1" si="16"/>
        <v>12524</v>
      </c>
      <c r="AA183" t="str">
        <f t="shared" si="17"/>
        <v>Berlin</v>
      </c>
      <c r="AB183" t="str">
        <f t="shared" si="18"/>
        <v>Eichenstraße</v>
      </c>
      <c r="AC183" t="str" cm="1">
        <f t="array" ref="AC183">ErzeugeHausnummer()</f>
        <v>7</v>
      </c>
      <c r="AD183">
        <v>1</v>
      </c>
      <c r="AF183">
        <v>1</v>
      </c>
      <c r="AG183" s="6" t="str">
        <f t="shared" si="19"/>
        <v>030</v>
      </c>
      <c r="AH183" t="str">
        <f t="shared" ca="1" si="20"/>
        <v>98354152</v>
      </c>
      <c r="AI183">
        <v>1</v>
      </c>
      <c r="AK183">
        <v>2</v>
      </c>
      <c r="AN183">
        <v>1</v>
      </c>
      <c r="AU183">
        <v>1</v>
      </c>
    </row>
    <row r="184" spans="1:47" x14ac:dyDescent="0.45">
      <c r="A184">
        <v>182</v>
      </c>
      <c r="B184">
        <v>147</v>
      </c>
      <c r="C184">
        <v>74</v>
      </c>
      <c r="D184" s="3" t="s">
        <v>3</v>
      </c>
      <c r="E184" s="3" t="s">
        <v>529</v>
      </c>
      <c r="F184" s="3" t="s">
        <v>58</v>
      </c>
      <c r="G184" s="1">
        <v>19947</v>
      </c>
      <c r="H184" s="11">
        <f t="shared" ca="1" si="21"/>
        <v>70</v>
      </c>
      <c r="I184" t="s">
        <v>626</v>
      </c>
      <c r="J184" s="1">
        <v>31268</v>
      </c>
      <c r="P184" s="1">
        <f t="shared" ca="1" si="22"/>
        <v>27135</v>
      </c>
      <c r="Q184">
        <f t="shared" ca="1" si="23"/>
        <v>20</v>
      </c>
      <c r="R184" s="1">
        <f>DATE(IF(MONTH(G184)=12,YEAR(G184)+66,YEAR(G184)+65),IF(MONTH(G184)=12,1,MONTH(G184)+1),1)</f>
        <v>43709</v>
      </c>
      <c r="S184" t="s">
        <v>1022</v>
      </c>
      <c r="Y184">
        <v>1</v>
      </c>
      <c r="Z184" t="str">
        <f t="shared" ca="1" si="16"/>
        <v>14806</v>
      </c>
      <c r="AA184" t="str">
        <f t="shared" si="17"/>
        <v>Belzig</v>
      </c>
      <c r="AB184" t="str">
        <f t="shared" si="18"/>
        <v>Erlenweg</v>
      </c>
      <c r="AC184" t="str" cm="1">
        <f t="array" ref="AC184">ErzeugeHausnummer()</f>
        <v>14</v>
      </c>
      <c r="AD184">
        <v>1</v>
      </c>
      <c r="AF184">
        <v>1</v>
      </c>
      <c r="AG184" s="6" t="str">
        <f t="shared" si="19"/>
        <v>033841</v>
      </c>
      <c r="AH184" t="str">
        <f t="shared" ca="1" si="20"/>
        <v>4702</v>
      </c>
      <c r="AI184">
        <v>1</v>
      </c>
      <c r="AK184">
        <v>2</v>
      </c>
      <c r="AN184">
        <v>1</v>
      </c>
      <c r="AU184">
        <v>1</v>
      </c>
    </row>
    <row r="185" spans="1:47" x14ac:dyDescent="0.45">
      <c r="A185">
        <v>183</v>
      </c>
      <c r="B185">
        <v>127</v>
      </c>
      <c r="C185">
        <v>144</v>
      </c>
      <c r="D185" s="3" t="s">
        <v>0</v>
      </c>
      <c r="E185" s="3" t="s">
        <v>530</v>
      </c>
      <c r="F185" s="3" t="s">
        <v>379</v>
      </c>
      <c r="G185" s="1">
        <v>22821</v>
      </c>
      <c r="H185" s="11">
        <f t="shared" ca="1" si="21"/>
        <v>61</v>
      </c>
      <c r="I185" t="s">
        <v>627</v>
      </c>
      <c r="J185" s="1">
        <v>45274</v>
      </c>
      <c r="P185" s="1">
        <f t="shared" ca="1" si="22"/>
        <v>32076</v>
      </c>
      <c r="Q185">
        <f t="shared" ca="1" si="23"/>
        <v>25</v>
      </c>
      <c r="Y185">
        <v>1</v>
      </c>
      <c r="Z185" t="str">
        <f t="shared" ca="1" si="16"/>
        <v>14513</v>
      </c>
      <c r="AA185" t="str">
        <f t="shared" si="17"/>
        <v>Teltow</v>
      </c>
      <c r="AB185" t="str">
        <f t="shared" si="18"/>
        <v>Karlstraße</v>
      </c>
      <c r="AC185" t="str" cm="1">
        <f t="array" ref="AC185">ErzeugeHausnummer()</f>
        <v>10</v>
      </c>
      <c r="AD185">
        <v>1</v>
      </c>
      <c r="AF185">
        <v>1</v>
      </c>
      <c r="AG185" s="6" t="str">
        <f t="shared" si="19"/>
        <v>03328</v>
      </c>
      <c r="AH185" t="str">
        <f t="shared" ca="1" si="20"/>
        <v>64907</v>
      </c>
      <c r="AI185">
        <v>1</v>
      </c>
      <c r="AK185">
        <v>2</v>
      </c>
      <c r="AN185">
        <v>1</v>
      </c>
      <c r="AU185">
        <v>1</v>
      </c>
    </row>
    <row r="186" spans="1:47" x14ac:dyDescent="0.45">
      <c r="A186">
        <v>184</v>
      </c>
      <c r="B186">
        <v>152</v>
      </c>
      <c r="C186">
        <v>180</v>
      </c>
      <c r="D186" s="3" t="s">
        <v>3</v>
      </c>
      <c r="E186" s="3" t="s">
        <v>531</v>
      </c>
      <c r="F186" s="3" t="s">
        <v>380</v>
      </c>
      <c r="G186" s="1">
        <v>31454</v>
      </c>
      <c r="H186" s="11">
        <f t="shared" ca="1" si="21"/>
        <v>38</v>
      </c>
      <c r="I186" t="s">
        <v>626</v>
      </c>
      <c r="J186" s="1">
        <v>40313</v>
      </c>
      <c r="P186" s="1">
        <f t="shared" ca="1" si="22"/>
        <v>38954</v>
      </c>
      <c r="Q186">
        <f t="shared" ca="1" si="23"/>
        <v>20</v>
      </c>
      <c r="Y186">
        <v>1</v>
      </c>
      <c r="Z186" t="str">
        <f t="shared" ca="1" si="16"/>
        <v>14542</v>
      </c>
      <c r="AA186" t="str">
        <f t="shared" si="17"/>
        <v>Werder (Havel)</v>
      </c>
      <c r="AB186" t="str">
        <f t="shared" si="18"/>
        <v>Marktplatz</v>
      </c>
      <c r="AC186" t="str" cm="1">
        <f t="array" ref="AC186">ErzeugeHausnummer()</f>
        <v>14</v>
      </c>
      <c r="AD186">
        <v>1</v>
      </c>
      <c r="AF186">
        <v>1</v>
      </c>
      <c r="AG186" s="6" t="str">
        <f t="shared" si="19"/>
        <v>03327</v>
      </c>
      <c r="AH186" t="str">
        <f t="shared" ca="1" si="20"/>
        <v>92200</v>
      </c>
      <c r="AI186">
        <v>1</v>
      </c>
      <c r="AK186">
        <v>2</v>
      </c>
      <c r="AN186">
        <v>1</v>
      </c>
      <c r="AU186">
        <v>1</v>
      </c>
    </row>
    <row r="187" spans="1:47" x14ac:dyDescent="0.45">
      <c r="A187">
        <v>185</v>
      </c>
      <c r="B187">
        <v>54</v>
      </c>
      <c r="C187">
        <v>146</v>
      </c>
      <c r="D187" s="3" t="s">
        <v>3</v>
      </c>
      <c r="E187" s="3" t="s">
        <v>532</v>
      </c>
      <c r="F187" s="3" t="s">
        <v>377</v>
      </c>
      <c r="G187" s="1">
        <v>35790</v>
      </c>
      <c r="H187" s="11">
        <f t="shared" ca="1" si="21"/>
        <v>26</v>
      </c>
      <c r="I187" t="s">
        <v>624</v>
      </c>
      <c r="P187" s="1">
        <f t="shared" ca="1" si="22"/>
        <v>49758</v>
      </c>
      <c r="Q187">
        <f t="shared" ca="1" si="23"/>
        <v>38</v>
      </c>
      <c r="Y187">
        <v>1</v>
      </c>
      <c r="Z187" t="str">
        <f t="shared" ca="1" si="16"/>
        <v>13597</v>
      </c>
      <c r="AA187" t="str">
        <f t="shared" si="17"/>
        <v>Berlin</v>
      </c>
      <c r="AB187" t="str">
        <f t="shared" si="18"/>
        <v>Kastanienallee</v>
      </c>
      <c r="AC187" t="str" cm="1">
        <f t="array" ref="AC187">ErzeugeHausnummer()</f>
        <v>38</v>
      </c>
      <c r="AD187">
        <v>1</v>
      </c>
      <c r="AF187">
        <v>1</v>
      </c>
      <c r="AG187" s="6" t="str">
        <f t="shared" si="19"/>
        <v>030</v>
      </c>
      <c r="AH187" t="str">
        <f t="shared" ca="1" si="20"/>
        <v>94742459</v>
      </c>
      <c r="AI187">
        <v>1</v>
      </c>
      <c r="AK187">
        <v>2</v>
      </c>
      <c r="AN187">
        <v>1</v>
      </c>
      <c r="AU187">
        <v>1</v>
      </c>
    </row>
    <row r="188" spans="1:47" x14ac:dyDescent="0.45">
      <c r="A188">
        <v>186</v>
      </c>
      <c r="B188">
        <v>152</v>
      </c>
      <c r="C188">
        <v>184</v>
      </c>
      <c r="D188" s="3" t="s">
        <v>0</v>
      </c>
      <c r="E188" s="3" t="s">
        <v>533</v>
      </c>
      <c r="F188" s="3" t="s">
        <v>381</v>
      </c>
      <c r="G188" s="1">
        <v>27820</v>
      </c>
      <c r="H188" s="11">
        <f t="shared" ca="1" si="21"/>
        <v>48</v>
      </c>
      <c r="I188" t="s">
        <v>626</v>
      </c>
      <c r="J188" s="1">
        <v>36461</v>
      </c>
      <c r="P188" s="1">
        <f t="shared" ca="1" si="22"/>
        <v>40955</v>
      </c>
      <c r="Q188">
        <f t="shared" ca="1" si="23"/>
        <v>36</v>
      </c>
      <c r="Y188">
        <v>1</v>
      </c>
      <c r="Z188" t="str">
        <f t="shared" ca="1" si="16"/>
        <v>14542</v>
      </c>
      <c r="AA188" t="str">
        <f t="shared" si="17"/>
        <v>Werder (Havel)</v>
      </c>
      <c r="AB188" t="str">
        <f t="shared" si="18"/>
        <v>Max-Planck-Straße</v>
      </c>
      <c r="AC188" t="str" cm="1">
        <f t="array" ref="AC188">ErzeugeHausnummer()</f>
        <v>10B/C</v>
      </c>
      <c r="AD188">
        <v>1</v>
      </c>
      <c r="AF188">
        <v>1</v>
      </c>
      <c r="AG188" s="6" t="str">
        <f t="shared" si="19"/>
        <v>03327</v>
      </c>
      <c r="AH188" t="str">
        <f t="shared" ca="1" si="20"/>
        <v>85678</v>
      </c>
      <c r="AI188">
        <v>1</v>
      </c>
      <c r="AK188">
        <v>2</v>
      </c>
      <c r="AN188">
        <v>1</v>
      </c>
      <c r="AU188">
        <v>1</v>
      </c>
    </row>
    <row r="189" spans="1:47" x14ac:dyDescent="0.45">
      <c r="A189">
        <v>187</v>
      </c>
      <c r="B189">
        <v>14</v>
      </c>
      <c r="C189">
        <v>289</v>
      </c>
      <c r="D189" s="3" t="s">
        <v>3</v>
      </c>
      <c r="E189" s="3" t="s">
        <v>534</v>
      </c>
      <c r="F189" s="3" t="s">
        <v>382</v>
      </c>
      <c r="G189" s="1">
        <v>34242</v>
      </c>
      <c r="H189" s="11">
        <f t="shared" ca="1" si="21"/>
        <v>30</v>
      </c>
      <c r="I189" t="s">
        <v>624</v>
      </c>
      <c r="P189" s="1">
        <f t="shared" ca="1" si="22"/>
        <v>48512</v>
      </c>
      <c r="Q189">
        <f t="shared" ca="1" si="23"/>
        <v>38</v>
      </c>
      <c r="Y189">
        <v>1</v>
      </c>
      <c r="Z189" t="str">
        <f t="shared" ca="1" si="16"/>
        <v>13156</v>
      </c>
      <c r="AA189" t="str">
        <f t="shared" si="17"/>
        <v>Berlin</v>
      </c>
      <c r="AB189" t="str">
        <f t="shared" si="18"/>
        <v>Waldstraße</v>
      </c>
      <c r="AC189" t="str" cm="1">
        <f t="array" ref="AC189">ErzeugeHausnummer()</f>
        <v>23</v>
      </c>
      <c r="AD189">
        <v>1</v>
      </c>
      <c r="AF189">
        <v>1</v>
      </c>
      <c r="AG189" s="6" t="str">
        <f t="shared" si="19"/>
        <v>030</v>
      </c>
      <c r="AH189" t="str">
        <f t="shared" ca="1" si="20"/>
        <v>48844835</v>
      </c>
      <c r="AI189">
        <v>1</v>
      </c>
      <c r="AK189">
        <v>2</v>
      </c>
      <c r="AN189">
        <v>1</v>
      </c>
      <c r="AU189">
        <v>1</v>
      </c>
    </row>
    <row r="190" spans="1:47" x14ac:dyDescent="0.45">
      <c r="A190">
        <v>188</v>
      </c>
      <c r="B190">
        <v>53</v>
      </c>
      <c r="C190">
        <v>180</v>
      </c>
      <c r="D190" s="3" t="s">
        <v>0</v>
      </c>
      <c r="E190" s="3" t="s">
        <v>535</v>
      </c>
      <c r="F190" s="3" t="s">
        <v>383</v>
      </c>
      <c r="G190" s="1">
        <v>29156</v>
      </c>
      <c r="H190" s="11">
        <f t="shared" ca="1" si="21"/>
        <v>44</v>
      </c>
      <c r="I190" t="s">
        <v>626</v>
      </c>
      <c r="J190" s="1">
        <v>36034</v>
      </c>
      <c r="P190" s="1">
        <f t="shared" ca="1" si="22"/>
        <v>45238</v>
      </c>
      <c r="Q190">
        <f t="shared" ca="1" si="23"/>
        <v>43</v>
      </c>
      <c r="Y190">
        <v>1</v>
      </c>
      <c r="Z190" t="str">
        <f t="shared" ca="1" si="16"/>
        <v>13597</v>
      </c>
      <c r="AA190" t="str">
        <f t="shared" si="17"/>
        <v>Berlin</v>
      </c>
      <c r="AB190" t="str">
        <f t="shared" si="18"/>
        <v>Marktplatz</v>
      </c>
      <c r="AC190" t="str" cm="1">
        <f t="array" ref="AC190">ErzeugeHausnummer()</f>
        <v>32</v>
      </c>
      <c r="AD190">
        <v>1</v>
      </c>
      <c r="AF190">
        <v>1</v>
      </c>
      <c r="AG190" s="6" t="str">
        <f t="shared" si="19"/>
        <v>030</v>
      </c>
      <c r="AH190" t="str">
        <f t="shared" ca="1" si="20"/>
        <v>98286600</v>
      </c>
      <c r="AI190">
        <v>1</v>
      </c>
      <c r="AK190">
        <v>2</v>
      </c>
      <c r="AN190">
        <v>1</v>
      </c>
      <c r="AU190">
        <v>1</v>
      </c>
    </row>
    <row r="191" spans="1:47" x14ac:dyDescent="0.45">
      <c r="A191">
        <v>189</v>
      </c>
      <c r="B191">
        <v>79</v>
      </c>
      <c r="C191">
        <v>98</v>
      </c>
      <c r="D191" s="3" t="s">
        <v>0</v>
      </c>
      <c r="E191" s="3" t="s">
        <v>536</v>
      </c>
      <c r="F191" s="3" t="s">
        <v>90</v>
      </c>
      <c r="G191" s="1">
        <v>24929</v>
      </c>
      <c r="H191" s="11">
        <f t="shared" ca="1" si="21"/>
        <v>56</v>
      </c>
      <c r="I191" t="s">
        <v>626</v>
      </c>
      <c r="J191" s="1">
        <v>38303</v>
      </c>
      <c r="P191" s="1">
        <f t="shared" ca="1" si="22"/>
        <v>34440</v>
      </c>
      <c r="Q191">
        <f t="shared" ca="1" si="23"/>
        <v>26</v>
      </c>
      <c r="Y191">
        <v>1</v>
      </c>
      <c r="Z191" t="str">
        <f t="shared" ca="1" si="16"/>
        <v>14050</v>
      </c>
      <c r="AA191" t="str">
        <f t="shared" si="17"/>
        <v>Berlin</v>
      </c>
      <c r="AB191" t="str">
        <f t="shared" si="18"/>
        <v>Goethegasse</v>
      </c>
      <c r="AC191" t="str" cm="1">
        <f t="array" ref="AC191">ErzeugeHausnummer()</f>
        <v>42</v>
      </c>
      <c r="AD191">
        <v>1</v>
      </c>
      <c r="AF191">
        <v>1</v>
      </c>
      <c r="AG191" s="6" t="str">
        <f t="shared" si="19"/>
        <v>030</v>
      </c>
      <c r="AH191" t="str">
        <f t="shared" ca="1" si="20"/>
        <v>66528779</v>
      </c>
      <c r="AI191">
        <v>1</v>
      </c>
      <c r="AK191">
        <v>2</v>
      </c>
      <c r="AN191">
        <v>1</v>
      </c>
      <c r="AU191">
        <v>1</v>
      </c>
    </row>
    <row r="192" spans="1:47" x14ac:dyDescent="0.45">
      <c r="A192">
        <v>190</v>
      </c>
      <c r="B192">
        <v>50</v>
      </c>
      <c r="C192">
        <v>148</v>
      </c>
      <c r="D192" s="3" t="s">
        <v>3</v>
      </c>
      <c r="E192" s="3" t="s">
        <v>91</v>
      </c>
      <c r="F192" s="3" t="s">
        <v>384</v>
      </c>
      <c r="G192" s="1">
        <v>37684</v>
      </c>
      <c r="H192" s="11">
        <f t="shared" ca="1" si="21"/>
        <v>21</v>
      </c>
      <c r="I192" t="s">
        <v>624</v>
      </c>
      <c r="P192" s="1">
        <f t="shared" ca="1" si="22"/>
        <v>49982</v>
      </c>
      <c r="Q192">
        <f t="shared" ca="1" si="23"/>
        <v>32</v>
      </c>
      <c r="Y192">
        <v>1</v>
      </c>
      <c r="Z192" t="str">
        <f t="shared" ca="1" si="16"/>
        <v>13581</v>
      </c>
      <c r="AA192" t="str">
        <f t="shared" si="17"/>
        <v>Berlin</v>
      </c>
      <c r="AB192" t="str">
        <f t="shared" si="18"/>
        <v>Keplerweg</v>
      </c>
      <c r="AC192" t="str" cm="1">
        <f t="array" ref="AC192">ErzeugeHausnummer()</f>
        <v>46</v>
      </c>
      <c r="AD192">
        <v>1</v>
      </c>
      <c r="AF192">
        <v>1</v>
      </c>
      <c r="AG192" s="6" t="str">
        <f t="shared" si="19"/>
        <v>030</v>
      </c>
      <c r="AH192" t="str">
        <f t="shared" ca="1" si="20"/>
        <v>85763077</v>
      </c>
      <c r="AI192">
        <v>1</v>
      </c>
      <c r="AK192">
        <v>2</v>
      </c>
      <c r="AN192">
        <v>1</v>
      </c>
      <c r="AU192">
        <v>1</v>
      </c>
    </row>
    <row r="193" spans="1:47" x14ac:dyDescent="0.45">
      <c r="A193">
        <v>191</v>
      </c>
      <c r="B193">
        <v>171</v>
      </c>
      <c r="C193">
        <v>277</v>
      </c>
      <c r="D193" s="3" t="s">
        <v>3</v>
      </c>
      <c r="E193" s="3" t="s">
        <v>537</v>
      </c>
      <c r="F193" s="3" t="s">
        <v>385</v>
      </c>
      <c r="G193" s="1">
        <v>21410</v>
      </c>
      <c r="H193" s="11">
        <f t="shared" ca="1" si="21"/>
        <v>66</v>
      </c>
      <c r="I193" t="s">
        <v>626</v>
      </c>
      <c r="J193" s="1">
        <v>35778</v>
      </c>
      <c r="P193" s="1">
        <f t="shared" ca="1" si="22"/>
        <v>33277</v>
      </c>
      <c r="Q193">
        <f t="shared" ca="1" si="23"/>
        <v>32</v>
      </c>
      <c r="R193" s="1">
        <f>DATE(IF(MONTH(G193)=12,YEAR(G193)+66,YEAR(G193)+65),IF(MONTH(G193)=12,1,MONTH(G193)+1),1)</f>
        <v>45170</v>
      </c>
      <c r="S193" t="s">
        <v>1022</v>
      </c>
      <c r="Y193">
        <v>1</v>
      </c>
      <c r="Z193" t="str">
        <f t="shared" ca="1" si="16"/>
        <v>14542</v>
      </c>
      <c r="AA193" t="str">
        <f t="shared" si="17"/>
        <v>Werder (Havel)</v>
      </c>
      <c r="AB193" t="str">
        <f t="shared" si="18"/>
        <v>Tannenweg</v>
      </c>
      <c r="AC193" t="str" cm="1">
        <f t="array" ref="AC193">ErzeugeHausnummer()</f>
        <v>11</v>
      </c>
      <c r="AD193">
        <v>1</v>
      </c>
      <c r="AF193">
        <v>1</v>
      </c>
      <c r="AG193" s="6" t="str">
        <f t="shared" si="19"/>
        <v>03327</v>
      </c>
      <c r="AH193" t="str">
        <f t="shared" ca="1" si="20"/>
        <v>82407</v>
      </c>
      <c r="AI193">
        <v>1</v>
      </c>
      <c r="AK193">
        <v>2</v>
      </c>
      <c r="AN193">
        <v>1</v>
      </c>
      <c r="AU193">
        <v>1</v>
      </c>
    </row>
    <row r="194" spans="1:47" x14ac:dyDescent="0.45">
      <c r="A194">
        <v>192</v>
      </c>
      <c r="B194">
        <v>95</v>
      </c>
      <c r="C194">
        <v>133</v>
      </c>
      <c r="D194" s="3" t="s">
        <v>3</v>
      </c>
      <c r="E194" s="3" t="s">
        <v>538</v>
      </c>
      <c r="F194" s="3" t="s">
        <v>386</v>
      </c>
      <c r="G194" s="1">
        <v>33064</v>
      </c>
      <c r="H194" s="11">
        <f t="shared" ca="1" si="21"/>
        <v>34</v>
      </c>
      <c r="I194" t="s">
        <v>626</v>
      </c>
      <c r="J194" s="1">
        <v>45068</v>
      </c>
      <c r="P194" s="1">
        <f t="shared" ca="1" si="22"/>
        <v>46944</v>
      </c>
      <c r="Q194">
        <f t="shared" ca="1" si="23"/>
        <v>38</v>
      </c>
      <c r="Y194">
        <v>1</v>
      </c>
      <c r="Z194" t="str">
        <f t="shared" ca="1" si="16"/>
        <v>12043</v>
      </c>
      <c r="AA194" t="str">
        <f t="shared" si="17"/>
        <v>Berlin</v>
      </c>
      <c r="AB194" t="str">
        <f t="shared" si="18"/>
        <v>Johannes-Kepler-Straße</v>
      </c>
      <c r="AC194" t="str" cm="1">
        <f t="array" ref="AC194">ErzeugeHausnummer()</f>
        <v>22</v>
      </c>
      <c r="AD194">
        <v>1</v>
      </c>
      <c r="AF194">
        <v>1</v>
      </c>
      <c r="AG194" s="6" t="str">
        <f t="shared" si="19"/>
        <v>030</v>
      </c>
      <c r="AH194" t="str">
        <f t="shared" ca="1" si="20"/>
        <v>79964350</v>
      </c>
      <c r="AI194">
        <v>1</v>
      </c>
      <c r="AK194">
        <v>2</v>
      </c>
      <c r="AN194">
        <v>1</v>
      </c>
      <c r="AU194">
        <v>1</v>
      </c>
    </row>
    <row r="195" spans="1:47" x14ac:dyDescent="0.45">
      <c r="A195">
        <v>193</v>
      </c>
      <c r="B195">
        <v>174</v>
      </c>
      <c r="C195">
        <v>205</v>
      </c>
      <c r="D195" s="3" t="s">
        <v>3</v>
      </c>
      <c r="E195" s="3" t="s">
        <v>539</v>
      </c>
      <c r="F195" s="3" t="s">
        <v>46</v>
      </c>
      <c r="G195" s="1">
        <v>35332</v>
      </c>
      <c r="H195" s="11">
        <f t="shared" ca="1" si="21"/>
        <v>27</v>
      </c>
      <c r="I195" t="s">
        <v>624</v>
      </c>
      <c r="P195" s="1">
        <f t="shared" ca="1" si="22"/>
        <v>46767</v>
      </c>
      <c r="Q195">
        <f t="shared" ca="1" si="23"/>
        <v>31</v>
      </c>
      <c r="Y195">
        <v>1</v>
      </c>
      <c r="Z195" t="str">
        <f t="shared" ref="Z195:Z258" ca="1" si="24">TEXT(INT(RAND() * (VLOOKUP(B195,Adressen_Zufall,5,TRUE) - VLOOKUP(B195,Adressen_Zufall,5,TRUE)  + 1) + VLOOKUP(B195,Adressen_Zufall,5,TRUE) ),"0")</f>
        <v>14552</v>
      </c>
      <c r="AA195" t="str">
        <f t="shared" ref="AA195:AA258" si="25">VLOOKUP(B195,Adressen_Zufall,3,TRUE)</f>
        <v>Michendorf</v>
      </c>
      <c r="AB195" t="str">
        <f t="shared" ref="AB195:AB258" si="26">VLOOKUP(C195,Strassen_Zufall,2,TRUE)</f>
        <v>New-Orleans-Platz</v>
      </c>
      <c r="AC195" t="str" cm="1">
        <f t="array" ref="AC195">ErzeugeHausnummer()</f>
        <v>2B/C</v>
      </c>
      <c r="AD195">
        <v>1</v>
      </c>
      <c r="AF195">
        <v>1</v>
      </c>
      <c r="AG195" s="6" t="str">
        <f t="shared" ref="AG195:AG258" si="27">VLOOKUP(B195,Adressen_Zufall,7,TRUE)</f>
        <v>033205</v>
      </c>
      <c r="AH195" t="str">
        <f t="shared" ref="AH195:AH258" ca="1" si="28">LEFT(TEXT(INT(RANDBETWEEN(4,9)) &amp; RANDBETWEEN(100000000000,999999999999), "0"),VLOOKUP(B195,Adressen_Zufall,8,TRUE)-LEN(VLOOKUP(B195,Adressen_Zufall,7,TRUE)))</f>
        <v>9746</v>
      </c>
      <c r="AI195">
        <v>1</v>
      </c>
      <c r="AK195">
        <v>2</v>
      </c>
      <c r="AN195">
        <v>1</v>
      </c>
      <c r="AU195">
        <v>1</v>
      </c>
    </row>
    <row r="196" spans="1:47" x14ac:dyDescent="0.45">
      <c r="A196">
        <v>194</v>
      </c>
      <c r="B196">
        <v>189</v>
      </c>
      <c r="C196">
        <v>253</v>
      </c>
      <c r="D196" s="3" t="s">
        <v>3</v>
      </c>
      <c r="E196" s="3" t="s">
        <v>540</v>
      </c>
      <c r="F196" s="3" t="s">
        <v>387</v>
      </c>
      <c r="G196" s="1">
        <v>21142</v>
      </c>
      <c r="H196" s="11">
        <f t="shared" ref="H196:H259" ca="1" si="29">YEAR(TODAY())-YEAR(G196) - (DAY(TODAY()) &lt; DAY(G196))</f>
        <v>67</v>
      </c>
      <c r="I196" t="s">
        <v>626</v>
      </c>
      <c r="J196" s="1">
        <v>31201</v>
      </c>
      <c r="P196" s="1">
        <f t="shared" ref="P196:P259" ca="1" si="30">G196 + ROUND(RAND()*(50*365-18*365) + 18*365, 0)</f>
        <v>27913</v>
      </c>
      <c r="Q196">
        <f t="shared" ca="1" si="23"/>
        <v>18</v>
      </c>
      <c r="R196" s="1">
        <f>DATE(IF(MONTH(G196)=12,YEAR(G196)+66,YEAR(G196)+65),IF(MONTH(G196)=12,1,MONTH(G196)+1),1)</f>
        <v>44896</v>
      </c>
      <c r="S196" t="s">
        <v>1022</v>
      </c>
      <c r="Y196">
        <v>1</v>
      </c>
      <c r="Z196" t="str">
        <f t="shared" ca="1" si="24"/>
        <v>14547</v>
      </c>
      <c r="AA196" t="str">
        <f t="shared" si="25"/>
        <v>Klosterdorf</v>
      </c>
      <c r="AB196" t="str">
        <f t="shared" si="26"/>
        <v>Schubertstraße</v>
      </c>
      <c r="AC196" t="str" cm="1">
        <f t="array" ref="AC196">ErzeugeHausnummer()</f>
        <v>16B</v>
      </c>
      <c r="AD196">
        <v>1</v>
      </c>
      <c r="AF196">
        <v>1</v>
      </c>
      <c r="AG196" s="6" t="str">
        <f t="shared" si="27"/>
        <v>033206</v>
      </c>
      <c r="AH196" t="str">
        <f t="shared" ca="1" si="28"/>
        <v>8662</v>
      </c>
      <c r="AI196">
        <v>1</v>
      </c>
      <c r="AK196">
        <v>2</v>
      </c>
      <c r="AN196">
        <v>1</v>
      </c>
      <c r="AU196">
        <v>1</v>
      </c>
    </row>
    <row r="197" spans="1:47" x14ac:dyDescent="0.45">
      <c r="A197">
        <v>195</v>
      </c>
      <c r="B197">
        <v>136</v>
      </c>
      <c r="C197">
        <v>105</v>
      </c>
      <c r="D197" s="3" t="s">
        <v>3</v>
      </c>
      <c r="E197" s="3" t="s">
        <v>541</v>
      </c>
      <c r="F197" s="3" t="s">
        <v>388</v>
      </c>
      <c r="G197" s="1">
        <v>22678</v>
      </c>
      <c r="H197" s="11">
        <f t="shared" ca="1" si="29"/>
        <v>62</v>
      </c>
      <c r="I197" t="s">
        <v>624</v>
      </c>
      <c r="J197" s="1"/>
      <c r="P197" s="1">
        <f t="shared" ca="1" si="30"/>
        <v>35948</v>
      </c>
      <c r="Q197">
        <f t="shared" ref="Q197:Q260" ca="1" si="31">YEAR(P197)-YEAR(G197) - (DAY(P197) &lt; DAY(G197))</f>
        <v>36</v>
      </c>
      <c r="Y197">
        <v>1</v>
      </c>
      <c r="Z197" t="str">
        <f t="shared" ca="1" si="24"/>
        <v>14548</v>
      </c>
      <c r="AA197" t="str">
        <f t="shared" si="25"/>
        <v>Schwielowsee</v>
      </c>
      <c r="AB197" t="str">
        <f t="shared" si="26"/>
        <v>Hainweg</v>
      </c>
      <c r="AC197" t="str" cm="1">
        <f t="array" ref="AC197">ErzeugeHausnummer()</f>
        <v>25E</v>
      </c>
      <c r="AD197">
        <v>1</v>
      </c>
      <c r="AF197">
        <v>1</v>
      </c>
      <c r="AG197" s="6" t="str">
        <f t="shared" si="27"/>
        <v>03327</v>
      </c>
      <c r="AH197" t="str">
        <f t="shared" ca="1" si="28"/>
        <v>73825</v>
      </c>
      <c r="AI197">
        <v>1</v>
      </c>
      <c r="AK197">
        <v>2</v>
      </c>
      <c r="AN197">
        <v>1</v>
      </c>
      <c r="AU197">
        <v>1</v>
      </c>
    </row>
    <row r="198" spans="1:47" x14ac:dyDescent="0.45">
      <c r="A198">
        <v>196</v>
      </c>
      <c r="B198">
        <v>175</v>
      </c>
      <c r="C198">
        <v>243</v>
      </c>
      <c r="D198" s="3" t="s">
        <v>3</v>
      </c>
      <c r="E198" s="3" t="s">
        <v>542</v>
      </c>
      <c r="F198" s="3" t="s">
        <v>389</v>
      </c>
      <c r="G198" s="1">
        <v>29389</v>
      </c>
      <c r="H198" s="11">
        <f t="shared" ca="1" si="29"/>
        <v>44</v>
      </c>
      <c r="I198" t="s">
        <v>626</v>
      </c>
      <c r="J198" s="1">
        <v>43897</v>
      </c>
      <c r="P198" s="1">
        <f t="shared" ca="1" si="30"/>
        <v>46440</v>
      </c>
      <c r="Q198">
        <f t="shared" ca="1" si="31"/>
        <v>47</v>
      </c>
      <c r="Y198">
        <v>1</v>
      </c>
      <c r="Z198" t="str">
        <f t="shared" ca="1" si="24"/>
        <v>14558</v>
      </c>
      <c r="AA198" t="str">
        <f t="shared" si="25"/>
        <v>Nuthetal</v>
      </c>
      <c r="AB198" t="str">
        <f t="shared" si="26"/>
        <v>San-Diego-Straße</v>
      </c>
      <c r="AC198" t="str" cm="1">
        <f t="array" ref="AC198">ErzeugeHausnummer()</f>
        <v>25</v>
      </c>
      <c r="AD198">
        <v>1</v>
      </c>
      <c r="AF198">
        <v>1</v>
      </c>
      <c r="AG198" s="6" t="str">
        <f t="shared" si="27"/>
        <v>033200</v>
      </c>
      <c r="AH198" t="str">
        <f t="shared" ca="1" si="28"/>
        <v>9243</v>
      </c>
      <c r="AI198">
        <v>1</v>
      </c>
      <c r="AK198">
        <v>2</v>
      </c>
      <c r="AN198">
        <v>1</v>
      </c>
      <c r="AU198">
        <v>1</v>
      </c>
    </row>
    <row r="199" spans="1:47" x14ac:dyDescent="0.45">
      <c r="A199">
        <v>197</v>
      </c>
      <c r="B199">
        <v>46</v>
      </c>
      <c r="C199">
        <v>216</v>
      </c>
      <c r="D199" s="3" t="s">
        <v>3</v>
      </c>
      <c r="E199" s="3" t="s">
        <v>543</v>
      </c>
      <c r="F199" s="3" t="s">
        <v>390</v>
      </c>
      <c r="G199" s="1">
        <v>30845</v>
      </c>
      <c r="H199" s="11">
        <f t="shared" ca="1" si="29"/>
        <v>40</v>
      </c>
      <c r="I199" t="s">
        <v>624</v>
      </c>
      <c r="P199" s="1">
        <f t="shared" ca="1" si="30"/>
        <v>48419</v>
      </c>
      <c r="Q199">
        <f t="shared" ca="1" si="31"/>
        <v>48</v>
      </c>
      <c r="Y199">
        <v>1</v>
      </c>
      <c r="Z199" t="str">
        <f t="shared" ca="1" si="24"/>
        <v>13581</v>
      </c>
      <c r="AA199" t="str">
        <f t="shared" si="25"/>
        <v>Berlin</v>
      </c>
      <c r="AB199" t="str">
        <f t="shared" si="26"/>
        <v>Paul-Hindemith-Straße</v>
      </c>
      <c r="AC199" t="str" cm="1">
        <f t="array" ref="AC199">ErzeugeHausnummer()</f>
        <v>30B/C</v>
      </c>
      <c r="AD199">
        <v>1</v>
      </c>
      <c r="AF199">
        <v>1</v>
      </c>
      <c r="AG199" s="6" t="str">
        <f t="shared" si="27"/>
        <v>030</v>
      </c>
      <c r="AH199" t="str">
        <f t="shared" ca="1" si="28"/>
        <v>47780747</v>
      </c>
      <c r="AI199">
        <v>1</v>
      </c>
      <c r="AK199">
        <v>2</v>
      </c>
      <c r="AN199">
        <v>1</v>
      </c>
      <c r="AU199">
        <v>1</v>
      </c>
    </row>
    <row r="200" spans="1:47" x14ac:dyDescent="0.45">
      <c r="A200">
        <v>198</v>
      </c>
      <c r="B200">
        <v>74</v>
      </c>
      <c r="C200">
        <v>9</v>
      </c>
      <c r="D200" s="3" t="s">
        <v>3</v>
      </c>
      <c r="E200" s="3" t="s">
        <v>544</v>
      </c>
      <c r="F200" s="3" t="s">
        <v>391</v>
      </c>
      <c r="G200" s="1">
        <v>29176</v>
      </c>
      <c r="H200" s="11">
        <f t="shared" ca="1" si="29"/>
        <v>45</v>
      </c>
      <c r="I200" t="s">
        <v>626</v>
      </c>
      <c r="J200" s="1">
        <v>42091</v>
      </c>
      <c r="P200" s="1">
        <f t="shared" ca="1" si="30"/>
        <v>38076</v>
      </c>
      <c r="Q200">
        <f t="shared" ca="1" si="31"/>
        <v>25</v>
      </c>
      <c r="Y200">
        <v>1</v>
      </c>
      <c r="Z200" t="str">
        <f t="shared" ca="1" si="24"/>
        <v>14050</v>
      </c>
      <c r="AA200" t="str">
        <f t="shared" si="25"/>
        <v>Berlin</v>
      </c>
      <c r="AB200" t="str">
        <f t="shared" si="26"/>
        <v>Am Bahnhof</v>
      </c>
      <c r="AC200" t="str" cm="1">
        <f t="array" ref="AC200">ErzeugeHausnummer()</f>
        <v>9</v>
      </c>
      <c r="AD200">
        <v>1</v>
      </c>
      <c r="AF200">
        <v>1</v>
      </c>
      <c r="AG200" s="6" t="str">
        <f t="shared" si="27"/>
        <v>030</v>
      </c>
      <c r="AH200" t="str">
        <f t="shared" ca="1" si="28"/>
        <v>98261449</v>
      </c>
      <c r="AI200">
        <v>1</v>
      </c>
      <c r="AK200">
        <v>2</v>
      </c>
      <c r="AN200">
        <v>1</v>
      </c>
      <c r="AU200">
        <v>1</v>
      </c>
    </row>
    <row r="201" spans="1:47" x14ac:dyDescent="0.45">
      <c r="A201">
        <v>199</v>
      </c>
      <c r="B201">
        <v>99</v>
      </c>
      <c r="C201">
        <v>194</v>
      </c>
      <c r="D201" s="3" t="s">
        <v>0</v>
      </c>
      <c r="E201" s="3" t="s">
        <v>545</v>
      </c>
      <c r="F201" s="3" t="s">
        <v>392</v>
      </c>
      <c r="G201" s="1">
        <v>38518</v>
      </c>
      <c r="H201" s="11">
        <f t="shared" ca="1" si="29"/>
        <v>19</v>
      </c>
      <c r="I201" t="s">
        <v>624</v>
      </c>
      <c r="P201" s="1">
        <f t="shared" ca="1" si="30"/>
        <v>46192</v>
      </c>
      <c r="Q201">
        <f t="shared" ca="1" si="31"/>
        <v>21</v>
      </c>
      <c r="Y201">
        <v>1</v>
      </c>
      <c r="Z201" t="str">
        <f t="shared" ca="1" si="24"/>
        <v>12057</v>
      </c>
      <c r="AA201" t="str">
        <f t="shared" si="25"/>
        <v>Berlin</v>
      </c>
      <c r="AB201" t="str">
        <f t="shared" si="26"/>
        <v>Mozartplatz</v>
      </c>
      <c r="AC201" t="str" cm="1">
        <f t="array" ref="AC201">ErzeugeHausnummer()</f>
        <v>11</v>
      </c>
      <c r="AD201">
        <v>1</v>
      </c>
      <c r="AF201">
        <v>1</v>
      </c>
      <c r="AG201" s="6" t="str">
        <f t="shared" si="27"/>
        <v>030</v>
      </c>
      <c r="AH201" t="str">
        <f t="shared" ca="1" si="28"/>
        <v>45582870</v>
      </c>
      <c r="AI201">
        <v>1</v>
      </c>
      <c r="AK201">
        <v>2</v>
      </c>
      <c r="AN201">
        <v>1</v>
      </c>
      <c r="AU201">
        <v>1</v>
      </c>
    </row>
    <row r="202" spans="1:47" x14ac:dyDescent="0.45">
      <c r="A202">
        <v>200</v>
      </c>
      <c r="B202">
        <v>90</v>
      </c>
      <c r="C202">
        <v>245</v>
      </c>
      <c r="D202" s="3" t="s">
        <v>3</v>
      </c>
      <c r="E202" s="3" t="s">
        <v>501</v>
      </c>
      <c r="F202" s="3" t="s">
        <v>393</v>
      </c>
      <c r="G202" s="1">
        <v>36980</v>
      </c>
      <c r="H202" s="11">
        <f t="shared" ca="1" si="29"/>
        <v>22</v>
      </c>
      <c r="I202" t="s">
        <v>624</v>
      </c>
      <c r="P202" s="1">
        <f t="shared" ca="1" si="30"/>
        <v>54914</v>
      </c>
      <c r="Q202">
        <f t="shared" ca="1" si="31"/>
        <v>48</v>
      </c>
      <c r="Y202">
        <v>1</v>
      </c>
      <c r="Z202" t="str">
        <f t="shared" ca="1" si="24"/>
        <v>12157</v>
      </c>
      <c r="AA202" t="str">
        <f t="shared" si="25"/>
        <v>Berlin</v>
      </c>
      <c r="AB202" t="str">
        <f t="shared" si="26"/>
        <v>San-Jose-Weg</v>
      </c>
      <c r="AC202" t="str" cm="1">
        <f t="array" ref="AC202">ErzeugeHausnummer()</f>
        <v>2</v>
      </c>
      <c r="AD202">
        <v>1</v>
      </c>
      <c r="AF202">
        <v>1</v>
      </c>
      <c r="AG202" s="6" t="str">
        <f t="shared" si="27"/>
        <v>030</v>
      </c>
      <c r="AH202" t="str">
        <f t="shared" ca="1" si="28"/>
        <v>82974995</v>
      </c>
      <c r="AI202">
        <v>1</v>
      </c>
      <c r="AK202">
        <v>2</v>
      </c>
      <c r="AN202">
        <v>1</v>
      </c>
      <c r="AU202">
        <v>1</v>
      </c>
    </row>
    <row r="203" spans="1:47" x14ac:dyDescent="0.45">
      <c r="A203">
        <v>201</v>
      </c>
      <c r="B203">
        <v>76</v>
      </c>
      <c r="C203">
        <v>183</v>
      </c>
      <c r="D203" s="3" t="s">
        <v>3</v>
      </c>
      <c r="E203" s="3" t="s">
        <v>546</v>
      </c>
      <c r="F203" s="3" t="s">
        <v>394</v>
      </c>
      <c r="G203" s="1">
        <v>20195</v>
      </c>
      <c r="H203" s="11">
        <f t="shared" ca="1" si="29"/>
        <v>69</v>
      </c>
      <c r="I203" t="s">
        <v>627</v>
      </c>
      <c r="J203" s="1">
        <v>42106</v>
      </c>
      <c r="P203" s="1">
        <f t="shared" ca="1" si="30"/>
        <v>35885</v>
      </c>
      <c r="Q203">
        <f t="shared" ca="1" si="31"/>
        <v>43</v>
      </c>
      <c r="R203" s="1">
        <f>DATE(IF(MONTH(G203)=12,YEAR(G203)+66,YEAR(G203)+65),IF(MONTH(G203)=12,1,MONTH(G203)+1),1)</f>
        <v>43952</v>
      </c>
      <c r="S203" t="s">
        <v>1022</v>
      </c>
      <c r="Y203">
        <v>1</v>
      </c>
      <c r="Z203" t="str">
        <f t="shared" ca="1" si="24"/>
        <v>14050</v>
      </c>
      <c r="AA203" t="str">
        <f t="shared" si="25"/>
        <v>Berlin</v>
      </c>
      <c r="AB203" t="str">
        <f t="shared" si="26"/>
        <v>Max-Frisch-Straße</v>
      </c>
      <c r="AC203" t="str" cm="1">
        <f t="array" ref="AC203">ErzeugeHausnummer()</f>
        <v>1</v>
      </c>
      <c r="AD203">
        <v>1</v>
      </c>
      <c r="AF203">
        <v>1</v>
      </c>
      <c r="AG203" s="6" t="str">
        <f t="shared" si="27"/>
        <v>030</v>
      </c>
      <c r="AH203" t="str">
        <f t="shared" ca="1" si="28"/>
        <v>72614147</v>
      </c>
      <c r="AI203">
        <v>1</v>
      </c>
      <c r="AK203">
        <v>2</v>
      </c>
      <c r="AN203">
        <v>1</v>
      </c>
      <c r="AU203">
        <v>1</v>
      </c>
    </row>
    <row r="204" spans="1:47" x14ac:dyDescent="0.45">
      <c r="A204">
        <v>202</v>
      </c>
      <c r="B204">
        <v>70</v>
      </c>
      <c r="C204">
        <v>276</v>
      </c>
      <c r="D204" s="3" t="s">
        <v>3</v>
      </c>
      <c r="E204" s="3" t="s">
        <v>547</v>
      </c>
      <c r="F204" s="3" t="s">
        <v>395</v>
      </c>
      <c r="G204" s="1">
        <v>27515</v>
      </c>
      <c r="H204" s="11">
        <f t="shared" ca="1" si="29"/>
        <v>49</v>
      </c>
      <c r="I204" t="s">
        <v>626</v>
      </c>
      <c r="J204" s="1">
        <v>38246</v>
      </c>
      <c r="P204" s="1">
        <f t="shared" ca="1" si="30"/>
        <v>42729</v>
      </c>
      <c r="Q204">
        <f t="shared" ca="1" si="31"/>
        <v>41</v>
      </c>
      <c r="Y204">
        <v>1</v>
      </c>
      <c r="Z204" t="str">
        <f t="shared" ca="1" si="24"/>
        <v>14050</v>
      </c>
      <c r="AA204" t="str">
        <f t="shared" si="25"/>
        <v>Berlin</v>
      </c>
      <c r="AB204" t="str">
        <f t="shared" si="26"/>
        <v>Tannenstraße</v>
      </c>
      <c r="AC204" t="str" cm="1">
        <f t="array" ref="AC204">ErzeugeHausnummer()</f>
        <v>27E</v>
      </c>
      <c r="AD204">
        <v>1</v>
      </c>
      <c r="AF204">
        <v>1</v>
      </c>
      <c r="AG204" s="6" t="str">
        <f t="shared" si="27"/>
        <v>030</v>
      </c>
      <c r="AH204" t="str">
        <f t="shared" ca="1" si="28"/>
        <v>58733608</v>
      </c>
      <c r="AI204">
        <v>1</v>
      </c>
      <c r="AK204">
        <v>2</v>
      </c>
      <c r="AN204">
        <v>1</v>
      </c>
      <c r="AU204">
        <v>1</v>
      </c>
    </row>
    <row r="205" spans="1:47" x14ac:dyDescent="0.45">
      <c r="A205">
        <v>203</v>
      </c>
      <c r="B205">
        <v>81</v>
      </c>
      <c r="C205">
        <v>147</v>
      </c>
      <c r="D205" s="3" t="s">
        <v>0</v>
      </c>
      <c r="E205" s="3" t="s">
        <v>548</v>
      </c>
      <c r="F205" s="3" t="s">
        <v>396</v>
      </c>
      <c r="G205" s="1">
        <v>25938</v>
      </c>
      <c r="H205" s="11">
        <f t="shared" ca="1" si="29"/>
        <v>53</v>
      </c>
      <c r="I205" t="s">
        <v>624</v>
      </c>
      <c r="P205" s="1">
        <f t="shared" ca="1" si="30"/>
        <v>34635</v>
      </c>
      <c r="Q205">
        <f t="shared" ca="1" si="31"/>
        <v>23</v>
      </c>
      <c r="Y205">
        <v>1</v>
      </c>
      <c r="Z205" t="str">
        <f t="shared" ca="1" si="24"/>
        <v>12157</v>
      </c>
      <c r="AA205" t="str">
        <f t="shared" si="25"/>
        <v>Berlin</v>
      </c>
      <c r="AB205" t="str">
        <f t="shared" si="26"/>
        <v>Kastanienweg</v>
      </c>
      <c r="AC205" t="str" cm="1">
        <f t="array" ref="AC205">ErzeugeHausnummer()</f>
        <v>6</v>
      </c>
      <c r="AD205">
        <v>1</v>
      </c>
      <c r="AF205">
        <v>1</v>
      </c>
      <c r="AG205" s="6" t="str">
        <f t="shared" si="27"/>
        <v>030</v>
      </c>
      <c r="AH205" t="str">
        <f t="shared" ca="1" si="28"/>
        <v>59510861</v>
      </c>
      <c r="AI205">
        <v>1</v>
      </c>
      <c r="AK205">
        <v>2</v>
      </c>
      <c r="AN205">
        <v>1</v>
      </c>
      <c r="AU205">
        <v>1</v>
      </c>
    </row>
    <row r="206" spans="1:47" x14ac:dyDescent="0.45">
      <c r="A206">
        <v>204</v>
      </c>
      <c r="B206">
        <v>104</v>
      </c>
      <c r="C206">
        <v>161</v>
      </c>
      <c r="D206" s="3" t="s">
        <v>0</v>
      </c>
      <c r="E206" s="3" t="s">
        <v>549</v>
      </c>
      <c r="F206" s="3" t="s">
        <v>397</v>
      </c>
      <c r="G206" s="1">
        <v>24435</v>
      </c>
      <c r="H206" s="11">
        <f t="shared" ca="1" si="29"/>
        <v>57</v>
      </c>
      <c r="I206" t="s">
        <v>626</v>
      </c>
      <c r="J206" s="1">
        <v>35678</v>
      </c>
      <c r="P206" s="1">
        <f t="shared" ca="1" si="30"/>
        <v>32714</v>
      </c>
      <c r="Q206">
        <f t="shared" ca="1" si="31"/>
        <v>23</v>
      </c>
      <c r="Y206">
        <v>1</v>
      </c>
      <c r="Z206" t="str">
        <f t="shared" ca="1" si="24"/>
        <v>12524</v>
      </c>
      <c r="AA206" t="str">
        <f t="shared" si="25"/>
        <v>Berlin</v>
      </c>
      <c r="AB206" t="str">
        <f t="shared" si="26"/>
        <v>Las-Vegas-Straße</v>
      </c>
      <c r="AC206" t="str" cm="1">
        <f t="array" ref="AC206">ErzeugeHausnummer()</f>
        <v>4</v>
      </c>
      <c r="AD206">
        <v>1</v>
      </c>
      <c r="AF206">
        <v>1</v>
      </c>
      <c r="AG206" s="6" t="str">
        <f t="shared" si="27"/>
        <v>030</v>
      </c>
      <c r="AH206" t="str">
        <f t="shared" ca="1" si="28"/>
        <v>73675892</v>
      </c>
      <c r="AI206">
        <v>1</v>
      </c>
      <c r="AK206">
        <v>2</v>
      </c>
      <c r="AN206">
        <v>1</v>
      </c>
      <c r="AU206">
        <v>1</v>
      </c>
    </row>
    <row r="207" spans="1:47" x14ac:dyDescent="0.45">
      <c r="A207">
        <v>205</v>
      </c>
      <c r="B207">
        <v>105</v>
      </c>
      <c r="C207">
        <v>251</v>
      </c>
      <c r="D207" s="3" t="s">
        <v>0</v>
      </c>
      <c r="E207" s="3" t="s">
        <v>550</v>
      </c>
      <c r="F207" s="3" t="s">
        <v>398</v>
      </c>
      <c r="G207" s="1">
        <v>20582</v>
      </c>
      <c r="H207" s="11">
        <f t="shared" ca="1" si="29"/>
        <v>68</v>
      </c>
      <c r="I207" t="s">
        <v>626</v>
      </c>
      <c r="J207" s="1">
        <v>32221</v>
      </c>
      <c r="P207" s="1">
        <f t="shared" ca="1" si="30"/>
        <v>27861</v>
      </c>
      <c r="Q207">
        <f t="shared" ca="1" si="31"/>
        <v>20</v>
      </c>
      <c r="R207" s="1">
        <f>DATE(IF(MONTH(G207)=12,YEAR(G207)+66,YEAR(G207)+65),IF(MONTH(G207)=12,1,MONTH(G207)+1),1)</f>
        <v>44348</v>
      </c>
      <c r="S207" t="s">
        <v>1022</v>
      </c>
      <c r="Y207">
        <v>1</v>
      </c>
      <c r="Z207" t="str">
        <f t="shared" ca="1" si="24"/>
        <v>12524</v>
      </c>
      <c r="AA207" t="str">
        <f t="shared" si="25"/>
        <v>Berlin</v>
      </c>
      <c r="AB207" t="str">
        <f t="shared" si="26"/>
        <v>Schlossplatz</v>
      </c>
      <c r="AC207" t="str" cm="1">
        <f t="array" ref="AC207">ErzeugeHausnummer()</f>
        <v>2</v>
      </c>
      <c r="AD207">
        <v>1</v>
      </c>
      <c r="AF207">
        <v>1</v>
      </c>
      <c r="AG207" s="6" t="str">
        <f t="shared" si="27"/>
        <v>030</v>
      </c>
      <c r="AH207" t="str">
        <f t="shared" ca="1" si="28"/>
        <v>47268135</v>
      </c>
      <c r="AI207">
        <v>1</v>
      </c>
      <c r="AK207">
        <v>2</v>
      </c>
      <c r="AN207">
        <v>1</v>
      </c>
      <c r="AU207">
        <v>1</v>
      </c>
    </row>
    <row r="208" spans="1:47" x14ac:dyDescent="0.45">
      <c r="A208">
        <v>206</v>
      </c>
      <c r="B208">
        <v>96</v>
      </c>
      <c r="C208">
        <v>144</v>
      </c>
      <c r="D208" s="3" t="s">
        <v>0</v>
      </c>
      <c r="E208" s="3" t="s">
        <v>479</v>
      </c>
      <c r="F208" s="3" t="s">
        <v>399</v>
      </c>
      <c r="G208" s="1">
        <v>32888</v>
      </c>
      <c r="H208" s="11">
        <f t="shared" ca="1" si="29"/>
        <v>34</v>
      </c>
      <c r="I208" t="s">
        <v>624</v>
      </c>
      <c r="P208" s="1">
        <f t="shared" ca="1" si="30"/>
        <v>47665</v>
      </c>
      <c r="Q208">
        <f t="shared" ca="1" si="31"/>
        <v>39</v>
      </c>
      <c r="Y208">
        <v>1</v>
      </c>
      <c r="Z208" t="str">
        <f t="shared" ca="1" si="24"/>
        <v>12043</v>
      </c>
      <c r="AA208" t="str">
        <f t="shared" si="25"/>
        <v>Berlin</v>
      </c>
      <c r="AB208" t="str">
        <f t="shared" si="26"/>
        <v>Karlstraße</v>
      </c>
      <c r="AC208" t="str" cm="1">
        <f t="array" ref="AC208">ErzeugeHausnummer()</f>
        <v>32</v>
      </c>
      <c r="AD208">
        <v>1</v>
      </c>
      <c r="AF208">
        <v>1</v>
      </c>
      <c r="AG208" s="6" t="str">
        <f t="shared" si="27"/>
        <v>030</v>
      </c>
      <c r="AH208" t="str">
        <f t="shared" ca="1" si="28"/>
        <v>49139857</v>
      </c>
      <c r="AI208">
        <v>1</v>
      </c>
      <c r="AK208">
        <v>2</v>
      </c>
      <c r="AN208">
        <v>1</v>
      </c>
      <c r="AU208">
        <v>1</v>
      </c>
    </row>
    <row r="209" spans="1:47" x14ac:dyDescent="0.45">
      <c r="A209">
        <v>207</v>
      </c>
      <c r="B209">
        <v>89</v>
      </c>
      <c r="C209">
        <v>207</v>
      </c>
      <c r="D209" s="3" t="s">
        <v>0</v>
      </c>
      <c r="E209" s="3" t="s">
        <v>551</v>
      </c>
      <c r="F209" s="3" t="s">
        <v>400</v>
      </c>
      <c r="G209" s="1">
        <v>23066</v>
      </c>
      <c r="H209" s="11">
        <f t="shared" ca="1" si="29"/>
        <v>60</v>
      </c>
      <c r="I209" t="s">
        <v>626</v>
      </c>
      <c r="J209" s="1">
        <v>35417</v>
      </c>
      <c r="P209" s="1">
        <f t="shared" ca="1" si="30"/>
        <v>38147</v>
      </c>
      <c r="Q209">
        <f t="shared" ca="1" si="31"/>
        <v>40</v>
      </c>
      <c r="Y209">
        <v>1</v>
      </c>
      <c r="Z209" t="str">
        <f t="shared" ca="1" si="24"/>
        <v>12157</v>
      </c>
      <c r="AA209" t="str">
        <f t="shared" si="25"/>
        <v>Berlin</v>
      </c>
      <c r="AB209" t="str">
        <f t="shared" si="26"/>
        <v>Orlando-Weg</v>
      </c>
      <c r="AC209" t="str" cm="1">
        <f t="array" ref="AC209">ErzeugeHausnummer()</f>
        <v>10C</v>
      </c>
      <c r="AD209">
        <v>1</v>
      </c>
      <c r="AF209">
        <v>1</v>
      </c>
      <c r="AG209" s="6" t="str">
        <f t="shared" si="27"/>
        <v>030</v>
      </c>
      <c r="AH209" t="str">
        <f t="shared" ca="1" si="28"/>
        <v>51201920</v>
      </c>
      <c r="AI209">
        <v>1</v>
      </c>
      <c r="AK209">
        <v>2</v>
      </c>
      <c r="AN209">
        <v>1</v>
      </c>
      <c r="AU209">
        <v>1</v>
      </c>
    </row>
    <row r="210" spans="1:47" x14ac:dyDescent="0.45">
      <c r="A210">
        <v>208</v>
      </c>
      <c r="B210">
        <v>180</v>
      </c>
      <c r="C210">
        <v>265</v>
      </c>
      <c r="D210" s="3" t="s">
        <v>0</v>
      </c>
      <c r="E210" s="3" t="s">
        <v>552</v>
      </c>
      <c r="F210" s="3" t="s">
        <v>357</v>
      </c>
      <c r="G210" s="1">
        <v>37734</v>
      </c>
      <c r="H210" s="11">
        <f t="shared" ca="1" si="29"/>
        <v>20</v>
      </c>
      <c r="I210" t="s">
        <v>624</v>
      </c>
      <c r="P210" s="1">
        <f t="shared" ca="1" si="30"/>
        <v>47467</v>
      </c>
      <c r="Q210">
        <f t="shared" ca="1" si="31"/>
        <v>25</v>
      </c>
      <c r="Y210">
        <v>1</v>
      </c>
      <c r="Z210" t="str">
        <f t="shared" ca="1" si="24"/>
        <v>14822</v>
      </c>
      <c r="AA210" t="str">
        <f t="shared" si="25"/>
        <v>Brück</v>
      </c>
      <c r="AB210" t="str">
        <f t="shared" si="26"/>
        <v>Sonnenallee</v>
      </c>
      <c r="AC210" t="str" cm="1">
        <f t="array" ref="AC210">ErzeugeHausnummer()</f>
        <v>34B</v>
      </c>
      <c r="AD210">
        <v>1</v>
      </c>
      <c r="AF210">
        <v>1</v>
      </c>
      <c r="AG210" s="6" t="str">
        <f t="shared" si="27"/>
        <v>033844</v>
      </c>
      <c r="AH210" t="str">
        <f t="shared" ca="1" si="28"/>
        <v>7314</v>
      </c>
      <c r="AI210">
        <v>1</v>
      </c>
      <c r="AK210">
        <v>2</v>
      </c>
      <c r="AN210">
        <v>1</v>
      </c>
      <c r="AU210">
        <v>1</v>
      </c>
    </row>
    <row r="211" spans="1:47" x14ac:dyDescent="0.45">
      <c r="A211">
        <v>209</v>
      </c>
      <c r="B211">
        <v>12</v>
      </c>
      <c r="C211">
        <v>136</v>
      </c>
      <c r="D211" s="3" t="s">
        <v>3</v>
      </c>
      <c r="E211" s="3" t="s">
        <v>553</v>
      </c>
      <c r="F211" s="3" t="s">
        <v>401</v>
      </c>
      <c r="G211" s="1">
        <v>19527</v>
      </c>
      <c r="H211" s="11">
        <f t="shared" ca="1" si="29"/>
        <v>71</v>
      </c>
      <c r="I211" t="s">
        <v>626</v>
      </c>
      <c r="J211" s="1">
        <v>30719</v>
      </c>
      <c r="P211" s="1">
        <f t="shared" ca="1" si="30"/>
        <v>35420</v>
      </c>
      <c r="Q211">
        <f t="shared" ca="1" si="31"/>
        <v>43</v>
      </c>
      <c r="R211" s="1">
        <f>DATE(IF(MONTH(G211)=12,YEAR(G211)+66,YEAR(G211)+65),IF(MONTH(G211)=12,1,MONTH(G211)+1),1)</f>
        <v>43282</v>
      </c>
      <c r="S211" t="s">
        <v>1022</v>
      </c>
      <c r="Y211">
        <v>1</v>
      </c>
      <c r="Z211" t="str">
        <f t="shared" ca="1" si="24"/>
        <v>13125</v>
      </c>
      <c r="AA211" t="str">
        <f t="shared" si="25"/>
        <v>Berlin</v>
      </c>
      <c r="AB211" t="str">
        <f t="shared" si="26"/>
        <v>Johann-Peter-Hebel-Straße</v>
      </c>
      <c r="AC211" t="str" cm="1">
        <f t="array" ref="AC211">ErzeugeHausnummer()</f>
        <v>20B</v>
      </c>
      <c r="AD211">
        <v>1</v>
      </c>
      <c r="AF211">
        <v>1</v>
      </c>
      <c r="AG211" s="6" t="str">
        <f t="shared" si="27"/>
        <v>030</v>
      </c>
      <c r="AH211" t="str">
        <f t="shared" ca="1" si="28"/>
        <v>69733806</v>
      </c>
      <c r="AI211">
        <v>1</v>
      </c>
      <c r="AK211">
        <v>2</v>
      </c>
      <c r="AN211">
        <v>1</v>
      </c>
      <c r="AU211">
        <v>1</v>
      </c>
    </row>
    <row r="212" spans="1:47" x14ac:dyDescent="0.45">
      <c r="A212">
        <v>210</v>
      </c>
      <c r="B212">
        <v>37</v>
      </c>
      <c r="C212">
        <v>172</v>
      </c>
      <c r="D212" s="3" t="s">
        <v>3</v>
      </c>
      <c r="E212" s="3" t="s">
        <v>554</v>
      </c>
      <c r="F212" s="3" t="s">
        <v>402</v>
      </c>
      <c r="G212" s="1">
        <v>20234</v>
      </c>
      <c r="H212" s="11">
        <f t="shared" ca="1" si="29"/>
        <v>68</v>
      </c>
      <c r="I212" t="s">
        <v>626</v>
      </c>
      <c r="J212" s="1">
        <v>30619</v>
      </c>
      <c r="P212" s="1">
        <f t="shared" ca="1" si="30"/>
        <v>34750</v>
      </c>
      <c r="Q212">
        <f t="shared" ca="1" si="31"/>
        <v>39</v>
      </c>
      <c r="R212" s="1">
        <f>DATE(IF(MONTH(G212)=12,YEAR(G212)+66,YEAR(G212)+65),IF(MONTH(G212)=12,1,MONTH(G212)+1),1)</f>
        <v>43983</v>
      </c>
      <c r="S212" t="s">
        <v>1022</v>
      </c>
      <c r="Y212">
        <v>1</v>
      </c>
      <c r="Z212" t="str">
        <f t="shared" ca="1" si="24"/>
        <v>13581</v>
      </c>
      <c r="AA212" t="str">
        <f t="shared" si="25"/>
        <v>Berlin</v>
      </c>
      <c r="AB212" t="str">
        <f t="shared" si="26"/>
        <v>Löwenweg</v>
      </c>
      <c r="AC212" t="str" cm="1">
        <f t="array" ref="AC212">ErzeugeHausnummer()</f>
        <v>2</v>
      </c>
      <c r="AD212">
        <v>1</v>
      </c>
      <c r="AF212">
        <v>1</v>
      </c>
      <c r="AG212" s="6" t="str">
        <f t="shared" si="27"/>
        <v>030</v>
      </c>
      <c r="AH212" t="str">
        <f t="shared" ca="1" si="28"/>
        <v>86657780</v>
      </c>
      <c r="AI212">
        <v>1</v>
      </c>
      <c r="AK212">
        <v>2</v>
      </c>
      <c r="AN212">
        <v>1</v>
      </c>
      <c r="AU212">
        <v>1</v>
      </c>
    </row>
    <row r="213" spans="1:47" x14ac:dyDescent="0.45">
      <c r="A213">
        <v>211</v>
      </c>
      <c r="B213">
        <v>45</v>
      </c>
      <c r="C213">
        <v>126</v>
      </c>
      <c r="D213" s="3" t="s">
        <v>3</v>
      </c>
      <c r="E213" s="3" t="s">
        <v>555</v>
      </c>
      <c r="F213" s="3" t="s">
        <v>403</v>
      </c>
      <c r="G213" s="1">
        <v>26018</v>
      </c>
      <c r="H213" s="11">
        <f t="shared" ca="1" si="29"/>
        <v>52</v>
      </c>
      <c r="I213" t="s">
        <v>626</v>
      </c>
      <c r="J213" s="1">
        <v>37452</v>
      </c>
      <c r="P213" s="1">
        <f t="shared" ca="1" si="30"/>
        <v>34639</v>
      </c>
      <c r="Q213">
        <f t="shared" ca="1" si="31"/>
        <v>22</v>
      </c>
      <c r="Y213">
        <v>1</v>
      </c>
      <c r="Z213" t="str">
        <f t="shared" ca="1" si="24"/>
        <v>13581</v>
      </c>
      <c r="AA213" t="str">
        <f t="shared" si="25"/>
        <v>Berlin</v>
      </c>
      <c r="AB213" t="str">
        <f t="shared" si="26"/>
        <v>Indianapolisweg</v>
      </c>
      <c r="AC213" t="str" cm="1">
        <f t="array" ref="AC213">ErzeugeHausnummer()</f>
        <v>8E</v>
      </c>
      <c r="AD213">
        <v>1</v>
      </c>
      <c r="AF213">
        <v>1</v>
      </c>
      <c r="AG213" s="6" t="str">
        <f t="shared" si="27"/>
        <v>030</v>
      </c>
      <c r="AH213" t="str">
        <f t="shared" ca="1" si="28"/>
        <v>44518392</v>
      </c>
      <c r="AI213">
        <v>1</v>
      </c>
      <c r="AK213">
        <v>2</v>
      </c>
      <c r="AN213">
        <v>1</v>
      </c>
      <c r="AU213">
        <v>1</v>
      </c>
    </row>
    <row r="214" spans="1:47" x14ac:dyDescent="0.45">
      <c r="A214">
        <v>212</v>
      </c>
      <c r="B214">
        <v>75</v>
      </c>
      <c r="C214">
        <v>75</v>
      </c>
      <c r="D214" s="3" t="s">
        <v>3</v>
      </c>
      <c r="E214" s="3" t="s">
        <v>556</v>
      </c>
      <c r="F214" s="3" t="s">
        <v>404</v>
      </c>
      <c r="G214" s="1">
        <v>21607</v>
      </c>
      <c r="H214" s="11">
        <f t="shared" ca="1" si="29"/>
        <v>64</v>
      </c>
      <c r="I214" t="s">
        <v>627</v>
      </c>
      <c r="J214" s="1">
        <v>44200</v>
      </c>
      <c r="P214" s="1">
        <f t="shared" ca="1" si="30"/>
        <v>38493</v>
      </c>
      <c r="Q214">
        <f t="shared" ca="1" si="31"/>
        <v>45</v>
      </c>
      <c r="Y214">
        <v>1</v>
      </c>
      <c r="Z214" t="str">
        <f t="shared" ca="1" si="24"/>
        <v>14050</v>
      </c>
      <c r="AA214" t="str">
        <f t="shared" si="25"/>
        <v>Berlin</v>
      </c>
      <c r="AB214" t="str">
        <f t="shared" si="26"/>
        <v>Eschenweg</v>
      </c>
      <c r="AC214" t="str" cm="1">
        <f t="array" ref="AC214">ErzeugeHausnummer()</f>
        <v>90C</v>
      </c>
      <c r="AD214">
        <v>1</v>
      </c>
      <c r="AF214">
        <v>1</v>
      </c>
      <c r="AG214" s="6" t="str">
        <f t="shared" si="27"/>
        <v>030</v>
      </c>
      <c r="AH214" t="str">
        <f t="shared" ca="1" si="28"/>
        <v>86390598</v>
      </c>
      <c r="AI214">
        <v>1</v>
      </c>
      <c r="AK214">
        <v>2</v>
      </c>
      <c r="AN214">
        <v>1</v>
      </c>
      <c r="AU214">
        <v>1</v>
      </c>
    </row>
    <row r="215" spans="1:47" x14ac:dyDescent="0.45">
      <c r="A215">
        <v>213</v>
      </c>
      <c r="B215">
        <v>49</v>
      </c>
      <c r="C215">
        <v>84</v>
      </c>
      <c r="D215" s="3" t="s">
        <v>3</v>
      </c>
      <c r="E215" s="3" t="s">
        <v>542</v>
      </c>
      <c r="F215" s="3" t="s">
        <v>382</v>
      </c>
      <c r="G215" s="1">
        <v>27630</v>
      </c>
      <c r="H215" s="11">
        <f t="shared" ca="1" si="29"/>
        <v>48</v>
      </c>
      <c r="I215" t="s">
        <v>626</v>
      </c>
      <c r="J215" s="1">
        <v>38241</v>
      </c>
      <c r="P215" s="1">
        <f t="shared" ca="1" si="30"/>
        <v>43910</v>
      </c>
      <c r="Q215">
        <f t="shared" ca="1" si="31"/>
        <v>44</v>
      </c>
      <c r="Y215">
        <v>1</v>
      </c>
      <c r="Z215" t="str">
        <f t="shared" ca="1" si="24"/>
        <v>13581</v>
      </c>
      <c r="AA215" t="str">
        <f t="shared" si="25"/>
        <v>Berlin</v>
      </c>
      <c r="AB215" t="str">
        <f t="shared" si="26"/>
        <v>Franz-Kafka-Straße</v>
      </c>
      <c r="AC215" t="str" cm="1">
        <f t="array" ref="AC215">ErzeugeHausnummer()</f>
        <v>8</v>
      </c>
      <c r="AD215">
        <v>1</v>
      </c>
      <c r="AF215">
        <v>1</v>
      </c>
      <c r="AG215" s="6" t="str">
        <f t="shared" si="27"/>
        <v>030</v>
      </c>
      <c r="AH215" t="str">
        <f t="shared" ca="1" si="28"/>
        <v>73631002</v>
      </c>
      <c r="AI215">
        <v>1</v>
      </c>
      <c r="AK215">
        <v>2</v>
      </c>
      <c r="AN215">
        <v>1</v>
      </c>
      <c r="AU215">
        <v>1</v>
      </c>
    </row>
    <row r="216" spans="1:47" x14ac:dyDescent="0.45">
      <c r="A216">
        <v>214</v>
      </c>
      <c r="B216">
        <v>109</v>
      </c>
      <c r="C216">
        <v>128</v>
      </c>
      <c r="D216" s="3" t="s">
        <v>3</v>
      </c>
      <c r="E216" s="3" t="s">
        <v>557</v>
      </c>
      <c r="F216" s="3" t="s">
        <v>405</v>
      </c>
      <c r="G216" s="1">
        <v>37090</v>
      </c>
      <c r="H216" s="11">
        <f t="shared" ca="1" si="29"/>
        <v>23</v>
      </c>
      <c r="I216" t="s">
        <v>624</v>
      </c>
      <c r="P216" s="1">
        <f t="shared" ca="1" si="30"/>
        <v>47857</v>
      </c>
      <c r="Q216">
        <f t="shared" ca="1" si="31"/>
        <v>29</v>
      </c>
      <c r="Y216">
        <v>1</v>
      </c>
      <c r="Z216" t="str">
        <f t="shared" ca="1" si="24"/>
        <v>12679</v>
      </c>
      <c r="AA216" t="str">
        <f t="shared" si="25"/>
        <v>Berlin</v>
      </c>
      <c r="AB216" t="str">
        <f t="shared" si="26"/>
        <v>Industriestraße</v>
      </c>
      <c r="AC216" t="str" cm="1">
        <f t="array" ref="AC216">ErzeugeHausnummer()</f>
        <v>82C</v>
      </c>
      <c r="AD216">
        <v>1</v>
      </c>
      <c r="AF216">
        <v>1</v>
      </c>
      <c r="AG216" s="6" t="str">
        <f t="shared" si="27"/>
        <v>030</v>
      </c>
      <c r="AH216" t="str">
        <f t="shared" ca="1" si="28"/>
        <v>96061647</v>
      </c>
      <c r="AI216">
        <v>1</v>
      </c>
      <c r="AK216">
        <v>2</v>
      </c>
      <c r="AN216">
        <v>1</v>
      </c>
      <c r="AU216">
        <v>1</v>
      </c>
    </row>
    <row r="217" spans="1:47" x14ac:dyDescent="0.45">
      <c r="A217">
        <v>215</v>
      </c>
      <c r="B217">
        <v>129</v>
      </c>
      <c r="C217">
        <v>137</v>
      </c>
      <c r="D217" s="3" t="s">
        <v>3</v>
      </c>
      <c r="E217" s="3" t="s">
        <v>558</v>
      </c>
      <c r="F217" s="3" t="s">
        <v>406</v>
      </c>
      <c r="G217" s="1">
        <v>35705</v>
      </c>
      <c r="H217" s="11">
        <f t="shared" ca="1" si="29"/>
        <v>27</v>
      </c>
      <c r="I217" t="s">
        <v>626</v>
      </c>
      <c r="J217" s="1">
        <v>46068</v>
      </c>
      <c r="P217" s="1">
        <f t="shared" ca="1" si="30"/>
        <v>44024</v>
      </c>
      <c r="Q217">
        <f t="shared" ca="1" si="31"/>
        <v>23</v>
      </c>
      <c r="Y217">
        <v>1</v>
      </c>
      <c r="Z217" t="str">
        <f t="shared" ca="1" si="24"/>
        <v>14532</v>
      </c>
      <c r="AA217" t="str">
        <f t="shared" si="25"/>
        <v>Kleinmachnow</v>
      </c>
      <c r="AB217" t="str">
        <f t="shared" si="26"/>
        <v>Johann-Sebastian-Bach-Straße</v>
      </c>
      <c r="AC217" t="str" cm="1">
        <f t="array" ref="AC217">ErzeugeHausnummer()</f>
        <v>23</v>
      </c>
      <c r="AD217">
        <v>1</v>
      </c>
      <c r="AF217">
        <v>1</v>
      </c>
      <c r="AG217" s="6" t="str">
        <f t="shared" si="27"/>
        <v>033203</v>
      </c>
      <c r="AH217" t="str">
        <f t="shared" ca="1" si="28"/>
        <v>5239</v>
      </c>
      <c r="AI217">
        <v>1</v>
      </c>
      <c r="AK217">
        <v>2</v>
      </c>
      <c r="AN217">
        <v>1</v>
      </c>
      <c r="AU217">
        <v>1</v>
      </c>
    </row>
    <row r="218" spans="1:47" x14ac:dyDescent="0.45">
      <c r="A218">
        <v>216</v>
      </c>
      <c r="B218">
        <v>189</v>
      </c>
      <c r="C218">
        <v>155</v>
      </c>
      <c r="D218" s="3" t="s">
        <v>3</v>
      </c>
      <c r="E218" s="3" t="s">
        <v>559</v>
      </c>
      <c r="F218" s="3" t="s">
        <v>407</v>
      </c>
      <c r="G218" s="1">
        <v>32685</v>
      </c>
      <c r="H218" s="11">
        <f t="shared" ca="1" si="29"/>
        <v>34</v>
      </c>
      <c r="I218" t="s">
        <v>626</v>
      </c>
      <c r="J218" s="1">
        <v>41705</v>
      </c>
      <c r="P218" s="1">
        <f t="shared" ca="1" si="30"/>
        <v>40601</v>
      </c>
      <c r="Q218">
        <f t="shared" ca="1" si="31"/>
        <v>22</v>
      </c>
      <c r="Y218">
        <v>1</v>
      </c>
      <c r="Z218" t="str">
        <f t="shared" ca="1" si="24"/>
        <v>14547</v>
      </c>
      <c r="AA218" t="str">
        <f t="shared" si="25"/>
        <v>Klosterdorf</v>
      </c>
      <c r="AB218" t="str">
        <f t="shared" si="26"/>
        <v>Kirschweg</v>
      </c>
      <c r="AC218" t="str" cm="1">
        <f t="array" ref="AC218">ErzeugeHausnummer()</f>
        <v>64F</v>
      </c>
      <c r="AD218">
        <v>1</v>
      </c>
      <c r="AF218">
        <v>1</v>
      </c>
      <c r="AG218" s="6" t="str">
        <f t="shared" si="27"/>
        <v>033206</v>
      </c>
      <c r="AH218" t="str">
        <f t="shared" ca="1" si="28"/>
        <v>5295</v>
      </c>
      <c r="AI218">
        <v>1</v>
      </c>
      <c r="AK218">
        <v>2</v>
      </c>
      <c r="AN218">
        <v>1</v>
      </c>
      <c r="AU218">
        <v>1</v>
      </c>
    </row>
    <row r="219" spans="1:47" x14ac:dyDescent="0.45">
      <c r="A219">
        <v>217</v>
      </c>
      <c r="B219">
        <v>59</v>
      </c>
      <c r="C219">
        <v>241</v>
      </c>
      <c r="D219" s="3" t="s">
        <v>3</v>
      </c>
      <c r="E219" s="3" t="s">
        <v>560</v>
      </c>
      <c r="F219" s="3" t="s">
        <v>402</v>
      </c>
      <c r="G219" s="1">
        <v>29936</v>
      </c>
      <c r="H219" s="11">
        <f t="shared" ca="1" si="29"/>
        <v>43</v>
      </c>
      <c r="I219" t="s">
        <v>624</v>
      </c>
      <c r="P219" s="1">
        <f t="shared" ca="1" si="30"/>
        <v>39115</v>
      </c>
      <c r="Q219">
        <f t="shared" ca="1" si="31"/>
        <v>25</v>
      </c>
      <c r="Y219">
        <v>1</v>
      </c>
      <c r="Z219" t="str">
        <f t="shared" ca="1" si="24"/>
        <v>13597</v>
      </c>
      <c r="AA219" t="str">
        <f t="shared" si="25"/>
        <v>Berlin</v>
      </c>
      <c r="AB219" t="str">
        <f t="shared" si="26"/>
        <v>San-Antonio-Allee</v>
      </c>
      <c r="AC219" t="str" cm="1">
        <f t="array" ref="AC219">ErzeugeHausnummer()</f>
        <v>9C</v>
      </c>
      <c r="AD219">
        <v>1</v>
      </c>
      <c r="AF219">
        <v>1</v>
      </c>
      <c r="AG219" s="6" t="str">
        <f t="shared" si="27"/>
        <v>030</v>
      </c>
      <c r="AH219" t="str">
        <f t="shared" ca="1" si="28"/>
        <v>97548805</v>
      </c>
      <c r="AI219">
        <v>1</v>
      </c>
      <c r="AK219">
        <v>2</v>
      </c>
      <c r="AN219">
        <v>1</v>
      </c>
      <c r="AU219">
        <v>1</v>
      </c>
    </row>
    <row r="220" spans="1:47" x14ac:dyDescent="0.45">
      <c r="A220">
        <v>218</v>
      </c>
      <c r="B220">
        <v>160</v>
      </c>
      <c r="C220">
        <v>180</v>
      </c>
      <c r="D220" s="3" t="s">
        <v>3</v>
      </c>
      <c r="E220" s="3" t="s">
        <v>561</v>
      </c>
      <c r="F220" s="3" t="s">
        <v>2</v>
      </c>
      <c r="G220" s="1">
        <v>28288</v>
      </c>
      <c r="H220" s="11">
        <f t="shared" ca="1" si="29"/>
        <v>47</v>
      </c>
      <c r="I220" t="s">
        <v>626</v>
      </c>
      <c r="J220" s="1">
        <v>40589</v>
      </c>
      <c r="P220" s="1">
        <f t="shared" ca="1" si="30"/>
        <v>36183</v>
      </c>
      <c r="Q220">
        <f t="shared" ca="1" si="31"/>
        <v>22</v>
      </c>
      <c r="Y220">
        <v>1</v>
      </c>
      <c r="Z220" t="str">
        <f t="shared" ca="1" si="24"/>
        <v>14641</v>
      </c>
      <c r="AA220" t="str">
        <f t="shared" si="25"/>
        <v>Elstal</v>
      </c>
      <c r="AB220" t="str">
        <f t="shared" si="26"/>
        <v>Marktplatz</v>
      </c>
      <c r="AC220" t="str" cm="1">
        <f t="array" ref="AC220">ErzeugeHausnummer()</f>
        <v>12</v>
      </c>
      <c r="AD220">
        <v>1</v>
      </c>
      <c r="AF220">
        <v>1</v>
      </c>
      <c r="AG220" s="6" t="str">
        <f t="shared" si="27"/>
        <v>033234</v>
      </c>
      <c r="AH220" t="str">
        <f t="shared" ca="1" si="28"/>
        <v>5980</v>
      </c>
      <c r="AI220">
        <v>1</v>
      </c>
      <c r="AK220">
        <v>2</v>
      </c>
      <c r="AN220">
        <v>1</v>
      </c>
      <c r="AU220">
        <v>1</v>
      </c>
    </row>
    <row r="221" spans="1:47" x14ac:dyDescent="0.45">
      <c r="A221">
        <v>219</v>
      </c>
      <c r="B221">
        <v>59</v>
      </c>
      <c r="C221">
        <v>273</v>
      </c>
      <c r="D221" s="3" t="s">
        <v>3</v>
      </c>
      <c r="E221" s="3" t="s">
        <v>562</v>
      </c>
      <c r="F221" s="3" t="s">
        <v>408</v>
      </c>
      <c r="G221" s="1">
        <v>32336</v>
      </c>
      <c r="H221" s="11">
        <f t="shared" ca="1" si="29"/>
        <v>36</v>
      </c>
      <c r="I221" t="s">
        <v>626</v>
      </c>
      <c r="J221" s="1">
        <v>39096</v>
      </c>
      <c r="P221" s="1">
        <f t="shared" ca="1" si="30"/>
        <v>43812</v>
      </c>
      <c r="Q221">
        <f t="shared" ca="1" si="31"/>
        <v>31</v>
      </c>
      <c r="Y221">
        <v>1</v>
      </c>
      <c r="Z221" t="str">
        <f t="shared" ca="1" si="24"/>
        <v>13597</v>
      </c>
      <c r="AA221" t="str">
        <f t="shared" si="25"/>
        <v>Berlin</v>
      </c>
      <c r="AB221" t="str">
        <f t="shared" si="26"/>
        <v>Stockholmstraße</v>
      </c>
      <c r="AC221" t="str" cm="1">
        <f t="array" ref="AC221">ErzeugeHausnummer()</f>
        <v>13</v>
      </c>
      <c r="AD221">
        <v>1</v>
      </c>
      <c r="AF221">
        <v>1</v>
      </c>
      <c r="AG221" s="6" t="str">
        <f t="shared" si="27"/>
        <v>030</v>
      </c>
      <c r="AH221" t="str">
        <f t="shared" ca="1" si="28"/>
        <v>82982089</v>
      </c>
      <c r="AI221">
        <v>1</v>
      </c>
      <c r="AK221">
        <v>2</v>
      </c>
      <c r="AN221">
        <v>1</v>
      </c>
      <c r="AU221">
        <v>1</v>
      </c>
    </row>
    <row r="222" spans="1:47" x14ac:dyDescent="0.45">
      <c r="A222">
        <v>220</v>
      </c>
      <c r="B222">
        <v>82</v>
      </c>
      <c r="C222">
        <v>232</v>
      </c>
      <c r="D222" s="3" t="s">
        <v>3</v>
      </c>
      <c r="E222" s="3" t="s">
        <v>563</v>
      </c>
      <c r="F222" s="3" t="s">
        <v>33</v>
      </c>
      <c r="G222" s="1">
        <v>36936</v>
      </c>
      <c r="H222" s="11">
        <f t="shared" ca="1" si="29"/>
        <v>23</v>
      </c>
      <c r="I222" t="s">
        <v>624</v>
      </c>
      <c r="P222" s="1">
        <f t="shared" ca="1" si="30"/>
        <v>47842</v>
      </c>
      <c r="Q222">
        <f t="shared" ca="1" si="31"/>
        <v>29</v>
      </c>
      <c r="Y222">
        <v>1</v>
      </c>
      <c r="Z222" t="str">
        <f t="shared" ca="1" si="24"/>
        <v>12157</v>
      </c>
      <c r="AA222" t="str">
        <f t="shared" si="25"/>
        <v>Berlin</v>
      </c>
      <c r="AB222" t="str">
        <f t="shared" si="26"/>
        <v>Ringallee</v>
      </c>
      <c r="AC222" t="str" cm="1">
        <f t="array" ref="AC222">ErzeugeHausnummer()</f>
        <v>34</v>
      </c>
      <c r="AD222">
        <v>1</v>
      </c>
      <c r="AF222">
        <v>1</v>
      </c>
      <c r="AG222" s="6" t="str">
        <f t="shared" si="27"/>
        <v>030</v>
      </c>
      <c r="AH222" t="str">
        <f t="shared" ca="1" si="28"/>
        <v>59392769</v>
      </c>
      <c r="AI222">
        <v>1</v>
      </c>
      <c r="AK222">
        <v>2</v>
      </c>
      <c r="AN222">
        <v>1</v>
      </c>
      <c r="AU222">
        <v>1</v>
      </c>
    </row>
    <row r="223" spans="1:47" x14ac:dyDescent="0.45">
      <c r="A223">
        <v>221</v>
      </c>
      <c r="B223">
        <v>112</v>
      </c>
      <c r="C223">
        <v>197</v>
      </c>
      <c r="D223" s="3" t="s">
        <v>0</v>
      </c>
      <c r="E223" s="3" t="s">
        <v>63</v>
      </c>
      <c r="F223" s="3" t="s">
        <v>367</v>
      </c>
      <c r="G223" s="1">
        <v>30153</v>
      </c>
      <c r="H223" s="11">
        <f t="shared" ca="1" si="29"/>
        <v>42</v>
      </c>
      <c r="I223" t="s">
        <v>626</v>
      </c>
      <c r="J223" s="1">
        <v>42308</v>
      </c>
      <c r="P223" s="1">
        <f t="shared" ca="1" si="30"/>
        <v>44254</v>
      </c>
      <c r="Q223">
        <f t="shared" ca="1" si="31"/>
        <v>39</v>
      </c>
      <c r="Y223">
        <v>1</v>
      </c>
      <c r="Z223" t="str">
        <f t="shared" ca="1" si="24"/>
        <v>10365</v>
      </c>
      <c r="AA223" t="str">
        <f t="shared" si="25"/>
        <v>Berlin</v>
      </c>
      <c r="AB223" t="str">
        <f t="shared" si="26"/>
        <v>Mühlenweg</v>
      </c>
      <c r="AC223" t="str" cm="1">
        <f t="array" ref="AC223">ErzeugeHausnummer()</f>
        <v>36</v>
      </c>
      <c r="AD223">
        <v>1</v>
      </c>
      <c r="AF223">
        <v>1</v>
      </c>
      <c r="AG223" s="6" t="str">
        <f t="shared" si="27"/>
        <v>030</v>
      </c>
      <c r="AH223" t="str">
        <f t="shared" ca="1" si="28"/>
        <v>96567353</v>
      </c>
      <c r="AI223">
        <v>1</v>
      </c>
      <c r="AK223">
        <v>2</v>
      </c>
      <c r="AN223">
        <v>1</v>
      </c>
      <c r="AU223">
        <v>1</v>
      </c>
    </row>
    <row r="224" spans="1:47" x14ac:dyDescent="0.45">
      <c r="A224">
        <v>222</v>
      </c>
      <c r="B224">
        <v>41</v>
      </c>
      <c r="C224">
        <v>136</v>
      </c>
      <c r="D224" s="3" t="s">
        <v>3</v>
      </c>
      <c r="E224" s="3" t="s">
        <v>564</v>
      </c>
      <c r="F224" s="3" t="s">
        <v>21</v>
      </c>
      <c r="G224" s="1">
        <v>37338</v>
      </c>
      <c r="H224" s="11">
        <f t="shared" ca="1" si="29"/>
        <v>21</v>
      </c>
      <c r="I224" t="s">
        <v>624</v>
      </c>
      <c r="P224" s="1">
        <f t="shared" ca="1" si="30"/>
        <v>45073</v>
      </c>
      <c r="Q224">
        <f t="shared" ca="1" si="31"/>
        <v>21</v>
      </c>
      <c r="Y224">
        <v>1</v>
      </c>
      <c r="Z224" t="str">
        <f t="shared" ca="1" si="24"/>
        <v>13581</v>
      </c>
      <c r="AA224" t="str">
        <f t="shared" si="25"/>
        <v>Berlin</v>
      </c>
      <c r="AB224" t="str">
        <f t="shared" si="26"/>
        <v>Johann-Peter-Hebel-Straße</v>
      </c>
      <c r="AC224" t="str" cm="1">
        <f t="array" ref="AC224">ErzeugeHausnummer()</f>
        <v>8</v>
      </c>
      <c r="AD224">
        <v>1</v>
      </c>
      <c r="AF224">
        <v>1</v>
      </c>
      <c r="AG224" s="6" t="str">
        <f t="shared" si="27"/>
        <v>030</v>
      </c>
      <c r="AH224" t="str">
        <f t="shared" ca="1" si="28"/>
        <v>69236132</v>
      </c>
      <c r="AI224">
        <v>1</v>
      </c>
      <c r="AK224">
        <v>2</v>
      </c>
      <c r="AN224">
        <v>1</v>
      </c>
      <c r="AU224">
        <v>1</v>
      </c>
    </row>
    <row r="225" spans="1:47" x14ac:dyDescent="0.45">
      <c r="A225">
        <v>223</v>
      </c>
      <c r="B225">
        <v>70</v>
      </c>
      <c r="C225">
        <v>267</v>
      </c>
      <c r="D225" s="3" t="s">
        <v>0</v>
      </c>
      <c r="E225" s="3" t="s">
        <v>503</v>
      </c>
      <c r="F225" s="3" t="s">
        <v>409</v>
      </c>
      <c r="G225" s="1">
        <v>18665</v>
      </c>
      <c r="H225" s="11">
        <f t="shared" ca="1" si="29"/>
        <v>73</v>
      </c>
      <c r="I225" t="s">
        <v>626</v>
      </c>
      <c r="J225" s="1">
        <v>27797</v>
      </c>
      <c r="P225" s="1">
        <f t="shared" ca="1" si="30"/>
        <v>28067</v>
      </c>
      <c r="Q225">
        <f t="shared" ca="1" si="31"/>
        <v>24</v>
      </c>
      <c r="R225" s="1">
        <f>DATE(IF(MONTH(G225)=12,YEAR(G225)+66,YEAR(G225)+65),IF(MONTH(G225)=12,1,MONTH(G225)+1),1)</f>
        <v>42430</v>
      </c>
      <c r="S225" t="s">
        <v>1022</v>
      </c>
      <c r="Y225">
        <v>1</v>
      </c>
      <c r="Z225" t="str">
        <f t="shared" ca="1" si="24"/>
        <v>14050</v>
      </c>
      <c r="AA225" t="str">
        <f t="shared" si="25"/>
        <v>Berlin</v>
      </c>
      <c r="AB225" t="str">
        <f t="shared" si="26"/>
        <v>Sonnenstraße</v>
      </c>
      <c r="AC225" t="str" cm="1">
        <f t="array" ref="AC225">ErzeugeHausnummer()</f>
        <v>6B</v>
      </c>
      <c r="AD225">
        <v>1</v>
      </c>
      <c r="AF225">
        <v>1</v>
      </c>
      <c r="AG225" s="6" t="str">
        <f t="shared" si="27"/>
        <v>030</v>
      </c>
      <c r="AH225" t="str">
        <f t="shared" ca="1" si="28"/>
        <v>45099009</v>
      </c>
      <c r="AI225">
        <v>1</v>
      </c>
      <c r="AK225">
        <v>2</v>
      </c>
      <c r="AN225">
        <v>1</v>
      </c>
      <c r="AU225">
        <v>1</v>
      </c>
    </row>
    <row r="226" spans="1:47" x14ac:dyDescent="0.45">
      <c r="A226">
        <v>224</v>
      </c>
      <c r="B226">
        <v>10</v>
      </c>
      <c r="C226">
        <v>183</v>
      </c>
      <c r="D226" s="3" t="s">
        <v>3</v>
      </c>
      <c r="E226" s="3" t="s">
        <v>497</v>
      </c>
      <c r="F226" s="3" t="s">
        <v>410</v>
      </c>
      <c r="G226" s="1">
        <v>35183</v>
      </c>
      <c r="H226" s="11">
        <f t="shared" ca="1" si="29"/>
        <v>27</v>
      </c>
      <c r="I226" t="s">
        <v>624</v>
      </c>
      <c r="P226" s="1">
        <f t="shared" ca="1" si="30"/>
        <v>46390</v>
      </c>
      <c r="Q226">
        <f t="shared" ca="1" si="31"/>
        <v>30</v>
      </c>
      <c r="Y226">
        <v>1</v>
      </c>
      <c r="Z226" t="str">
        <f t="shared" ca="1" si="24"/>
        <v>10405</v>
      </c>
      <c r="AA226" t="str">
        <f t="shared" si="25"/>
        <v>Berlin</v>
      </c>
      <c r="AB226" t="str">
        <f t="shared" si="26"/>
        <v>Max-Frisch-Straße</v>
      </c>
      <c r="AC226" t="str" cm="1">
        <f t="array" ref="AC226">ErzeugeHausnummer()</f>
        <v>2</v>
      </c>
      <c r="AD226">
        <v>1</v>
      </c>
      <c r="AF226">
        <v>1</v>
      </c>
      <c r="AG226" s="6" t="str">
        <f t="shared" si="27"/>
        <v>030</v>
      </c>
      <c r="AH226" t="str">
        <f t="shared" ca="1" si="28"/>
        <v>91940418</v>
      </c>
      <c r="AI226">
        <v>1</v>
      </c>
      <c r="AK226">
        <v>2</v>
      </c>
      <c r="AN226">
        <v>1</v>
      </c>
      <c r="AU226">
        <v>1</v>
      </c>
    </row>
    <row r="227" spans="1:47" x14ac:dyDescent="0.45">
      <c r="A227">
        <v>225</v>
      </c>
      <c r="B227">
        <v>111</v>
      </c>
      <c r="C227">
        <v>145</v>
      </c>
      <c r="D227" s="3" t="s">
        <v>0</v>
      </c>
      <c r="E227" s="3" t="s">
        <v>440</v>
      </c>
      <c r="F227" s="3" t="s">
        <v>614</v>
      </c>
      <c r="G227" s="1">
        <v>21255</v>
      </c>
      <c r="H227" s="11">
        <f t="shared" ca="1" si="29"/>
        <v>66</v>
      </c>
      <c r="I227" t="s">
        <v>626</v>
      </c>
      <c r="J227" s="1">
        <v>32050</v>
      </c>
      <c r="P227" s="1">
        <f t="shared" ca="1" si="30"/>
        <v>38759</v>
      </c>
      <c r="Q227">
        <f t="shared" ca="1" si="31"/>
        <v>48</v>
      </c>
      <c r="R227" s="1">
        <f>DATE(IF(MONTH(G227)=12,YEAR(G227)+66,YEAR(G227)+65),IF(MONTH(G227)=12,1,MONTH(G227)+1),1)</f>
        <v>45017</v>
      </c>
      <c r="S227" t="s">
        <v>1022</v>
      </c>
      <c r="Y227">
        <v>1</v>
      </c>
      <c r="Z227" t="str">
        <f t="shared" ca="1" si="24"/>
        <v>10317</v>
      </c>
      <c r="AA227" t="str">
        <f t="shared" si="25"/>
        <v>Berlin</v>
      </c>
      <c r="AB227" t="str">
        <f t="shared" si="26"/>
        <v>Karl-Valentin-Straße</v>
      </c>
      <c r="AC227" t="str" cm="1">
        <f t="array" ref="AC227">ErzeugeHausnummer()</f>
        <v>47A</v>
      </c>
      <c r="AD227">
        <v>1</v>
      </c>
      <c r="AF227">
        <v>1</v>
      </c>
      <c r="AG227" s="6" t="str">
        <f t="shared" si="27"/>
        <v>030</v>
      </c>
      <c r="AH227" t="str">
        <f t="shared" ca="1" si="28"/>
        <v>68451924</v>
      </c>
      <c r="AI227">
        <v>1</v>
      </c>
      <c r="AK227">
        <v>2</v>
      </c>
      <c r="AN227">
        <v>1</v>
      </c>
      <c r="AU227">
        <v>1</v>
      </c>
    </row>
    <row r="228" spans="1:47" x14ac:dyDescent="0.45">
      <c r="A228">
        <v>226</v>
      </c>
      <c r="B228">
        <v>15</v>
      </c>
      <c r="C228">
        <v>260</v>
      </c>
      <c r="D228" s="3" t="s">
        <v>3</v>
      </c>
      <c r="E228" s="3" t="s">
        <v>565</v>
      </c>
      <c r="F228" s="3" t="s">
        <v>89</v>
      </c>
      <c r="G228" s="1">
        <v>34465</v>
      </c>
      <c r="H228" s="11">
        <f t="shared" ca="1" si="29"/>
        <v>30</v>
      </c>
      <c r="I228" t="s">
        <v>624</v>
      </c>
      <c r="P228" s="1">
        <f t="shared" ca="1" si="30"/>
        <v>46128</v>
      </c>
      <c r="Q228">
        <f t="shared" ca="1" si="31"/>
        <v>32</v>
      </c>
      <c r="Y228">
        <v>1</v>
      </c>
      <c r="Z228" t="str">
        <f t="shared" ca="1" si="24"/>
        <v>13187</v>
      </c>
      <c r="AA228" t="str">
        <f t="shared" si="25"/>
        <v>Berlin</v>
      </c>
      <c r="AB228" t="str">
        <f t="shared" si="26"/>
        <v>Schützenstraße</v>
      </c>
      <c r="AC228" t="str" cm="1">
        <f t="array" ref="AC228">ErzeugeHausnummer()</f>
        <v>5A</v>
      </c>
      <c r="AD228">
        <v>1</v>
      </c>
      <c r="AF228">
        <v>1</v>
      </c>
      <c r="AG228" s="6" t="str">
        <f t="shared" si="27"/>
        <v>030</v>
      </c>
      <c r="AH228" t="str">
        <f t="shared" ca="1" si="28"/>
        <v>74431752</v>
      </c>
      <c r="AI228">
        <v>1</v>
      </c>
      <c r="AK228">
        <v>2</v>
      </c>
      <c r="AN228">
        <v>1</v>
      </c>
      <c r="AU228">
        <v>1</v>
      </c>
    </row>
    <row r="229" spans="1:47" x14ac:dyDescent="0.45">
      <c r="A229">
        <v>227</v>
      </c>
      <c r="B229">
        <v>87</v>
      </c>
      <c r="C229">
        <v>292</v>
      </c>
      <c r="D229" s="3" t="s">
        <v>3</v>
      </c>
      <c r="E229" s="3" t="s">
        <v>566</v>
      </c>
      <c r="F229" s="3" t="s">
        <v>411</v>
      </c>
      <c r="G229" s="1">
        <v>35047</v>
      </c>
      <c r="H229" s="11">
        <f t="shared" ca="1" si="29"/>
        <v>29</v>
      </c>
      <c r="I229" t="s">
        <v>624</v>
      </c>
      <c r="P229" s="1">
        <f t="shared" ca="1" si="30"/>
        <v>46943</v>
      </c>
      <c r="Q229">
        <f t="shared" ca="1" si="31"/>
        <v>32</v>
      </c>
      <c r="Y229">
        <v>1</v>
      </c>
      <c r="Z229" t="str">
        <f t="shared" ca="1" si="24"/>
        <v>10825</v>
      </c>
      <c r="AA229" t="str">
        <f t="shared" si="25"/>
        <v>Berlin</v>
      </c>
      <c r="AB229" t="str">
        <f t="shared" si="26"/>
        <v>Washington-Allee</v>
      </c>
      <c r="AC229" t="str" cm="1">
        <f t="array" ref="AC229">ErzeugeHausnummer()</f>
        <v>18</v>
      </c>
      <c r="AD229">
        <v>1</v>
      </c>
      <c r="AF229">
        <v>1</v>
      </c>
      <c r="AG229" s="6" t="str">
        <f t="shared" si="27"/>
        <v>030</v>
      </c>
      <c r="AH229" t="str">
        <f t="shared" ca="1" si="28"/>
        <v>64180322</v>
      </c>
      <c r="AI229">
        <v>1</v>
      </c>
      <c r="AK229">
        <v>2</v>
      </c>
      <c r="AN229">
        <v>1</v>
      </c>
      <c r="AU229">
        <v>1</v>
      </c>
    </row>
    <row r="230" spans="1:47" x14ac:dyDescent="0.45">
      <c r="A230">
        <v>228</v>
      </c>
      <c r="B230">
        <v>90</v>
      </c>
      <c r="C230">
        <v>62</v>
      </c>
      <c r="D230" s="3" t="s">
        <v>3</v>
      </c>
      <c r="E230" s="3" t="s">
        <v>567</v>
      </c>
      <c r="F230" s="3" t="s">
        <v>21</v>
      </c>
      <c r="G230" s="1">
        <v>22405</v>
      </c>
      <c r="H230" s="11">
        <f t="shared" ca="1" si="29"/>
        <v>63</v>
      </c>
      <c r="I230" t="s">
        <v>627</v>
      </c>
      <c r="J230" s="1">
        <v>44147</v>
      </c>
      <c r="P230" s="1">
        <f t="shared" ca="1" si="30"/>
        <v>29933</v>
      </c>
      <c r="Q230">
        <f t="shared" ca="1" si="31"/>
        <v>20</v>
      </c>
      <c r="R230" s="1">
        <f>DATE(IF(MONTH(G230)=12,YEAR(G230)+66,YEAR(G230)+65),IF(MONTH(G230)=12,1,MONTH(G230)+1),1)</f>
        <v>46174</v>
      </c>
      <c r="S230" t="s">
        <v>1022</v>
      </c>
      <c r="Y230">
        <v>1</v>
      </c>
      <c r="Z230" t="str">
        <f t="shared" ca="1" si="24"/>
        <v>12157</v>
      </c>
      <c r="AA230" t="str">
        <f t="shared" si="25"/>
        <v>Berlin</v>
      </c>
      <c r="AB230" t="str">
        <f t="shared" si="26"/>
        <v>Dallas-Allee</v>
      </c>
      <c r="AC230" t="str" cm="1">
        <f t="array" ref="AC230">ErzeugeHausnummer()</f>
        <v>39B</v>
      </c>
      <c r="AD230">
        <v>1</v>
      </c>
      <c r="AF230">
        <v>1</v>
      </c>
      <c r="AG230" s="6" t="str">
        <f t="shared" si="27"/>
        <v>030</v>
      </c>
      <c r="AH230" t="str">
        <f t="shared" ca="1" si="28"/>
        <v>87108046</v>
      </c>
      <c r="AI230">
        <v>1</v>
      </c>
      <c r="AK230">
        <v>2</v>
      </c>
      <c r="AN230">
        <v>1</v>
      </c>
      <c r="AU230">
        <v>1</v>
      </c>
    </row>
    <row r="231" spans="1:47" x14ac:dyDescent="0.45">
      <c r="A231">
        <v>229</v>
      </c>
      <c r="B231">
        <v>189</v>
      </c>
      <c r="C231">
        <v>180</v>
      </c>
      <c r="D231" s="3" t="s">
        <v>0</v>
      </c>
      <c r="E231" s="3" t="s">
        <v>568</v>
      </c>
      <c r="F231" s="3" t="s">
        <v>412</v>
      </c>
      <c r="G231" s="1">
        <v>28492</v>
      </c>
      <c r="H231" s="11">
        <f t="shared" ca="1" si="29"/>
        <v>46</v>
      </c>
      <c r="I231" t="s">
        <v>626</v>
      </c>
      <c r="J231" s="1">
        <v>35528</v>
      </c>
      <c r="P231" s="1">
        <f t="shared" ca="1" si="30"/>
        <v>41460</v>
      </c>
      <c r="Q231">
        <f t="shared" ca="1" si="31"/>
        <v>35</v>
      </c>
      <c r="Y231">
        <v>1</v>
      </c>
      <c r="Z231" t="str">
        <f t="shared" ca="1" si="24"/>
        <v>14547</v>
      </c>
      <c r="AA231" t="str">
        <f t="shared" si="25"/>
        <v>Klosterdorf</v>
      </c>
      <c r="AB231" t="str">
        <f t="shared" si="26"/>
        <v>Marktplatz</v>
      </c>
      <c r="AC231" t="str" cm="1">
        <f t="array" ref="AC231">ErzeugeHausnummer()</f>
        <v>38</v>
      </c>
      <c r="AD231">
        <v>1</v>
      </c>
      <c r="AF231">
        <v>1</v>
      </c>
      <c r="AG231" s="6" t="str">
        <f t="shared" si="27"/>
        <v>033206</v>
      </c>
      <c r="AH231" t="str">
        <f t="shared" ca="1" si="28"/>
        <v>7769</v>
      </c>
      <c r="AI231">
        <v>1</v>
      </c>
      <c r="AK231">
        <v>2</v>
      </c>
      <c r="AN231">
        <v>1</v>
      </c>
      <c r="AU231">
        <v>1</v>
      </c>
    </row>
    <row r="232" spans="1:47" x14ac:dyDescent="0.45">
      <c r="A232">
        <v>230</v>
      </c>
      <c r="B232">
        <v>62</v>
      </c>
      <c r="C232">
        <v>82</v>
      </c>
      <c r="D232" s="3" t="s">
        <v>0</v>
      </c>
      <c r="E232" s="3" t="s">
        <v>59</v>
      </c>
      <c r="F232" s="3" t="s">
        <v>413</v>
      </c>
      <c r="G232" s="1">
        <v>26506</v>
      </c>
      <c r="H232" s="11">
        <f t="shared" ca="1" si="29"/>
        <v>51</v>
      </c>
      <c r="I232" t="s">
        <v>625</v>
      </c>
      <c r="J232" s="1">
        <v>41682</v>
      </c>
      <c r="P232" s="1">
        <f t="shared" ca="1" si="30"/>
        <v>40395</v>
      </c>
      <c r="Q232">
        <f t="shared" ca="1" si="31"/>
        <v>37</v>
      </c>
      <c r="Y232">
        <v>1</v>
      </c>
      <c r="Z232" t="str">
        <f t="shared" ca="1" si="24"/>
        <v>13597</v>
      </c>
      <c r="AA232" t="str">
        <f t="shared" si="25"/>
        <v>Berlin</v>
      </c>
      <c r="AB232" t="str">
        <f t="shared" si="26"/>
        <v>Finkenweg</v>
      </c>
      <c r="AC232" t="str" cm="1">
        <f t="array" ref="AC232">ErzeugeHausnummer()</f>
        <v>48</v>
      </c>
      <c r="AD232">
        <v>1</v>
      </c>
      <c r="AF232">
        <v>1</v>
      </c>
      <c r="AG232" s="6" t="str">
        <f t="shared" si="27"/>
        <v>030</v>
      </c>
      <c r="AH232" t="str">
        <f t="shared" ca="1" si="28"/>
        <v>84527197</v>
      </c>
      <c r="AI232">
        <v>1</v>
      </c>
      <c r="AK232">
        <v>2</v>
      </c>
      <c r="AN232">
        <v>1</v>
      </c>
      <c r="AU232">
        <v>1</v>
      </c>
    </row>
    <row r="233" spans="1:47" x14ac:dyDescent="0.45">
      <c r="A233">
        <v>231</v>
      </c>
      <c r="B233">
        <v>116</v>
      </c>
      <c r="C233">
        <v>274</v>
      </c>
      <c r="D233" s="3" t="s">
        <v>0</v>
      </c>
      <c r="E233" s="3" t="s">
        <v>569</v>
      </c>
      <c r="F233" s="3" t="s">
        <v>361</v>
      </c>
      <c r="G233" s="1">
        <v>18473</v>
      </c>
      <c r="H233" s="11">
        <f t="shared" ca="1" si="29"/>
        <v>73</v>
      </c>
      <c r="I233" t="s">
        <v>624</v>
      </c>
      <c r="P233" s="1">
        <f t="shared" ca="1" si="30"/>
        <v>28252</v>
      </c>
      <c r="Q233">
        <f t="shared" ca="1" si="31"/>
        <v>26</v>
      </c>
      <c r="R233" s="1">
        <f>DATE(IF(MONTH(G233)=12,YEAR(G233)+66,YEAR(G233)+65),IF(MONTH(G233)=12,1,MONTH(G233)+1),1)</f>
        <v>42217</v>
      </c>
      <c r="S233" t="s">
        <v>1022</v>
      </c>
      <c r="Y233">
        <v>1</v>
      </c>
      <c r="Z233" t="str">
        <f t="shared" ca="1" si="24"/>
        <v>13407</v>
      </c>
      <c r="AA233" t="str">
        <f t="shared" si="25"/>
        <v>Berlin</v>
      </c>
      <c r="AB233" t="str">
        <f t="shared" si="26"/>
        <v>Sydneyweg</v>
      </c>
      <c r="AC233" t="str" cm="1">
        <f t="array" ref="AC233">ErzeugeHausnummer()</f>
        <v>6</v>
      </c>
      <c r="AD233">
        <v>1</v>
      </c>
      <c r="AF233">
        <v>1</v>
      </c>
      <c r="AG233" s="6" t="str">
        <f t="shared" si="27"/>
        <v>030</v>
      </c>
      <c r="AH233" t="str">
        <f t="shared" ca="1" si="28"/>
        <v>67276728</v>
      </c>
      <c r="AI233">
        <v>1</v>
      </c>
      <c r="AK233">
        <v>2</v>
      </c>
      <c r="AN233">
        <v>1</v>
      </c>
      <c r="AU233">
        <v>1</v>
      </c>
    </row>
    <row r="234" spans="1:47" x14ac:dyDescent="0.45">
      <c r="A234">
        <v>232</v>
      </c>
      <c r="B234">
        <v>80</v>
      </c>
      <c r="C234">
        <v>91</v>
      </c>
      <c r="D234" s="3" t="s">
        <v>0</v>
      </c>
      <c r="E234" s="3" t="s">
        <v>59</v>
      </c>
      <c r="F234" s="3" t="s">
        <v>372</v>
      </c>
      <c r="G234" s="1">
        <v>22063</v>
      </c>
      <c r="H234" s="11">
        <f t="shared" ca="1" si="29"/>
        <v>63</v>
      </c>
      <c r="I234" t="s">
        <v>626</v>
      </c>
      <c r="J234" s="1">
        <v>31344</v>
      </c>
      <c r="P234" s="1">
        <f t="shared" ca="1" si="30"/>
        <v>39970</v>
      </c>
      <c r="Q234">
        <f t="shared" ca="1" si="31"/>
        <v>48</v>
      </c>
      <c r="Y234">
        <v>1</v>
      </c>
      <c r="Z234" t="str">
        <f t="shared" ca="1" si="24"/>
        <v>14050</v>
      </c>
      <c r="AA234" t="str">
        <f t="shared" si="25"/>
        <v>Berlin</v>
      </c>
      <c r="AB234" t="str">
        <f t="shared" si="26"/>
        <v>Friedrichstraße</v>
      </c>
      <c r="AC234" t="str" cm="1">
        <f t="array" ref="AC234">ErzeugeHausnummer()</f>
        <v>27B</v>
      </c>
      <c r="AD234">
        <v>1</v>
      </c>
      <c r="AF234">
        <v>1</v>
      </c>
      <c r="AG234" s="6" t="str">
        <f t="shared" si="27"/>
        <v>030</v>
      </c>
      <c r="AH234" t="str">
        <f t="shared" ca="1" si="28"/>
        <v>71031399</v>
      </c>
      <c r="AI234">
        <v>1</v>
      </c>
      <c r="AK234">
        <v>2</v>
      </c>
      <c r="AN234">
        <v>1</v>
      </c>
      <c r="AU234">
        <v>1</v>
      </c>
    </row>
    <row r="235" spans="1:47" x14ac:dyDescent="0.45">
      <c r="A235">
        <v>233</v>
      </c>
      <c r="B235">
        <v>51</v>
      </c>
      <c r="C235">
        <v>228</v>
      </c>
      <c r="D235" s="3" t="s">
        <v>0</v>
      </c>
      <c r="E235" s="3" t="s">
        <v>30</v>
      </c>
      <c r="F235" s="3" t="s">
        <v>2</v>
      </c>
      <c r="G235" s="1">
        <v>29921</v>
      </c>
      <c r="H235" s="11">
        <f t="shared" ca="1" si="29"/>
        <v>43</v>
      </c>
      <c r="I235" t="s">
        <v>624</v>
      </c>
      <c r="P235" s="1">
        <f t="shared" ca="1" si="30"/>
        <v>47732</v>
      </c>
      <c r="Q235">
        <f t="shared" ca="1" si="31"/>
        <v>49</v>
      </c>
      <c r="Y235">
        <v>1</v>
      </c>
      <c r="Z235" t="str">
        <f t="shared" ca="1" si="24"/>
        <v>13581</v>
      </c>
      <c r="AA235" t="str">
        <f t="shared" si="25"/>
        <v>Berlin</v>
      </c>
      <c r="AB235" t="str">
        <f t="shared" si="26"/>
        <v>Rainer-Maria-Rilke-Straße</v>
      </c>
      <c r="AC235" t="str" cm="1">
        <f t="array" ref="AC235">ErzeugeHausnummer()</f>
        <v>5</v>
      </c>
      <c r="AD235">
        <v>1</v>
      </c>
      <c r="AF235">
        <v>1</v>
      </c>
      <c r="AG235" s="6" t="str">
        <f t="shared" si="27"/>
        <v>030</v>
      </c>
      <c r="AH235" t="str">
        <f t="shared" ca="1" si="28"/>
        <v>55153019</v>
      </c>
      <c r="AI235">
        <v>1</v>
      </c>
      <c r="AK235">
        <v>2</v>
      </c>
      <c r="AN235">
        <v>1</v>
      </c>
      <c r="AU235">
        <v>1</v>
      </c>
    </row>
    <row r="236" spans="1:47" x14ac:dyDescent="0.45">
      <c r="A236">
        <v>234</v>
      </c>
      <c r="B236">
        <v>19</v>
      </c>
      <c r="C236">
        <v>5</v>
      </c>
      <c r="D236" s="3" t="s">
        <v>3</v>
      </c>
      <c r="E236" s="3" t="s">
        <v>50</v>
      </c>
      <c r="F236" s="3" t="s">
        <v>363</v>
      </c>
      <c r="G236" s="1">
        <v>19159</v>
      </c>
      <c r="H236" s="11">
        <f t="shared" ca="1" si="29"/>
        <v>72</v>
      </c>
      <c r="I236" t="s">
        <v>624</v>
      </c>
      <c r="P236" s="1">
        <f t="shared" ca="1" si="30"/>
        <v>35140</v>
      </c>
      <c r="Q236">
        <f t="shared" ca="1" si="31"/>
        <v>44</v>
      </c>
      <c r="R236" s="1">
        <f>DATE(IF(MONTH(G236)=12,YEAR(G236)+66,YEAR(G236)+65),IF(MONTH(G236)=12,1,MONTH(G236)+1),1)</f>
        <v>42917</v>
      </c>
      <c r="S236" t="s">
        <v>1022</v>
      </c>
      <c r="Y236">
        <v>1</v>
      </c>
      <c r="Z236" t="str">
        <f t="shared" ca="1" si="24"/>
        <v>10585</v>
      </c>
      <c r="AA236" t="str">
        <f t="shared" si="25"/>
        <v>Berlin</v>
      </c>
      <c r="AB236" t="str">
        <f t="shared" si="26"/>
        <v>Albert-Schweitzer-Straße</v>
      </c>
      <c r="AC236" t="str" cm="1">
        <f t="array" ref="AC236">ErzeugeHausnummer()</f>
        <v>5</v>
      </c>
      <c r="AD236">
        <v>1</v>
      </c>
      <c r="AF236">
        <v>1</v>
      </c>
      <c r="AG236" s="6" t="str">
        <f t="shared" si="27"/>
        <v>030</v>
      </c>
      <c r="AH236" t="str">
        <f t="shared" ca="1" si="28"/>
        <v>58379587</v>
      </c>
      <c r="AI236">
        <v>1</v>
      </c>
      <c r="AK236">
        <v>2</v>
      </c>
      <c r="AN236">
        <v>1</v>
      </c>
      <c r="AU236">
        <v>1</v>
      </c>
    </row>
    <row r="237" spans="1:47" x14ac:dyDescent="0.45">
      <c r="A237">
        <v>235</v>
      </c>
      <c r="B237">
        <v>14</v>
      </c>
      <c r="C237">
        <v>46</v>
      </c>
      <c r="D237" s="3" t="s">
        <v>3</v>
      </c>
      <c r="E237" s="3" t="s">
        <v>563</v>
      </c>
      <c r="F237" s="3" t="s">
        <v>414</v>
      </c>
      <c r="G237" s="1">
        <v>18524</v>
      </c>
      <c r="H237" s="11">
        <f t="shared" ca="1" si="29"/>
        <v>74</v>
      </c>
      <c r="I237" t="s">
        <v>627</v>
      </c>
      <c r="J237" s="1">
        <v>41567</v>
      </c>
      <c r="P237" s="1">
        <f t="shared" ca="1" si="30"/>
        <v>33198</v>
      </c>
      <c r="Q237">
        <f t="shared" ca="1" si="31"/>
        <v>40</v>
      </c>
      <c r="R237" s="1">
        <f>DATE(IF(MONTH(G237)=12,YEAR(G237)+66,YEAR(G237)+65),IF(MONTH(G237)=12,1,MONTH(G237)+1),1)</f>
        <v>42278</v>
      </c>
      <c r="S237" t="s">
        <v>1022</v>
      </c>
      <c r="Y237">
        <v>1</v>
      </c>
      <c r="Z237" t="str">
        <f t="shared" ca="1" si="24"/>
        <v>13156</v>
      </c>
      <c r="AA237" t="str">
        <f t="shared" si="25"/>
        <v>Berlin</v>
      </c>
      <c r="AB237" t="str">
        <f t="shared" si="26"/>
        <v>Bostonstraße</v>
      </c>
      <c r="AC237" t="str" cm="1">
        <f t="array" ref="AC237">ErzeugeHausnummer()</f>
        <v>94</v>
      </c>
      <c r="AD237">
        <v>1</v>
      </c>
      <c r="AF237">
        <v>1</v>
      </c>
      <c r="AG237" s="6" t="str">
        <f t="shared" si="27"/>
        <v>030</v>
      </c>
      <c r="AH237" t="str">
        <f t="shared" ca="1" si="28"/>
        <v>57426552</v>
      </c>
      <c r="AI237">
        <v>1</v>
      </c>
      <c r="AK237">
        <v>2</v>
      </c>
      <c r="AN237">
        <v>1</v>
      </c>
      <c r="AU237">
        <v>1</v>
      </c>
    </row>
    <row r="238" spans="1:47" x14ac:dyDescent="0.45">
      <c r="A238">
        <v>236</v>
      </c>
      <c r="B238">
        <v>75</v>
      </c>
      <c r="C238">
        <v>246</v>
      </c>
      <c r="D238" s="3" t="s">
        <v>3</v>
      </c>
      <c r="E238" s="3" t="s">
        <v>570</v>
      </c>
      <c r="F238" s="3" t="s">
        <v>383</v>
      </c>
      <c r="G238" s="1">
        <v>23236</v>
      </c>
      <c r="H238" s="11">
        <f t="shared" ca="1" si="29"/>
        <v>61</v>
      </c>
      <c r="I238" t="s">
        <v>625</v>
      </c>
      <c r="J238" s="1">
        <v>37692</v>
      </c>
      <c r="P238" s="1">
        <f t="shared" ca="1" si="30"/>
        <v>41231</v>
      </c>
      <c r="Q238">
        <f t="shared" ca="1" si="31"/>
        <v>49</v>
      </c>
      <c r="Y238">
        <v>1</v>
      </c>
      <c r="Z238" t="str">
        <f t="shared" ca="1" si="24"/>
        <v>14050</v>
      </c>
      <c r="AA238" t="str">
        <f t="shared" si="25"/>
        <v>Berlin</v>
      </c>
      <c r="AB238" t="str">
        <f t="shared" si="26"/>
        <v>Santiago-Allee</v>
      </c>
      <c r="AC238" t="str" cm="1">
        <f t="array" ref="AC238">ErzeugeHausnummer()</f>
        <v>17</v>
      </c>
      <c r="AD238">
        <v>1</v>
      </c>
      <c r="AF238">
        <v>1</v>
      </c>
      <c r="AG238" s="6" t="str">
        <f t="shared" si="27"/>
        <v>030</v>
      </c>
      <c r="AH238" t="str">
        <f t="shared" ca="1" si="28"/>
        <v>73060023</v>
      </c>
      <c r="AI238">
        <v>1</v>
      </c>
      <c r="AK238">
        <v>2</v>
      </c>
      <c r="AN238">
        <v>1</v>
      </c>
      <c r="AU238">
        <v>1</v>
      </c>
    </row>
    <row r="239" spans="1:47" x14ac:dyDescent="0.45">
      <c r="A239">
        <v>237</v>
      </c>
      <c r="B239">
        <v>147</v>
      </c>
      <c r="C239">
        <v>61</v>
      </c>
      <c r="D239" s="3" t="s">
        <v>0</v>
      </c>
      <c r="E239" s="3" t="s">
        <v>524</v>
      </c>
      <c r="F239" s="3" t="s">
        <v>615</v>
      </c>
      <c r="G239" s="1">
        <v>36144</v>
      </c>
      <c r="H239" s="11">
        <f t="shared" ca="1" si="29"/>
        <v>26</v>
      </c>
      <c r="I239" t="s">
        <v>624</v>
      </c>
      <c r="P239" s="1">
        <f t="shared" ca="1" si="30"/>
        <v>48751</v>
      </c>
      <c r="Q239">
        <f t="shared" ca="1" si="31"/>
        <v>35</v>
      </c>
      <c r="Y239">
        <v>1</v>
      </c>
      <c r="Z239" t="str">
        <f t="shared" ca="1" si="24"/>
        <v>14806</v>
      </c>
      <c r="AA239" t="str">
        <f t="shared" si="25"/>
        <v>Belzig</v>
      </c>
      <c r="AB239" t="str">
        <f t="shared" si="26"/>
        <v>Columbusweg</v>
      </c>
      <c r="AC239" t="str" cm="1">
        <f t="array" ref="AC239">ErzeugeHausnummer()</f>
        <v>77</v>
      </c>
      <c r="AD239">
        <v>1</v>
      </c>
      <c r="AF239">
        <v>1</v>
      </c>
      <c r="AG239" s="6" t="str">
        <f t="shared" si="27"/>
        <v>033841</v>
      </c>
      <c r="AH239" t="str">
        <f t="shared" ca="1" si="28"/>
        <v>4457</v>
      </c>
      <c r="AI239">
        <v>1</v>
      </c>
      <c r="AK239">
        <v>2</v>
      </c>
      <c r="AN239">
        <v>1</v>
      </c>
      <c r="AU239">
        <v>1</v>
      </c>
    </row>
    <row r="240" spans="1:47" x14ac:dyDescent="0.45">
      <c r="A240">
        <v>238</v>
      </c>
      <c r="B240">
        <v>76</v>
      </c>
      <c r="C240">
        <v>1</v>
      </c>
      <c r="D240" s="3" t="s">
        <v>3</v>
      </c>
      <c r="E240" s="3" t="s">
        <v>571</v>
      </c>
      <c r="F240" s="3" t="s">
        <v>415</v>
      </c>
      <c r="G240" s="1">
        <v>35897</v>
      </c>
      <c r="H240" s="11">
        <f t="shared" ca="1" si="29"/>
        <v>26</v>
      </c>
      <c r="I240" t="s">
        <v>624</v>
      </c>
      <c r="P240" s="1">
        <f t="shared" ca="1" si="30"/>
        <v>48498</v>
      </c>
      <c r="Q240">
        <f t="shared" ca="1" si="31"/>
        <v>33</v>
      </c>
      <c r="Y240">
        <v>1</v>
      </c>
      <c r="Z240" t="str">
        <f t="shared" ca="1" si="24"/>
        <v>14050</v>
      </c>
      <c r="AA240" t="str">
        <f t="shared" si="25"/>
        <v>Berlin</v>
      </c>
      <c r="AB240" t="str">
        <f t="shared" si="26"/>
        <v>Adlerstraße</v>
      </c>
      <c r="AC240" t="str" cm="1">
        <f t="array" ref="AC240">ErzeugeHausnummer()</f>
        <v>8D/E</v>
      </c>
      <c r="AD240">
        <v>1</v>
      </c>
      <c r="AF240">
        <v>1</v>
      </c>
      <c r="AG240" s="6" t="str">
        <f t="shared" si="27"/>
        <v>030</v>
      </c>
      <c r="AH240" t="str">
        <f t="shared" ca="1" si="28"/>
        <v>54448588</v>
      </c>
      <c r="AI240">
        <v>1</v>
      </c>
      <c r="AK240">
        <v>2</v>
      </c>
      <c r="AN240">
        <v>1</v>
      </c>
      <c r="AU240">
        <v>1</v>
      </c>
    </row>
    <row r="241" spans="1:47" x14ac:dyDescent="0.45">
      <c r="A241">
        <v>239</v>
      </c>
      <c r="B241">
        <v>8</v>
      </c>
      <c r="C241">
        <v>251</v>
      </c>
      <c r="D241" s="3" t="s">
        <v>0</v>
      </c>
      <c r="E241" s="3" t="s">
        <v>572</v>
      </c>
      <c r="F241" s="3" t="s">
        <v>2</v>
      </c>
      <c r="G241" s="1">
        <v>37822</v>
      </c>
      <c r="H241" s="11">
        <f t="shared" ca="1" si="29"/>
        <v>21</v>
      </c>
      <c r="I241" t="s">
        <v>624</v>
      </c>
      <c r="P241" s="1">
        <f t="shared" ca="1" si="30"/>
        <v>45631</v>
      </c>
      <c r="Q241">
        <f t="shared" ca="1" si="31"/>
        <v>20</v>
      </c>
      <c r="Y241">
        <v>1</v>
      </c>
      <c r="Z241" t="str">
        <f t="shared" ca="1" si="24"/>
        <v>10405</v>
      </c>
      <c r="AA241" t="str">
        <f t="shared" si="25"/>
        <v>Berlin</v>
      </c>
      <c r="AB241" t="str">
        <f t="shared" si="26"/>
        <v>Schlossplatz</v>
      </c>
      <c r="AC241" t="str" cm="1">
        <f t="array" ref="AC241">ErzeugeHausnummer()</f>
        <v>25A</v>
      </c>
      <c r="AD241">
        <v>1</v>
      </c>
      <c r="AF241">
        <v>1</v>
      </c>
      <c r="AG241" s="6" t="str">
        <f t="shared" si="27"/>
        <v>030</v>
      </c>
      <c r="AH241" t="str">
        <f t="shared" ca="1" si="28"/>
        <v>44720043</v>
      </c>
      <c r="AI241">
        <v>1</v>
      </c>
      <c r="AK241">
        <v>2</v>
      </c>
      <c r="AN241">
        <v>1</v>
      </c>
      <c r="AU241">
        <v>1</v>
      </c>
    </row>
    <row r="242" spans="1:47" x14ac:dyDescent="0.45">
      <c r="A242">
        <v>240</v>
      </c>
      <c r="B242">
        <v>185</v>
      </c>
      <c r="C242">
        <v>106</v>
      </c>
      <c r="D242" s="3" t="s">
        <v>3</v>
      </c>
      <c r="E242" s="3" t="s">
        <v>573</v>
      </c>
      <c r="F242" s="3" t="s">
        <v>616</v>
      </c>
      <c r="G242" s="1">
        <v>32072</v>
      </c>
      <c r="H242" s="11">
        <f t="shared" ca="1" si="29"/>
        <v>37</v>
      </c>
      <c r="I242" t="s">
        <v>625</v>
      </c>
      <c r="J242" s="1">
        <v>45130</v>
      </c>
      <c r="P242" s="1">
        <f t="shared" ca="1" si="30"/>
        <v>49582</v>
      </c>
      <c r="Q242">
        <f t="shared" ca="1" si="31"/>
        <v>48</v>
      </c>
      <c r="Y242">
        <v>1</v>
      </c>
      <c r="Z242" t="str">
        <f t="shared" ca="1" si="24"/>
        <v>14797</v>
      </c>
      <c r="AA242" t="str">
        <f t="shared" si="25"/>
        <v>Lehnin</v>
      </c>
      <c r="AB242" t="str">
        <f t="shared" si="26"/>
        <v>Hans-Christian-Andersen-Straße</v>
      </c>
      <c r="AC242" t="str" cm="1">
        <f t="array" ref="AC242">ErzeugeHausnummer()</f>
        <v>7</v>
      </c>
      <c r="AD242">
        <v>1</v>
      </c>
      <c r="AF242">
        <v>1</v>
      </c>
      <c r="AG242" s="6" t="str">
        <f t="shared" si="27"/>
        <v>033835</v>
      </c>
      <c r="AH242" t="str">
        <f t="shared" ca="1" si="28"/>
        <v>9770</v>
      </c>
      <c r="AI242">
        <v>1</v>
      </c>
      <c r="AK242">
        <v>2</v>
      </c>
      <c r="AN242">
        <v>1</v>
      </c>
      <c r="AU242">
        <v>1</v>
      </c>
    </row>
    <row r="243" spans="1:47" x14ac:dyDescent="0.45">
      <c r="A243">
        <v>241</v>
      </c>
      <c r="B243">
        <v>180</v>
      </c>
      <c r="C243">
        <v>280</v>
      </c>
      <c r="D243" s="3" t="s">
        <v>3</v>
      </c>
      <c r="E243" s="3" t="s">
        <v>102</v>
      </c>
      <c r="F243" s="3" t="s">
        <v>416</v>
      </c>
      <c r="G243" s="1">
        <v>19346</v>
      </c>
      <c r="H243" s="11">
        <f t="shared" ca="1" si="29"/>
        <v>72</v>
      </c>
      <c r="I243" t="s">
        <v>627</v>
      </c>
      <c r="J243" s="1">
        <v>42908</v>
      </c>
      <c r="P243" s="1">
        <f t="shared" ca="1" si="30"/>
        <v>33377</v>
      </c>
      <c r="Q243">
        <f t="shared" ca="1" si="31"/>
        <v>39</v>
      </c>
      <c r="R243" s="1">
        <f>DATE(IF(MONTH(G243)=12,YEAR(G243)+66,YEAR(G243)+65),IF(MONTH(G243)=12,1,MONTH(G243)+1),1)</f>
        <v>43101</v>
      </c>
      <c r="S243" t="s">
        <v>1022</v>
      </c>
      <c r="Y243">
        <v>1</v>
      </c>
      <c r="Z243" t="str">
        <f t="shared" ca="1" si="24"/>
        <v>14822</v>
      </c>
      <c r="AA243" t="str">
        <f t="shared" si="25"/>
        <v>Brück</v>
      </c>
      <c r="AB243" t="str">
        <f t="shared" si="26"/>
        <v>Thomas-Mann-Straße</v>
      </c>
      <c r="AC243" t="str" cm="1">
        <f t="array" ref="AC243">ErzeugeHausnummer()</f>
        <v>5</v>
      </c>
      <c r="AD243">
        <v>1</v>
      </c>
      <c r="AF243">
        <v>1</v>
      </c>
      <c r="AG243" s="6" t="str">
        <f t="shared" si="27"/>
        <v>033844</v>
      </c>
      <c r="AH243" t="str">
        <f t="shared" ca="1" si="28"/>
        <v>4408</v>
      </c>
      <c r="AI243">
        <v>1</v>
      </c>
      <c r="AK243">
        <v>2</v>
      </c>
      <c r="AN243">
        <v>1</v>
      </c>
      <c r="AU243">
        <v>1</v>
      </c>
    </row>
    <row r="244" spans="1:47" x14ac:dyDescent="0.45">
      <c r="A244">
        <v>242</v>
      </c>
      <c r="B244">
        <v>31</v>
      </c>
      <c r="C244">
        <v>193</v>
      </c>
      <c r="D244" s="3" t="s">
        <v>0</v>
      </c>
      <c r="E244" s="3" t="s">
        <v>574</v>
      </c>
      <c r="F244" s="3" t="s">
        <v>114</v>
      </c>
      <c r="G244" s="1">
        <v>31747</v>
      </c>
      <c r="H244" s="11">
        <f t="shared" ca="1" si="29"/>
        <v>38</v>
      </c>
      <c r="I244" t="s">
        <v>624</v>
      </c>
      <c r="P244" s="1">
        <f t="shared" ca="1" si="30"/>
        <v>44855</v>
      </c>
      <c r="Q244">
        <f t="shared" ca="1" si="31"/>
        <v>36</v>
      </c>
      <c r="Y244">
        <v>1</v>
      </c>
      <c r="Z244" t="str">
        <f t="shared" ca="1" si="24"/>
        <v>13581</v>
      </c>
      <c r="AA244" t="str">
        <f t="shared" si="25"/>
        <v>Berlin</v>
      </c>
      <c r="AB244" t="str">
        <f t="shared" si="26"/>
        <v>Mozartgasse</v>
      </c>
      <c r="AC244" t="str" cm="1">
        <f t="array" ref="AC244">ErzeugeHausnummer()</f>
        <v>8</v>
      </c>
      <c r="AD244">
        <v>1</v>
      </c>
      <c r="AF244">
        <v>1</v>
      </c>
      <c r="AG244" s="6" t="str">
        <f t="shared" si="27"/>
        <v>030</v>
      </c>
      <c r="AH244" t="str">
        <f t="shared" ca="1" si="28"/>
        <v>87295772</v>
      </c>
      <c r="AI244">
        <v>1</v>
      </c>
      <c r="AK244">
        <v>2</v>
      </c>
      <c r="AN244">
        <v>1</v>
      </c>
      <c r="AU244">
        <v>1</v>
      </c>
    </row>
    <row r="245" spans="1:47" x14ac:dyDescent="0.45">
      <c r="A245">
        <v>243</v>
      </c>
      <c r="B245">
        <v>44</v>
      </c>
      <c r="C245">
        <v>227</v>
      </c>
      <c r="D245" s="3" t="s">
        <v>0</v>
      </c>
      <c r="E245" s="3" t="s">
        <v>552</v>
      </c>
      <c r="F245" s="3" t="s">
        <v>417</v>
      </c>
      <c r="G245" s="1">
        <v>32279</v>
      </c>
      <c r="H245" s="11">
        <f t="shared" ca="1" si="29"/>
        <v>36</v>
      </c>
      <c r="I245" t="s">
        <v>625</v>
      </c>
      <c r="J245" s="1">
        <v>46750</v>
      </c>
      <c r="P245" s="1">
        <f t="shared" ca="1" si="30"/>
        <v>39416</v>
      </c>
      <c r="Q245">
        <f t="shared" ca="1" si="31"/>
        <v>19</v>
      </c>
      <c r="Y245">
        <v>1</v>
      </c>
      <c r="Z245" t="str">
        <f t="shared" ca="1" si="24"/>
        <v>13581</v>
      </c>
      <c r="AA245" t="str">
        <f t="shared" si="25"/>
        <v>Berlin</v>
      </c>
      <c r="AB245" t="str">
        <f t="shared" si="26"/>
        <v>Quittenweg</v>
      </c>
      <c r="AC245" t="str" cm="1">
        <f t="array" ref="AC245">ErzeugeHausnummer()</f>
        <v>8</v>
      </c>
      <c r="AD245">
        <v>1</v>
      </c>
      <c r="AF245">
        <v>1</v>
      </c>
      <c r="AG245" s="6" t="str">
        <f t="shared" si="27"/>
        <v>030</v>
      </c>
      <c r="AH245" t="str">
        <f t="shared" ca="1" si="28"/>
        <v>98397623</v>
      </c>
      <c r="AI245">
        <v>1</v>
      </c>
      <c r="AK245">
        <v>2</v>
      </c>
      <c r="AN245">
        <v>1</v>
      </c>
      <c r="AU245">
        <v>1</v>
      </c>
    </row>
    <row r="246" spans="1:47" x14ac:dyDescent="0.45">
      <c r="A246">
        <v>244</v>
      </c>
      <c r="B246">
        <v>194</v>
      </c>
      <c r="C246">
        <v>232</v>
      </c>
      <c r="D246" s="3" t="s">
        <v>0</v>
      </c>
      <c r="E246" s="3" t="s">
        <v>362</v>
      </c>
      <c r="F246" s="3" t="s">
        <v>418</v>
      </c>
      <c r="G246" s="1">
        <v>19297</v>
      </c>
      <c r="H246" s="11">
        <f t="shared" ca="1" si="29"/>
        <v>71</v>
      </c>
      <c r="I246" t="s">
        <v>624</v>
      </c>
      <c r="P246" s="1">
        <f t="shared" ca="1" si="30"/>
        <v>28237</v>
      </c>
      <c r="Q246">
        <f t="shared" ca="1" si="31"/>
        <v>24</v>
      </c>
      <c r="R246" s="1">
        <f>DATE(IF(MONTH(G246)=12,YEAR(G246)+66,YEAR(G246)+65),IF(MONTH(G246)=12,1,MONTH(G246)+1),1)</f>
        <v>43040</v>
      </c>
      <c r="S246" t="s">
        <v>1022</v>
      </c>
      <c r="Y246">
        <v>1</v>
      </c>
      <c r="Z246" t="str">
        <f t="shared" ca="1" si="24"/>
        <v>14770</v>
      </c>
      <c r="AA246" t="str">
        <f t="shared" si="25"/>
        <v>Brandenburg an der Havel</v>
      </c>
      <c r="AB246" t="str">
        <f t="shared" si="26"/>
        <v>Ringallee</v>
      </c>
      <c r="AC246" t="str" cm="1">
        <f t="array" ref="AC246">ErzeugeHausnummer()</f>
        <v>25</v>
      </c>
      <c r="AD246">
        <v>1</v>
      </c>
      <c r="AF246">
        <v>1</v>
      </c>
      <c r="AG246" s="6" t="str">
        <f t="shared" si="27"/>
        <v>03381</v>
      </c>
      <c r="AH246" t="str">
        <f t="shared" ca="1" si="28"/>
        <v>45818</v>
      </c>
      <c r="AI246">
        <v>1</v>
      </c>
      <c r="AK246">
        <v>2</v>
      </c>
      <c r="AN246">
        <v>1</v>
      </c>
      <c r="AU246">
        <v>1</v>
      </c>
    </row>
    <row r="247" spans="1:47" x14ac:dyDescent="0.45">
      <c r="A247">
        <v>245</v>
      </c>
      <c r="B247">
        <v>123</v>
      </c>
      <c r="C247">
        <v>91</v>
      </c>
      <c r="D247" s="3" t="s">
        <v>3</v>
      </c>
      <c r="E247" s="3" t="s">
        <v>575</v>
      </c>
      <c r="F247" s="3" t="s">
        <v>419</v>
      </c>
      <c r="G247" s="1">
        <v>26987</v>
      </c>
      <c r="H247" s="11">
        <f t="shared" ca="1" si="29"/>
        <v>51</v>
      </c>
      <c r="I247" t="s">
        <v>626</v>
      </c>
      <c r="J247" s="1">
        <v>37880</v>
      </c>
      <c r="P247" s="1">
        <f t="shared" ca="1" si="30"/>
        <v>41830</v>
      </c>
      <c r="Q247">
        <f t="shared" ca="1" si="31"/>
        <v>40</v>
      </c>
      <c r="Y247">
        <v>1</v>
      </c>
      <c r="Z247" t="str">
        <f t="shared" ca="1" si="24"/>
        <v>14467</v>
      </c>
      <c r="AA247" t="str">
        <f t="shared" si="25"/>
        <v>Potsdam</v>
      </c>
      <c r="AB247" t="str">
        <f t="shared" si="26"/>
        <v>Friedrichstraße</v>
      </c>
      <c r="AC247" t="str" cm="1">
        <f t="array" ref="AC247">ErzeugeHausnummer()</f>
        <v>19</v>
      </c>
      <c r="AD247">
        <v>1</v>
      </c>
      <c r="AF247">
        <v>1</v>
      </c>
      <c r="AG247" s="6" t="str">
        <f t="shared" si="27"/>
        <v>0331</v>
      </c>
      <c r="AH247" t="str">
        <f t="shared" ca="1" si="28"/>
        <v>89560</v>
      </c>
      <c r="AI247">
        <v>1</v>
      </c>
      <c r="AK247">
        <v>2</v>
      </c>
      <c r="AN247">
        <v>1</v>
      </c>
      <c r="AU247">
        <v>1</v>
      </c>
    </row>
    <row r="248" spans="1:47" x14ac:dyDescent="0.45">
      <c r="A248">
        <v>246</v>
      </c>
      <c r="B248">
        <v>72</v>
      </c>
      <c r="C248">
        <v>38</v>
      </c>
      <c r="D248" s="3" t="s">
        <v>0</v>
      </c>
      <c r="E248" s="3" t="s">
        <v>576</v>
      </c>
      <c r="F248" s="3" t="s">
        <v>420</v>
      </c>
      <c r="G248" s="1">
        <v>22692</v>
      </c>
      <c r="H248" s="11">
        <f t="shared" ca="1" si="29"/>
        <v>62</v>
      </c>
      <c r="I248" t="s">
        <v>626</v>
      </c>
      <c r="J248" s="1">
        <v>31931</v>
      </c>
      <c r="P248" s="1">
        <f t="shared" ca="1" si="30"/>
        <v>38456</v>
      </c>
      <c r="Q248">
        <f t="shared" ca="1" si="31"/>
        <v>42</v>
      </c>
      <c r="Y248">
        <v>1</v>
      </c>
      <c r="Z248" t="str">
        <f t="shared" ca="1" si="24"/>
        <v>14050</v>
      </c>
      <c r="AA248" t="str">
        <f t="shared" si="25"/>
        <v>Berlin</v>
      </c>
      <c r="AB248" t="str">
        <f t="shared" si="26"/>
        <v>Bergweg</v>
      </c>
      <c r="AC248" t="str" cm="1">
        <f t="array" ref="AC248">ErzeugeHausnummer()</f>
        <v>27C</v>
      </c>
      <c r="AD248">
        <v>1</v>
      </c>
      <c r="AF248">
        <v>1</v>
      </c>
      <c r="AG248" s="6" t="str">
        <f t="shared" si="27"/>
        <v>030</v>
      </c>
      <c r="AH248" t="str">
        <f t="shared" ca="1" si="28"/>
        <v>67250024</v>
      </c>
      <c r="AI248">
        <v>1</v>
      </c>
      <c r="AK248">
        <v>2</v>
      </c>
      <c r="AN248">
        <v>1</v>
      </c>
      <c r="AU248">
        <v>1</v>
      </c>
    </row>
    <row r="249" spans="1:47" x14ac:dyDescent="0.45">
      <c r="A249">
        <v>247</v>
      </c>
      <c r="B249">
        <v>28</v>
      </c>
      <c r="C249">
        <v>231</v>
      </c>
      <c r="D249" s="3" t="s">
        <v>3</v>
      </c>
      <c r="E249" s="3" t="s">
        <v>577</v>
      </c>
      <c r="F249" s="3" t="s">
        <v>421</v>
      </c>
      <c r="G249" s="1">
        <v>32330</v>
      </c>
      <c r="H249" s="11">
        <f t="shared" ca="1" si="29"/>
        <v>36</v>
      </c>
      <c r="I249" t="s">
        <v>624</v>
      </c>
      <c r="P249" s="1">
        <f t="shared" ca="1" si="30"/>
        <v>47890</v>
      </c>
      <c r="Q249">
        <f t="shared" ca="1" si="31"/>
        <v>43</v>
      </c>
      <c r="Y249">
        <v>1</v>
      </c>
      <c r="Z249" t="str">
        <f t="shared" ca="1" si="24"/>
        <v>14052</v>
      </c>
      <c r="AA249" t="str">
        <f t="shared" si="25"/>
        <v>Berlin</v>
      </c>
      <c r="AB249" t="str">
        <f t="shared" si="26"/>
        <v>Richmondstraße</v>
      </c>
      <c r="AC249" t="str" cm="1">
        <f t="array" ref="AC249">ErzeugeHausnummer()</f>
        <v>82</v>
      </c>
      <c r="AD249">
        <v>1</v>
      </c>
      <c r="AF249">
        <v>1</v>
      </c>
      <c r="AG249" s="6" t="str">
        <f t="shared" si="27"/>
        <v>030</v>
      </c>
      <c r="AH249" t="str">
        <f t="shared" ca="1" si="28"/>
        <v>88125150</v>
      </c>
      <c r="AI249">
        <v>1</v>
      </c>
      <c r="AK249">
        <v>2</v>
      </c>
      <c r="AN249">
        <v>1</v>
      </c>
      <c r="AU249">
        <v>1</v>
      </c>
    </row>
    <row r="250" spans="1:47" x14ac:dyDescent="0.45">
      <c r="A250">
        <v>248</v>
      </c>
      <c r="B250">
        <v>76</v>
      </c>
      <c r="C250">
        <v>156</v>
      </c>
      <c r="D250" s="3" t="s">
        <v>0</v>
      </c>
      <c r="E250" s="3" t="s">
        <v>45</v>
      </c>
      <c r="F250" s="3" t="s">
        <v>422</v>
      </c>
      <c r="G250" s="1">
        <v>29485</v>
      </c>
      <c r="H250" s="11">
        <f t="shared" ca="1" si="29"/>
        <v>44</v>
      </c>
      <c r="I250" t="s">
        <v>626</v>
      </c>
      <c r="J250" s="1">
        <v>42608</v>
      </c>
      <c r="P250" s="1">
        <f t="shared" ca="1" si="30"/>
        <v>40477</v>
      </c>
      <c r="Q250">
        <f t="shared" ca="1" si="31"/>
        <v>30</v>
      </c>
      <c r="Y250">
        <v>1</v>
      </c>
      <c r="Z250" t="str">
        <f t="shared" ca="1" si="24"/>
        <v>14050</v>
      </c>
      <c r="AA250" t="str">
        <f t="shared" si="25"/>
        <v>Berlin</v>
      </c>
      <c r="AB250" t="str">
        <f t="shared" si="26"/>
        <v>Kolibriweg</v>
      </c>
      <c r="AC250" t="str" cm="1">
        <f t="array" ref="AC250">ErzeugeHausnummer()</f>
        <v>11A</v>
      </c>
      <c r="AD250">
        <v>1</v>
      </c>
      <c r="AF250">
        <v>1</v>
      </c>
      <c r="AG250" s="6" t="str">
        <f t="shared" si="27"/>
        <v>030</v>
      </c>
      <c r="AH250" t="str">
        <f t="shared" ca="1" si="28"/>
        <v>44270666</v>
      </c>
      <c r="AI250">
        <v>1</v>
      </c>
      <c r="AK250">
        <v>2</v>
      </c>
      <c r="AN250">
        <v>1</v>
      </c>
      <c r="AU250">
        <v>1</v>
      </c>
    </row>
    <row r="251" spans="1:47" x14ac:dyDescent="0.45">
      <c r="A251">
        <v>249</v>
      </c>
      <c r="B251">
        <v>93</v>
      </c>
      <c r="C251">
        <v>139</v>
      </c>
      <c r="D251" s="3" t="s">
        <v>0</v>
      </c>
      <c r="E251" s="3" t="s">
        <v>525</v>
      </c>
      <c r="F251" s="3" t="s">
        <v>423</v>
      </c>
      <c r="G251" s="1">
        <v>25690</v>
      </c>
      <c r="H251" s="11">
        <f t="shared" ca="1" si="29"/>
        <v>54</v>
      </c>
      <c r="I251" t="s">
        <v>625</v>
      </c>
      <c r="J251" s="1">
        <v>36462</v>
      </c>
      <c r="P251" s="1">
        <f t="shared" ca="1" si="30"/>
        <v>32313</v>
      </c>
      <c r="Q251">
        <f t="shared" ca="1" si="31"/>
        <v>18</v>
      </c>
      <c r="Y251">
        <v>1</v>
      </c>
      <c r="Z251" t="str">
        <f t="shared" ca="1" si="24"/>
        <v>12247</v>
      </c>
      <c r="AA251" t="str">
        <f t="shared" si="25"/>
        <v>Berlin</v>
      </c>
      <c r="AB251" t="str">
        <f t="shared" si="26"/>
        <v>Kaiserstraße</v>
      </c>
      <c r="AC251" t="str" cm="1">
        <f t="array" ref="AC251">ErzeugeHausnummer()</f>
        <v>3</v>
      </c>
      <c r="AD251">
        <v>1</v>
      </c>
      <c r="AF251">
        <v>1</v>
      </c>
      <c r="AG251" s="6" t="str">
        <f t="shared" si="27"/>
        <v>030</v>
      </c>
      <c r="AH251" t="str">
        <f t="shared" ca="1" si="28"/>
        <v>85026905</v>
      </c>
      <c r="AI251">
        <v>1</v>
      </c>
      <c r="AK251">
        <v>2</v>
      </c>
      <c r="AN251">
        <v>1</v>
      </c>
      <c r="AU251">
        <v>1</v>
      </c>
    </row>
    <row r="252" spans="1:47" x14ac:dyDescent="0.45">
      <c r="A252">
        <v>250</v>
      </c>
      <c r="B252">
        <v>179</v>
      </c>
      <c r="C252">
        <v>279</v>
      </c>
      <c r="D252" s="3" t="s">
        <v>0</v>
      </c>
      <c r="E252" s="3" t="s">
        <v>59</v>
      </c>
      <c r="F252" s="3" t="s">
        <v>424</v>
      </c>
      <c r="G252" s="1">
        <v>19322</v>
      </c>
      <c r="H252" s="11">
        <f t="shared" ca="1" si="29"/>
        <v>71</v>
      </c>
      <c r="I252" t="s">
        <v>627</v>
      </c>
      <c r="J252" s="1">
        <v>42137</v>
      </c>
      <c r="P252" s="1">
        <f t="shared" ca="1" si="30"/>
        <v>28221</v>
      </c>
      <c r="Q252">
        <f t="shared" ca="1" si="31"/>
        <v>24</v>
      </c>
      <c r="R252" s="1">
        <f>DATE(IF(MONTH(G252)=12,YEAR(G252)+66,YEAR(G252)+65),IF(MONTH(G252)=12,1,MONTH(G252)+1),1)</f>
        <v>43070</v>
      </c>
      <c r="S252" t="s">
        <v>1022</v>
      </c>
      <c r="Y252">
        <v>1</v>
      </c>
      <c r="Z252" t="str">
        <f t="shared" ca="1" si="24"/>
        <v>14778</v>
      </c>
      <c r="AA252" t="str">
        <f t="shared" si="25"/>
        <v>Beetzsee</v>
      </c>
      <c r="AB252" t="str">
        <f t="shared" si="26"/>
        <v>Theodor-Heuss-Allee</v>
      </c>
      <c r="AC252" t="str" cm="1">
        <f t="array" ref="AC252">ErzeugeHausnummer()</f>
        <v>8</v>
      </c>
      <c r="AD252">
        <v>1</v>
      </c>
      <c r="AF252">
        <v>1</v>
      </c>
      <c r="AG252" s="6" t="str">
        <f t="shared" si="27"/>
        <v>03381</v>
      </c>
      <c r="AH252" t="str">
        <f t="shared" ca="1" si="28"/>
        <v>66762</v>
      </c>
      <c r="AI252">
        <v>1</v>
      </c>
      <c r="AK252">
        <v>2</v>
      </c>
      <c r="AN252">
        <v>1</v>
      </c>
      <c r="AU252">
        <v>1</v>
      </c>
    </row>
    <row r="253" spans="1:47" x14ac:dyDescent="0.45">
      <c r="A253">
        <v>251</v>
      </c>
      <c r="B253">
        <v>33</v>
      </c>
      <c r="C253">
        <v>233</v>
      </c>
      <c r="D253" s="3" t="s">
        <v>0</v>
      </c>
      <c r="E253" s="3" t="s">
        <v>491</v>
      </c>
      <c r="F253" s="3" t="s">
        <v>425</v>
      </c>
      <c r="G253" s="1">
        <v>31077</v>
      </c>
      <c r="H253" s="11">
        <f t="shared" ca="1" si="29"/>
        <v>38</v>
      </c>
      <c r="I253" t="s">
        <v>624</v>
      </c>
      <c r="P253" s="1">
        <f t="shared" ca="1" si="30"/>
        <v>43731</v>
      </c>
      <c r="Q253">
        <f t="shared" ca="1" si="31"/>
        <v>33</v>
      </c>
      <c r="Y253">
        <v>1</v>
      </c>
      <c r="Z253" t="str">
        <f t="shared" ca="1" si="24"/>
        <v>13581</v>
      </c>
      <c r="AA253" t="str">
        <f t="shared" si="25"/>
        <v>Berlin</v>
      </c>
      <c r="AB253" t="str">
        <f t="shared" si="26"/>
        <v>Ringstraße</v>
      </c>
      <c r="AC253" t="str" cm="1">
        <f t="array" ref="AC253">ErzeugeHausnummer()</f>
        <v>1</v>
      </c>
      <c r="AD253">
        <v>1</v>
      </c>
      <c r="AF253">
        <v>1</v>
      </c>
      <c r="AG253" s="6" t="str">
        <f t="shared" si="27"/>
        <v>030</v>
      </c>
      <c r="AH253" t="str">
        <f t="shared" ca="1" si="28"/>
        <v>97986103</v>
      </c>
      <c r="AI253">
        <v>1</v>
      </c>
      <c r="AK253">
        <v>2</v>
      </c>
      <c r="AN253">
        <v>1</v>
      </c>
      <c r="AU253">
        <v>1</v>
      </c>
    </row>
    <row r="254" spans="1:47" x14ac:dyDescent="0.45">
      <c r="A254">
        <v>252</v>
      </c>
      <c r="B254">
        <v>40</v>
      </c>
      <c r="C254">
        <v>6</v>
      </c>
      <c r="D254" s="3" t="s">
        <v>0</v>
      </c>
      <c r="E254" s="3" t="s">
        <v>578</v>
      </c>
      <c r="F254" s="3" t="s">
        <v>426</v>
      </c>
      <c r="G254" s="1">
        <v>28537</v>
      </c>
      <c r="H254" s="11">
        <f t="shared" ca="1" si="29"/>
        <v>46</v>
      </c>
      <c r="I254" t="s">
        <v>626</v>
      </c>
      <c r="J254" s="1">
        <v>43045</v>
      </c>
      <c r="P254" s="1">
        <f t="shared" ca="1" si="30"/>
        <v>46693</v>
      </c>
      <c r="Q254">
        <f t="shared" ca="1" si="31"/>
        <v>48</v>
      </c>
      <c r="Y254">
        <v>1</v>
      </c>
      <c r="Z254" t="str">
        <f t="shared" ca="1" si="24"/>
        <v>13581</v>
      </c>
      <c r="AA254" t="str">
        <f t="shared" si="25"/>
        <v>Berlin</v>
      </c>
      <c r="AB254" t="str">
        <f t="shared" si="26"/>
        <v>Allee</v>
      </c>
      <c r="AC254" t="str" cm="1">
        <f t="array" ref="AC254">ErzeugeHausnummer()</f>
        <v>25</v>
      </c>
      <c r="AD254">
        <v>1</v>
      </c>
      <c r="AF254">
        <v>1</v>
      </c>
      <c r="AG254" s="6" t="str">
        <f t="shared" si="27"/>
        <v>030</v>
      </c>
      <c r="AH254" t="str">
        <f t="shared" ca="1" si="28"/>
        <v>56944992</v>
      </c>
      <c r="AI254">
        <v>1</v>
      </c>
      <c r="AK254">
        <v>2</v>
      </c>
      <c r="AN254">
        <v>1</v>
      </c>
      <c r="AU254">
        <v>1</v>
      </c>
    </row>
    <row r="255" spans="1:47" x14ac:dyDescent="0.45">
      <c r="A255">
        <v>253</v>
      </c>
      <c r="B255">
        <v>109</v>
      </c>
      <c r="C255">
        <v>139</v>
      </c>
      <c r="D255" s="3" t="s">
        <v>0</v>
      </c>
      <c r="E255" s="3" t="s">
        <v>579</v>
      </c>
      <c r="F255" s="3" t="s">
        <v>395</v>
      </c>
      <c r="G255" s="1">
        <v>36530</v>
      </c>
      <c r="H255" s="11">
        <f t="shared" ca="1" si="29"/>
        <v>24</v>
      </c>
      <c r="I255" t="s">
        <v>624</v>
      </c>
      <c r="P255" s="1">
        <f t="shared" ca="1" si="30"/>
        <v>50699</v>
      </c>
      <c r="Q255">
        <f t="shared" ca="1" si="31"/>
        <v>38</v>
      </c>
      <c r="Y255">
        <v>1</v>
      </c>
      <c r="Z255" t="str">
        <f t="shared" ca="1" si="24"/>
        <v>12679</v>
      </c>
      <c r="AA255" t="str">
        <f t="shared" si="25"/>
        <v>Berlin</v>
      </c>
      <c r="AB255" t="str">
        <f t="shared" si="26"/>
        <v>Kaiserstraße</v>
      </c>
      <c r="AC255" t="str" cm="1">
        <f t="array" ref="AC255">ErzeugeHausnummer()</f>
        <v>27</v>
      </c>
      <c r="AD255">
        <v>1</v>
      </c>
      <c r="AF255">
        <v>1</v>
      </c>
      <c r="AG255" s="6" t="str">
        <f t="shared" si="27"/>
        <v>030</v>
      </c>
      <c r="AH255" t="str">
        <f t="shared" ca="1" si="28"/>
        <v>57306334</v>
      </c>
      <c r="AI255">
        <v>1</v>
      </c>
      <c r="AK255">
        <v>2</v>
      </c>
      <c r="AN255">
        <v>1</v>
      </c>
      <c r="AU255">
        <v>1</v>
      </c>
    </row>
    <row r="256" spans="1:47" x14ac:dyDescent="0.45">
      <c r="A256">
        <v>254</v>
      </c>
      <c r="B256">
        <v>10</v>
      </c>
      <c r="C256">
        <v>254</v>
      </c>
      <c r="D256" s="3" t="s">
        <v>3</v>
      </c>
      <c r="E256" s="3" t="s">
        <v>580</v>
      </c>
      <c r="F256" s="3" t="s">
        <v>427</v>
      </c>
      <c r="G256" s="1">
        <v>19435</v>
      </c>
      <c r="H256" s="11">
        <f t="shared" ca="1" si="29"/>
        <v>71</v>
      </c>
      <c r="I256" t="s">
        <v>627</v>
      </c>
      <c r="J256" s="1">
        <v>41531</v>
      </c>
      <c r="P256" s="1">
        <f t="shared" ca="1" si="30"/>
        <v>31037</v>
      </c>
      <c r="Q256">
        <f t="shared" ca="1" si="31"/>
        <v>31</v>
      </c>
      <c r="R256" s="1">
        <f>DATE(IF(MONTH(G256)=12,YEAR(G256)+66,YEAR(G256)+65),IF(MONTH(G256)=12,1,MONTH(G256)+1),1)</f>
        <v>43191</v>
      </c>
      <c r="S256" t="s">
        <v>1022</v>
      </c>
      <c r="Y256">
        <v>1</v>
      </c>
      <c r="Z256" t="str">
        <f t="shared" ca="1" si="24"/>
        <v>10405</v>
      </c>
      <c r="AA256" t="str">
        <f t="shared" si="25"/>
        <v>Berlin</v>
      </c>
      <c r="AB256" t="str">
        <f t="shared" si="26"/>
        <v>Schubertstraße</v>
      </c>
      <c r="AC256" t="str" cm="1">
        <f t="array" ref="AC256">ErzeugeHausnummer()</f>
        <v>23</v>
      </c>
      <c r="AD256">
        <v>1</v>
      </c>
      <c r="AF256">
        <v>1</v>
      </c>
      <c r="AG256" s="6" t="str">
        <f t="shared" si="27"/>
        <v>030</v>
      </c>
      <c r="AH256" t="str">
        <f t="shared" ca="1" si="28"/>
        <v>66535220</v>
      </c>
      <c r="AI256">
        <v>1</v>
      </c>
      <c r="AK256">
        <v>2</v>
      </c>
      <c r="AN256">
        <v>1</v>
      </c>
      <c r="AU256">
        <v>1</v>
      </c>
    </row>
    <row r="257" spans="1:47" x14ac:dyDescent="0.45">
      <c r="A257">
        <v>255</v>
      </c>
      <c r="B257">
        <v>140</v>
      </c>
      <c r="C257">
        <v>31</v>
      </c>
      <c r="D257" s="3" t="s">
        <v>3</v>
      </c>
      <c r="E257" s="3" t="s">
        <v>467</v>
      </c>
      <c r="F257" s="3" t="s">
        <v>428</v>
      </c>
      <c r="G257" s="1">
        <v>28659</v>
      </c>
      <c r="H257" s="11">
        <f t="shared" ca="1" si="29"/>
        <v>46</v>
      </c>
      <c r="I257" t="s">
        <v>625</v>
      </c>
      <c r="J257" s="1">
        <v>41138</v>
      </c>
      <c r="P257" s="1">
        <f t="shared" ca="1" si="30"/>
        <v>39389</v>
      </c>
      <c r="Q257">
        <f t="shared" ca="1" si="31"/>
        <v>28</v>
      </c>
      <c r="Y257">
        <v>1</v>
      </c>
      <c r="Z257" t="str">
        <f t="shared" ca="1" si="24"/>
        <v>14822</v>
      </c>
      <c r="AA257" t="str">
        <f t="shared" si="25"/>
        <v>Brück</v>
      </c>
      <c r="AB257" t="str">
        <f t="shared" si="26"/>
        <v>Bahnhofsweg</v>
      </c>
      <c r="AC257" t="str" cm="1">
        <f t="array" ref="AC257">ErzeugeHausnummer()</f>
        <v>15</v>
      </c>
      <c r="AD257">
        <v>1</v>
      </c>
      <c r="AF257">
        <v>1</v>
      </c>
      <c r="AG257" s="6" t="str">
        <f t="shared" si="27"/>
        <v>033844</v>
      </c>
      <c r="AH257" t="str">
        <f t="shared" ca="1" si="28"/>
        <v>6711</v>
      </c>
      <c r="AI257">
        <v>1</v>
      </c>
      <c r="AK257">
        <v>2</v>
      </c>
      <c r="AN257">
        <v>1</v>
      </c>
      <c r="AU257">
        <v>1</v>
      </c>
    </row>
    <row r="258" spans="1:47" x14ac:dyDescent="0.45">
      <c r="A258">
        <v>256</v>
      </c>
      <c r="B258">
        <v>177</v>
      </c>
      <c r="C258">
        <v>258</v>
      </c>
      <c r="D258" s="3" t="s">
        <v>0</v>
      </c>
      <c r="E258" s="3" t="s">
        <v>581</v>
      </c>
      <c r="F258" s="3" t="s">
        <v>429</v>
      </c>
      <c r="G258" s="1">
        <v>38057</v>
      </c>
      <c r="H258" s="11">
        <f t="shared" ca="1" si="29"/>
        <v>20</v>
      </c>
      <c r="I258" t="s">
        <v>624</v>
      </c>
      <c r="P258" s="1">
        <f t="shared" ca="1" si="30"/>
        <v>51253</v>
      </c>
      <c r="Q258">
        <f t="shared" ca="1" si="31"/>
        <v>36</v>
      </c>
      <c r="Y258">
        <v>1</v>
      </c>
      <c r="Z258" t="str">
        <f t="shared" ca="1" si="24"/>
        <v>14554</v>
      </c>
      <c r="AA258" t="str">
        <f t="shared" si="25"/>
        <v>Seddiner See</v>
      </c>
      <c r="AB258" t="str">
        <f t="shared" si="26"/>
        <v>Schulweg</v>
      </c>
      <c r="AC258" t="str" cm="1">
        <f t="array" ref="AC258">ErzeugeHausnummer()</f>
        <v>20</v>
      </c>
      <c r="AD258">
        <v>1</v>
      </c>
      <c r="AF258">
        <v>1</v>
      </c>
      <c r="AG258" s="6" t="str">
        <f t="shared" si="27"/>
        <v>033205</v>
      </c>
      <c r="AH258" t="str">
        <f t="shared" ca="1" si="28"/>
        <v>5395</v>
      </c>
      <c r="AI258">
        <v>1</v>
      </c>
      <c r="AK258">
        <v>2</v>
      </c>
      <c r="AN258">
        <v>1</v>
      </c>
      <c r="AU258">
        <v>1</v>
      </c>
    </row>
    <row r="259" spans="1:47" x14ac:dyDescent="0.45">
      <c r="A259">
        <v>257</v>
      </c>
      <c r="B259">
        <v>105</v>
      </c>
      <c r="C259">
        <v>240</v>
      </c>
      <c r="D259" s="3" t="s">
        <v>0</v>
      </c>
      <c r="E259" s="3" t="s">
        <v>582</v>
      </c>
      <c r="F259" s="3" t="s">
        <v>430</v>
      </c>
      <c r="G259" s="1">
        <v>21569</v>
      </c>
      <c r="H259" s="11">
        <f t="shared" ca="1" si="29"/>
        <v>65</v>
      </c>
      <c r="I259" t="s">
        <v>626</v>
      </c>
      <c r="J259" s="1">
        <v>33130</v>
      </c>
      <c r="P259" s="1">
        <f t="shared" ca="1" si="30"/>
        <v>37167</v>
      </c>
      <c r="Q259">
        <f t="shared" ca="1" si="31"/>
        <v>41</v>
      </c>
      <c r="Y259">
        <v>1</v>
      </c>
      <c r="Z259" t="str">
        <f t="shared" ref="Z259:Z307" ca="1" si="32">TEXT(INT(RAND() * (VLOOKUP(B259,Adressen_Zufall,5,TRUE) - VLOOKUP(B259,Adressen_Zufall,5,TRUE)  + 1) + VLOOKUP(B259,Adressen_Zufall,5,TRUE) ),"0")</f>
        <v>12524</v>
      </c>
      <c r="AA259" t="str">
        <f t="shared" ref="AA259:AA307" si="33">VLOOKUP(B259,Adressen_Zufall,3,TRUE)</f>
        <v>Berlin</v>
      </c>
      <c r="AB259" t="str">
        <f t="shared" ref="AB259:AB307" si="34">VLOOKUP(C259,Strassen_Zufall,2,TRUE)</f>
        <v>Rosenweg</v>
      </c>
      <c r="AC259" t="str" cm="1">
        <f t="array" ref="AC259">ErzeugeHausnummer()</f>
        <v>1</v>
      </c>
      <c r="AD259">
        <v>1</v>
      </c>
      <c r="AF259">
        <v>1</v>
      </c>
      <c r="AG259" s="6" t="str">
        <f t="shared" ref="AG259:AG307" si="35">VLOOKUP(B259,Adressen_Zufall,7,TRUE)</f>
        <v>030</v>
      </c>
      <c r="AH259" t="str">
        <f t="shared" ref="AH259:AH307" ca="1" si="36">LEFT(TEXT(INT(RANDBETWEEN(4,9)) &amp; RANDBETWEEN(100000000000,999999999999), "0"),VLOOKUP(B259,Adressen_Zufall,8,TRUE)-LEN(VLOOKUP(B259,Adressen_Zufall,7,TRUE)))</f>
        <v>58353504</v>
      </c>
      <c r="AI259">
        <v>1</v>
      </c>
      <c r="AK259">
        <v>2</v>
      </c>
      <c r="AN259">
        <v>1</v>
      </c>
      <c r="AU259">
        <v>1</v>
      </c>
    </row>
    <row r="260" spans="1:47" x14ac:dyDescent="0.45">
      <c r="A260">
        <v>258</v>
      </c>
      <c r="B260">
        <v>92</v>
      </c>
      <c r="C260">
        <v>147</v>
      </c>
      <c r="D260" s="3" t="s">
        <v>0</v>
      </c>
      <c r="E260" s="3" t="s">
        <v>583</v>
      </c>
      <c r="F260" s="3" t="s">
        <v>431</v>
      </c>
      <c r="G260" s="1">
        <v>38321</v>
      </c>
      <c r="H260" s="11">
        <f t="shared" ref="H260:H307" ca="1" si="37">YEAR(TODAY())-YEAR(G260) - (DAY(TODAY()) &lt; DAY(G260))</f>
        <v>19</v>
      </c>
      <c r="I260" t="s">
        <v>624</v>
      </c>
      <c r="P260" s="1">
        <f t="shared" ref="P260:P307" ca="1" si="38">G260 + ROUND(RAND()*(50*365-18*365) + 18*365, 0)</f>
        <v>55921</v>
      </c>
      <c r="Q260">
        <f t="shared" ca="1" si="31"/>
        <v>48</v>
      </c>
      <c r="Y260">
        <v>1</v>
      </c>
      <c r="Z260" t="str">
        <f t="shared" ca="1" si="32"/>
        <v>12247</v>
      </c>
      <c r="AA260" t="str">
        <f t="shared" si="33"/>
        <v>Berlin</v>
      </c>
      <c r="AB260" t="str">
        <f t="shared" si="34"/>
        <v>Kastanienweg</v>
      </c>
      <c r="AC260" t="str" cm="1">
        <f t="array" ref="AC260">ErzeugeHausnummer()</f>
        <v>21</v>
      </c>
      <c r="AD260">
        <v>1</v>
      </c>
      <c r="AF260">
        <v>1</v>
      </c>
      <c r="AG260" s="6" t="str">
        <f t="shared" si="35"/>
        <v>030</v>
      </c>
      <c r="AH260" t="str">
        <f t="shared" ca="1" si="36"/>
        <v>92857998</v>
      </c>
      <c r="AI260">
        <v>1</v>
      </c>
      <c r="AK260">
        <v>2</v>
      </c>
      <c r="AN260">
        <v>1</v>
      </c>
      <c r="AU260">
        <v>1</v>
      </c>
    </row>
    <row r="261" spans="1:47" x14ac:dyDescent="0.45">
      <c r="A261">
        <v>259</v>
      </c>
      <c r="B261">
        <v>158</v>
      </c>
      <c r="C261">
        <v>61</v>
      </c>
      <c r="D261" s="3" t="s">
        <v>0</v>
      </c>
      <c r="E261" s="3" t="s">
        <v>584</v>
      </c>
      <c r="F261" s="3" t="s">
        <v>29</v>
      </c>
      <c r="G261" s="1">
        <v>31522</v>
      </c>
      <c r="H261" s="11">
        <f t="shared" ca="1" si="37"/>
        <v>38</v>
      </c>
      <c r="I261" t="s">
        <v>625</v>
      </c>
      <c r="J261" s="1">
        <v>45333</v>
      </c>
      <c r="P261" s="1">
        <f t="shared" ca="1" si="38"/>
        <v>46925</v>
      </c>
      <c r="Q261">
        <f t="shared" ref="Q261:Q307" ca="1" si="39">YEAR(P261)-YEAR(G261) - (DAY(P261) &lt; DAY(G261))</f>
        <v>42</v>
      </c>
      <c r="Y261">
        <v>1</v>
      </c>
      <c r="Z261" t="str">
        <f t="shared" ca="1" si="32"/>
        <v>14621</v>
      </c>
      <c r="AA261" t="str">
        <f t="shared" si="33"/>
        <v>Schönwalde</v>
      </c>
      <c r="AB261" t="str">
        <f t="shared" si="34"/>
        <v>Columbusweg</v>
      </c>
      <c r="AC261" t="str" cm="1">
        <f t="array" ref="AC261">ErzeugeHausnummer()</f>
        <v>9D/E</v>
      </c>
      <c r="AD261">
        <v>1</v>
      </c>
      <c r="AF261">
        <v>1</v>
      </c>
      <c r="AG261" s="6" t="str">
        <f t="shared" si="35"/>
        <v>03322</v>
      </c>
      <c r="AH261" t="str">
        <f t="shared" ca="1" si="36"/>
        <v>84874</v>
      </c>
      <c r="AI261">
        <v>1</v>
      </c>
      <c r="AK261">
        <v>2</v>
      </c>
      <c r="AN261">
        <v>1</v>
      </c>
      <c r="AU261">
        <v>1</v>
      </c>
    </row>
    <row r="262" spans="1:47" x14ac:dyDescent="0.45">
      <c r="A262">
        <v>260</v>
      </c>
      <c r="B262">
        <v>35</v>
      </c>
      <c r="C262">
        <v>78</v>
      </c>
      <c r="D262" s="3" t="s">
        <v>3</v>
      </c>
      <c r="E262" s="3" t="s">
        <v>553</v>
      </c>
      <c r="F262" s="3" t="s">
        <v>432</v>
      </c>
      <c r="G262" s="1">
        <v>21671</v>
      </c>
      <c r="H262" s="11">
        <f t="shared" ca="1" si="37"/>
        <v>65</v>
      </c>
      <c r="I262" t="s">
        <v>626</v>
      </c>
      <c r="J262" s="1">
        <v>30742</v>
      </c>
      <c r="P262" s="1">
        <f t="shared" ca="1" si="38"/>
        <v>32864</v>
      </c>
      <c r="Q262">
        <f t="shared" ca="1" si="39"/>
        <v>30</v>
      </c>
      <c r="Y262">
        <v>1</v>
      </c>
      <c r="Z262" t="str">
        <f t="shared" ca="1" si="32"/>
        <v>13581</v>
      </c>
      <c r="AA262" t="str">
        <f t="shared" si="33"/>
        <v>Berlin</v>
      </c>
      <c r="AB262" t="str">
        <f t="shared" si="34"/>
        <v>Fasanenstraße</v>
      </c>
      <c r="AC262" t="str" cm="1">
        <f t="array" ref="AC262">ErzeugeHausnummer()</f>
        <v>48B/C</v>
      </c>
      <c r="AD262">
        <v>1</v>
      </c>
      <c r="AF262">
        <v>1</v>
      </c>
      <c r="AG262" s="6" t="str">
        <f t="shared" si="35"/>
        <v>030</v>
      </c>
      <c r="AH262" t="str">
        <f t="shared" ca="1" si="36"/>
        <v>52403034</v>
      </c>
      <c r="AI262">
        <v>1</v>
      </c>
      <c r="AK262">
        <v>2</v>
      </c>
      <c r="AN262">
        <v>1</v>
      </c>
      <c r="AU262">
        <v>1</v>
      </c>
    </row>
    <row r="263" spans="1:47" x14ac:dyDescent="0.45">
      <c r="A263">
        <v>261</v>
      </c>
      <c r="B263">
        <v>167</v>
      </c>
      <c r="C263">
        <v>199</v>
      </c>
      <c r="D263" s="3" t="s">
        <v>0</v>
      </c>
      <c r="E263" s="3" t="s">
        <v>585</v>
      </c>
      <c r="F263" s="3" t="s">
        <v>433</v>
      </c>
      <c r="G263" s="1">
        <v>36449</v>
      </c>
      <c r="H263" s="11">
        <f t="shared" ca="1" si="37"/>
        <v>25</v>
      </c>
      <c r="I263" t="s">
        <v>624</v>
      </c>
      <c r="P263" s="1">
        <f t="shared" ca="1" si="38"/>
        <v>50446</v>
      </c>
      <c r="Q263">
        <f t="shared" ca="1" si="39"/>
        <v>38</v>
      </c>
      <c r="Y263">
        <v>1</v>
      </c>
      <c r="Z263" t="str">
        <f t="shared" ca="1" si="32"/>
        <v>14621</v>
      </c>
      <c r="AA263" t="str">
        <f t="shared" si="33"/>
        <v>Paaren im Glien</v>
      </c>
      <c r="AB263" t="str">
        <f t="shared" si="34"/>
        <v>Nairobiweg</v>
      </c>
      <c r="AC263" t="str" cm="1">
        <f t="array" ref="AC263">ErzeugeHausnummer()</f>
        <v>19F/G</v>
      </c>
      <c r="AD263">
        <v>1</v>
      </c>
      <c r="AF263">
        <v>1</v>
      </c>
      <c r="AG263" s="6" t="str">
        <f t="shared" si="35"/>
        <v>033230</v>
      </c>
      <c r="AH263" t="str">
        <f t="shared" ca="1" si="36"/>
        <v>7143</v>
      </c>
      <c r="AI263">
        <v>1</v>
      </c>
      <c r="AK263">
        <v>2</v>
      </c>
      <c r="AN263">
        <v>1</v>
      </c>
      <c r="AU263">
        <v>1</v>
      </c>
    </row>
    <row r="264" spans="1:47" x14ac:dyDescent="0.45">
      <c r="A264">
        <v>262</v>
      </c>
      <c r="B264">
        <v>151</v>
      </c>
      <c r="C264">
        <v>197</v>
      </c>
      <c r="D264" s="3" t="s">
        <v>0</v>
      </c>
      <c r="E264" s="3" t="s">
        <v>512</v>
      </c>
      <c r="F264" s="3" t="s">
        <v>5</v>
      </c>
      <c r="G264" s="1">
        <v>29655</v>
      </c>
      <c r="H264" s="11">
        <f t="shared" ca="1" si="37"/>
        <v>43</v>
      </c>
      <c r="I264" t="s">
        <v>626</v>
      </c>
      <c r="J264" s="1">
        <v>43651</v>
      </c>
      <c r="P264" s="1">
        <f t="shared" ca="1" si="38"/>
        <v>42491</v>
      </c>
      <c r="Q264">
        <f t="shared" ca="1" si="39"/>
        <v>34</v>
      </c>
      <c r="Y264">
        <v>1</v>
      </c>
      <c r="Z264" t="str">
        <f t="shared" ca="1" si="32"/>
        <v>14542</v>
      </c>
      <c r="AA264" t="str">
        <f t="shared" si="33"/>
        <v>Werder</v>
      </c>
      <c r="AB264" t="str">
        <f t="shared" si="34"/>
        <v>Mühlenweg</v>
      </c>
      <c r="AC264" t="str" cm="1">
        <f t="array" ref="AC264">ErzeugeHausnummer()</f>
        <v>21</v>
      </c>
      <c r="AD264">
        <v>1</v>
      </c>
      <c r="AF264">
        <v>1</v>
      </c>
      <c r="AG264" s="6" t="str">
        <f t="shared" si="35"/>
        <v>033202</v>
      </c>
      <c r="AH264" t="str">
        <f t="shared" ca="1" si="36"/>
        <v>4490</v>
      </c>
      <c r="AI264">
        <v>1</v>
      </c>
      <c r="AK264">
        <v>2</v>
      </c>
      <c r="AN264">
        <v>1</v>
      </c>
      <c r="AU264">
        <v>1</v>
      </c>
    </row>
    <row r="265" spans="1:47" x14ac:dyDescent="0.45">
      <c r="A265">
        <v>263</v>
      </c>
      <c r="B265">
        <v>118</v>
      </c>
      <c r="C265">
        <v>164</v>
      </c>
      <c r="D265" s="3" t="s">
        <v>3</v>
      </c>
      <c r="E265" s="3" t="s">
        <v>586</v>
      </c>
      <c r="F265" s="3" t="s">
        <v>434</v>
      </c>
      <c r="G265" s="1">
        <v>37271</v>
      </c>
      <c r="H265" s="11">
        <f t="shared" ca="1" si="37"/>
        <v>22</v>
      </c>
      <c r="I265" t="s">
        <v>624</v>
      </c>
      <c r="P265" s="1">
        <f t="shared" ca="1" si="38"/>
        <v>54375</v>
      </c>
      <c r="Q265">
        <f t="shared" ca="1" si="39"/>
        <v>45</v>
      </c>
      <c r="Y265">
        <v>1</v>
      </c>
      <c r="Z265" t="str">
        <f t="shared" ca="1" si="32"/>
        <v>13435</v>
      </c>
      <c r="AA265" t="str">
        <f t="shared" si="33"/>
        <v>Berlin</v>
      </c>
      <c r="AB265" t="str">
        <f t="shared" si="34"/>
        <v>Limastraße</v>
      </c>
      <c r="AC265" t="str" cm="1">
        <f t="array" ref="AC265">ErzeugeHausnummer()</f>
        <v>15C/D</v>
      </c>
      <c r="AD265">
        <v>1</v>
      </c>
      <c r="AF265">
        <v>1</v>
      </c>
      <c r="AG265" s="6" t="str">
        <f t="shared" si="35"/>
        <v>030</v>
      </c>
      <c r="AH265" t="str">
        <f t="shared" ca="1" si="36"/>
        <v>47684578</v>
      </c>
      <c r="AI265">
        <v>1</v>
      </c>
      <c r="AK265">
        <v>2</v>
      </c>
      <c r="AN265">
        <v>1</v>
      </c>
      <c r="AU265">
        <v>1</v>
      </c>
    </row>
    <row r="266" spans="1:47" x14ac:dyDescent="0.45">
      <c r="A266">
        <v>264</v>
      </c>
      <c r="B266">
        <v>167</v>
      </c>
      <c r="C266">
        <v>293</v>
      </c>
      <c r="D266" s="3" t="s">
        <v>0</v>
      </c>
      <c r="E266" s="3" t="s">
        <v>587</v>
      </c>
      <c r="F266" s="3" t="s">
        <v>435</v>
      </c>
      <c r="G266" s="1">
        <v>27318</v>
      </c>
      <c r="H266" s="11">
        <f t="shared" ca="1" si="37"/>
        <v>50</v>
      </c>
      <c r="I266" t="s">
        <v>626</v>
      </c>
      <c r="J266" s="1">
        <v>40118</v>
      </c>
      <c r="P266" s="1">
        <f t="shared" ca="1" si="38"/>
        <v>38047</v>
      </c>
      <c r="Q266">
        <f t="shared" ca="1" si="39"/>
        <v>29</v>
      </c>
      <c r="Y266">
        <v>1</v>
      </c>
      <c r="Z266" t="str">
        <f t="shared" ca="1" si="32"/>
        <v>14621</v>
      </c>
      <c r="AA266" t="str">
        <f t="shared" si="33"/>
        <v>Paaren im Glien</v>
      </c>
      <c r="AB266" t="str">
        <f t="shared" si="34"/>
        <v>Weidengasse</v>
      </c>
      <c r="AC266" t="str" cm="1">
        <f t="array" ref="AC266">ErzeugeHausnummer()</f>
        <v>15B</v>
      </c>
      <c r="AD266">
        <v>1</v>
      </c>
      <c r="AF266">
        <v>1</v>
      </c>
      <c r="AG266" s="6" t="str">
        <f t="shared" si="35"/>
        <v>033230</v>
      </c>
      <c r="AH266" t="str">
        <f t="shared" ca="1" si="36"/>
        <v>6845</v>
      </c>
      <c r="AI266">
        <v>1</v>
      </c>
      <c r="AK266">
        <v>2</v>
      </c>
      <c r="AN266">
        <v>1</v>
      </c>
      <c r="AU266">
        <v>1</v>
      </c>
    </row>
    <row r="267" spans="1:47" x14ac:dyDescent="0.45">
      <c r="A267">
        <v>265</v>
      </c>
      <c r="B267">
        <v>21</v>
      </c>
      <c r="C267">
        <v>240</v>
      </c>
      <c r="D267" s="3" t="s">
        <v>3</v>
      </c>
      <c r="E267" s="3" t="s">
        <v>588</v>
      </c>
      <c r="F267" s="3" t="s">
        <v>436</v>
      </c>
      <c r="G267" s="1">
        <v>26106</v>
      </c>
      <c r="H267" s="11">
        <f t="shared" ca="1" si="37"/>
        <v>53</v>
      </c>
      <c r="I267" t="s">
        <v>626</v>
      </c>
      <c r="J267" s="1">
        <v>36674</v>
      </c>
      <c r="P267" s="1">
        <f t="shared" ca="1" si="38"/>
        <v>34584</v>
      </c>
      <c r="Q267">
        <f t="shared" ca="1" si="39"/>
        <v>22</v>
      </c>
      <c r="Y267">
        <v>1</v>
      </c>
      <c r="Z267" t="str">
        <f t="shared" ca="1" si="32"/>
        <v>10623</v>
      </c>
      <c r="AA267" t="str">
        <f t="shared" si="33"/>
        <v>Berlin</v>
      </c>
      <c r="AB267" t="str">
        <f t="shared" si="34"/>
        <v>Rosenweg</v>
      </c>
      <c r="AC267" t="str" cm="1">
        <f t="array" ref="AC267">ErzeugeHausnummer()</f>
        <v>4F</v>
      </c>
      <c r="AD267">
        <v>1</v>
      </c>
      <c r="AF267">
        <v>1</v>
      </c>
      <c r="AG267" s="6" t="str">
        <f t="shared" si="35"/>
        <v>030</v>
      </c>
      <c r="AH267" t="str">
        <f t="shared" ca="1" si="36"/>
        <v>47205256</v>
      </c>
      <c r="AI267">
        <v>1</v>
      </c>
      <c r="AK267">
        <v>2</v>
      </c>
      <c r="AN267">
        <v>1</v>
      </c>
      <c r="AU267">
        <v>1</v>
      </c>
    </row>
    <row r="268" spans="1:47" x14ac:dyDescent="0.45">
      <c r="A268">
        <v>266</v>
      </c>
      <c r="B268">
        <v>19</v>
      </c>
      <c r="C268">
        <v>236</v>
      </c>
      <c r="D268" s="3" t="s">
        <v>3</v>
      </c>
      <c r="E268" s="3" t="s">
        <v>589</v>
      </c>
      <c r="F268" s="3" t="s">
        <v>437</v>
      </c>
      <c r="G268" s="1">
        <v>25859</v>
      </c>
      <c r="H268" s="11">
        <f t="shared" ca="1" si="37"/>
        <v>54</v>
      </c>
      <c r="I268" t="s">
        <v>626</v>
      </c>
      <c r="J268" s="1">
        <v>38532</v>
      </c>
      <c r="P268" s="1">
        <f t="shared" ca="1" si="38"/>
        <v>36381</v>
      </c>
      <c r="Q268">
        <f t="shared" ca="1" si="39"/>
        <v>28</v>
      </c>
      <c r="Y268">
        <v>1</v>
      </c>
      <c r="Z268" t="str">
        <f t="shared" ca="1" si="32"/>
        <v>10585</v>
      </c>
      <c r="AA268" t="str">
        <f t="shared" si="33"/>
        <v>Berlin</v>
      </c>
      <c r="AB268" t="str">
        <f t="shared" si="34"/>
        <v>Robert-Schumann-Straße</v>
      </c>
      <c r="AC268" t="str" cm="1">
        <f t="array" ref="AC268">ErzeugeHausnummer()</f>
        <v>88</v>
      </c>
      <c r="AD268">
        <v>1</v>
      </c>
      <c r="AF268">
        <v>1</v>
      </c>
      <c r="AG268" s="6" t="str">
        <f t="shared" si="35"/>
        <v>030</v>
      </c>
      <c r="AH268" t="str">
        <f t="shared" ca="1" si="36"/>
        <v>95898094</v>
      </c>
      <c r="AI268">
        <v>1</v>
      </c>
      <c r="AK268">
        <v>2</v>
      </c>
      <c r="AN268">
        <v>1</v>
      </c>
      <c r="AU268">
        <v>1</v>
      </c>
    </row>
    <row r="269" spans="1:47" x14ac:dyDescent="0.45">
      <c r="A269">
        <v>267</v>
      </c>
      <c r="B269">
        <v>53</v>
      </c>
      <c r="C269">
        <v>171</v>
      </c>
      <c r="D269" s="3" t="s">
        <v>0</v>
      </c>
      <c r="E269" s="3" t="s">
        <v>375</v>
      </c>
      <c r="F269" s="3" t="s">
        <v>7</v>
      </c>
      <c r="G269" s="1">
        <v>30770</v>
      </c>
      <c r="H269" s="11">
        <f t="shared" ca="1" si="37"/>
        <v>39</v>
      </c>
      <c r="I269" t="s">
        <v>625</v>
      </c>
      <c r="J269" s="1">
        <v>44932</v>
      </c>
      <c r="P269" s="1">
        <f t="shared" ca="1" si="38"/>
        <v>46164</v>
      </c>
      <c r="Q269">
        <f t="shared" ca="1" si="39"/>
        <v>41</v>
      </c>
      <c r="Y269">
        <v>1</v>
      </c>
      <c r="Z269" t="str">
        <f t="shared" ca="1" si="32"/>
        <v>13597</v>
      </c>
      <c r="AA269" t="str">
        <f t="shared" si="33"/>
        <v>Berlin</v>
      </c>
      <c r="AB269" t="str">
        <f t="shared" si="34"/>
        <v>Louisvillestraße</v>
      </c>
      <c r="AC269" t="str" cm="1">
        <f t="array" ref="AC269">ErzeugeHausnummer()</f>
        <v>10D</v>
      </c>
      <c r="AD269">
        <v>1</v>
      </c>
      <c r="AF269">
        <v>1</v>
      </c>
      <c r="AG269" s="6" t="str">
        <f t="shared" si="35"/>
        <v>030</v>
      </c>
      <c r="AH269" t="str">
        <f t="shared" ca="1" si="36"/>
        <v>53633575</v>
      </c>
      <c r="AI269">
        <v>1</v>
      </c>
      <c r="AK269">
        <v>2</v>
      </c>
      <c r="AN269">
        <v>1</v>
      </c>
      <c r="AU269">
        <v>1</v>
      </c>
    </row>
    <row r="270" spans="1:47" x14ac:dyDescent="0.45">
      <c r="A270">
        <v>268</v>
      </c>
      <c r="B270">
        <v>57</v>
      </c>
      <c r="C270">
        <v>204</v>
      </c>
      <c r="D270" s="3" t="s">
        <v>3</v>
      </c>
      <c r="E270" s="3" t="s">
        <v>590</v>
      </c>
      <c r="F270" s="3" t="s">
        <v>438</v>
      </c>
      <c r="G270" s="1">
        <v>33171</v>
      </c>
      <c r="H270" s="11">
        <f t="shared" ca="1" si="37"/>
        <v>33</v>
      </c>
      <c r="I270" t="s">
        <v>624</v>
      </c>
      <c r="P270" s="1">
        <f t="shared" ca="1" si="38"/>
        <v>40819</v>
      </c>
      <c r="Q270">
        <f t="shared" ca="1" si="39"/>
        <v>20</v>
      </c>
      <c r="Y270">
        <v>1</v>
      </c>
      <c r="Z270" t="str">
        <f t="shared" ca="1" si="32"/>
        <v>13597</v>
      </c>
      <c r="AA270" t="str">
        <f t="shared" si="33"/>
        <v>Berlin</v>
      </c>
      <c r="AB270" t="str">
        <f t="shared" si="34"/>
        <v>New-Orleans-Allee</v>
      </c>
      <c r="AC270" t="str" cm="1">
        <f t="array" ref="AC270">ErzeugeHausnummer()</f>
        <v>20D</v>
      </c>
      <c r="AD270">
        <v>1</v>
      </c>
      <c r="AF270">
        <v>1</v>
      </c>
      <c r="AG270" s="6" t="str">
        <f t="shared" si="35"/>
        <v>030</v>
      </c>
      <c r="AH270" t="str">
        <f t="shared" ca="1" si="36"/>
        <v>75881972</v>
      </c>
      <c r="AI270">
        <v>1</v>
      </c>
      <c r="AK270">
        <v>2</v>
      </c>
      <c r="AN270">
        <v>1</v>
      </c>
      <c r="AU270">
        <v>1</v>
      </c>
    </row>
    <row r="271" spans="1:47" x14ac:dyDescent="0.45">
      <c r="A271">
        <v>269</v>
      </c>
      <c r="B271">
        <v>58</v>
      </c>
      <c r="C271">
        <v>217</v>
      </c>
      <c r="D271" s="3" t="s">
        <v>0</v>
      </c>
      <c r="E271" s="3" t="s">
        <v>475</v>
      </c>
      <c r="F271" s="3" t="s">
        <v>439</v>
      </c>
      <c r="G271" s="1">
        <v>33249</v>
      </c>
      <c r="H271" s="11">
        <f t="shared" ca="1" si="37"/>
        <v>33</v>
      </c>
      <c r="I271" t="s">
        <v>626</v>
      </c>
      <c r="J271" s="1">
        <v>47774</v>
      </c>
      <c r="P271" s="1">
        <f t="shared" ca="1" si="38"/>
        <v>50705</v>
      </c>
      <c r="Q271">
        <f t="shared" ca="1" si="39"/>
        <v>47</v>
      </c>
      <c r="Y271">
        <v>1</v>
      </c>
      <c r="Z271" t="str">
        <f t="shared" ca="1" si="32"/>
        <v>13597</v>
      </c>
      <c r="AA271" t="str">
        <f t="shared" si="33"/>
        <v>Berlin</v>
      </c>
      <c r="AB271" t="str">
        <f t="shared" si="34"/>
        <v>Pekingweg</v>
      </c>
      <c r="AC271" t="str" cm="1">
        <f t="array" ref="AC271">ErzeugeHausnummer()</f>
        <v>27</v>
      </c>
      <c r="AD271">
        <v>1</v>
      </c>
      <c r="AF271">
        <v>1</v>
      </c>
      <c r="AG271" s="6" t="str">
        <f t="shared" si="35"/>
        <v>030</v>
      </c>
      <c r="AH271" t="str">
        <f t="shared" ca="1" si="36"/>
        <v>88107909</v>
      </c>
      <c r="AI271">
        <v>1</v>
      </c>
      <c r="AK271">
        <v>2</v>
      </c>
      <c r="AN271">
        <v>1</v>
      </c>
      <c r="AU271">
        <v>1</v>
      </c>
    </row>
    <row r="272" spans="1:47" x14ac:dyDescent="0.45">
      <c r="A272">
        <v>270</v>
      </c>
      <c r="B272">
        <v>161</v>
      </c>
      <c r="C272">
        <v>297</v>
      </c>
      <c r="D272" s="3" t="s">
        <v>3</v>
      </c>
      <c r="E272" s="3" t="s">
        <v>591</v>
      </c>
      <c r="F272" s="3" t="s">
        <v>440</v>
      </c>
      <c r="G272" s="1">
        <v>20725</v>
      </c>
      <c r="H272" s="11">
        <f t="shared" ca="1" si="37"/>
        <v>67</v>
      </c>
      <c r="I272" t="s">
        <v>625</v>
      </c>
      <c r="J272" s="1">
        <v>35842</v>
      </c>
      <c r="P272" s="1">
        <f t="shared" ca="1" si="38"/>
        <v>37419</v>
      </c>
      <c r="Q272">
        <f t="shared" ca="1" si="39"/>
        <v>45</v>
      </c>
      <c r="R272" s="1">
        <f>DATE(IF(MONTH(G272)=12,YEAR(G272)+66,YEAR(G272)+65),IF(MONTH(G272)=12,1,MONTH(G272)+1),1)</f>
        <v>44470</v>
      </c>
      <c r="S272" t="s">
        <v>1022</v>
      </c>
      <c r="Y272">
        <v>1</v>
      </c>
      <c r="Z272" t="str">
        <f t="shared" ca="1" si="32"/>
        <v>14624</v>
      </c>
      <c r="AA272" t="str">
        <f t="shared" si="33"/>
        <v>Seeburg</v>
      </c>
      <c r="AB272" t="str">
        <f t="shared" si="34"/>
        <v>Wiesenweg</v>
      </c>
      <c r="AC272" t="str" cm="1">
        <f t="array" ref="AC272">ErzeugeHausnummer()</f>
        <v>22</v>
      </c>
      <c r="AD272">
        <v>1</v>
      </c>
      <c r="AF272">
        <v>1</v>
      </c>
      <c r="AG272" s="6" t="str">
        <f t="shared" si="35"/>
        <v>03322</v>
      </c>
      <c r="AH272" t="str">
        <f t="shared" ca="1" si="36"/>
        <v>72517</v>
      </c>
      <c r="AI272">
        <v>1</v>
      </c>
      <c r="AK272">
        <v>2</v>
      </c>
      <c r="AN272">
        <v>1</v>
      </c>
      <c r="AU272">
        <v>1</v>
      </c>
    </row>
    <row r="273" spans="1:47" x14ac:dyDescent="0.45">
      <c r="A273">
        <v>271</v>
      </c>
      <c r="B273">
        <v>55</v>
      </c>
      <c r="C273">
        <v>221</v>
      </c>
      <c r="D273" s="3" t="s">
        <v>0</v>
      </c>
      <c r="E273" s="3" t="s">
        <v>61</v>
      </c>
      <c r="F273" s="3" t="s">
        <v>441</v>
      </c>
      <c r="G273" s="1">
        <v>34513</v>
      </c>
      <c r="H273" s="11">
        <f t="shared" ca="1" si="37"/>
        <v>29</v>
      </c>
      <c r="I273" t="s">
        <v>624</v>
      </c>
      <c r="P273" s="1">
        <f t="shared" ca="1" si="38"/>
        <v>44072</v>
      </c>
      <c r="Q273">
        <f t="shared" ca="1" si="39"/>
        <v>26</v>
      </c>
      <c r="Y273">
        <v>1</v>
      </c>
      <c r="Z273" t="str">
        <f t="shared" ca="1" si="32"/>
        <v>13597</v>
      </c>
      <c r="AA273" t="str">
        <f t="shared" si="33"/>
        <v>Berlin</v>
      </c>
      <c r="AB273" t="str">
        <f t="shared" si="34"/>
        <v>Pittsburghplatz</v>
      </c>
      <c r="AC273" t="str" cm="1">
        <f t="array" ref="AC273">ErzeugeHausnummer()</f>
        <v>12</v>
      </c>
      <c r="AD273">
        <v>1</v>
      </c>
      <c r="AF273">
        <v>1</v>
      </c>
      <c r="AG273" s="6" t="str">
        <f t="shared" si="35"/>
        <v>030</v>
      </c>
      <c r="AH273" t="str">
        <f t="shared" ca="1" si="36"/>
        <v>81506252</v>
      </c>
      <c r="AI273">
        <v>1</v>
      </c>
      <c r="AK273">
        <v>2</v>
      </c>
      <c r="AN273">
        <v>1</v>
      </c>
      <c r="AU273">
        <v>1</v>
      </c>
    </row>
    <row r="274" spans="1:47" x14ac:dyDescent="0.45">
      <c r="A274">
        <v>272</v>
      </c>
      <c r="B274">
        <v>24</v>
      </c>
      <c r="C274">
        <v>141</v>
      </c>
      <c r="D274" s="3" t="s">
        <v>3</v>
      </c>
      <c r="E274" s="3" t="s">
        <v>592</v>
      </c>
      <c r="F274" s="3" t="s">
        <v>442</v>
      </c>
      <c r="G274" s="1">
        <v>30117</v>
      </c>
      <c r="H274" s="11">
        <f t="shared" ca="1" si="37"/>
        <v>42</v>
      </c>
      <c r="I274" t="s">
        <v>626</v>
      </c>
      <c r="J274" s="1">
        <v>43198</v>
      </c>
      <c r="P274" s="1">
        <f t="shared" ca="1" si="38"/>
        <v>44715</v>
      </c>
      <c r="Q274">
        <f t="shared" ca="1" si="39"/>
        <v>39</v>
      </c>
      <c r="Y274">
        <v>1</v>
      </c>
      <c r="Z274" t="str">
        <f t="shared" ca="1" si="32"/>
        <v>10707</v>
      </c>
      <c r="AA274" t="str">
        <f t="shared" si="33"/>
        <v>Berlin</v>
      </c>
      <c r="AB274" t="str">
        <f t="shared" si="34"/>
        <v>Kapstadtweg</v>
      </c>
      <c r="AC274" t="str" cm="1">
        <f t="array" ref="AC274">ErzeugeHausnummer()</f>
        <v>16</v>
      </c>
      <c r="AD274">
        <v>1</v>
      </c>
      <c r="AF274">
        <v>1</v>
      </c>
      <c r="AG274" s="6" t="str">
        <f t="shared" si="35"/>
        <v>030</v>
      </c>
      <c r="AH274" t="str">
        <f t="shared" ca="1" si="36"/>
        <v>84541758</v>
      </c>
      <c r="AI274">
        <v>1</v>
      </c>
      <c r="AK274">
        <v>2</v>
      </c>
      <c r="AN274">
        <v>1</v>
      </c>
      <c r="AU274">
        <v>1</v>
      </c>
    </row>
    <row r="275" spans="1:47" x14ac:dyDescent="0.45">
      <c r="A275">
        <v>273</v>
      </c>
      <c r="B275">
        <v>51</v>
      </c>
      <c r="C275">
        <v>197</v>
      </c>
      <c r="D275" s="3" t="s">
        <v>3</v>
      </c>
      <c r="E275" s="3" t="s">
        <v>593</v>
      </c>
      <c r="F275" s="3" t="s">
        <v>109</v>
      </c>
      <c r="G275" s="1">
        <v>19782</v>
      </c>
      <c r="H275" s="11">
        <f t="shared" ca="1" si="37"/>
        <v>69</v>
      </c>
      <c r="I275" t="s">
        <v>626</v>
      </c>
      <c r="J275" s="1">
        <v>28754</v>
      </c>
      <c r="P275" s="1">
        <f t="shared" ca="1" si="38"/>
        <v>28846</v>
      </c>
      <c r="Q275">
        <f t="shared" ca="1" si="39"/>
        <v>23</v>
      </c>
      <c r="R275" s="1">
        <f>DATE(IF(MONTH(G275)=12,YEAR(G275)+66,YEAR(G275)+65),IF(MONTH(G275)=12,1,MONTH(G275)+1),1)</f>
        <v>43525</v>
      </c>
      <c r="S275" t="s">
        <v>1022</v>
      </c>
      <c r="Y275">
        <v>1</v>
      </c>
      <c r="Z275" t="str">
        <f t="shared" ca="1" si="32"/>
        <v>13581</v>
      </c>
      <c r="AA275" t="str">
        <f t="shared" si="33"/>
        <v>Berlin</v>
      </c>
      <c r="AB275" t="str">
        <f t="shared" si="34"/>
        <v>Mühlenweg</v>
      </c>
      <c r="AC275" t="str" cm="1">
        <f t="array" ref="AC275">ErzeugeHausnummer()</f>
        <v>15</v>
      </c>
      <c r="AD275">
        <v>1</v>
      </c>
      <c r="AF275">
        <v>1</v>
      </c>
      <c r="AG275" s="6" t="str">
        <f t="shared" si="35"/>
        <v>030</v>
      </c>
      <c r="AH275" t="str">
        <f t="shared" ca="1" si="36"/>
        <v>65689551</v>
      </c>
      <c r="AI275">
        <v>1</v>
      </c>
      <c r="AK275">
        <v>2</v>
      </c>
      <c r="AN275">
        <v>1</v>
      </c>
      <c r="AU275">
        <v>1</v>
      </c>
    </row>
    <row r="276" spans="1:47" x14ac:dyDescent="0.45">
      <c r="A276">
        <v>274</v>
      </c>
      <c r="B276">
        <v>109</v>
      </c>
      <c r="C276">
        <v>201</v>
      </c>
      <c r="D276" s="3" t="s">
        <v>3</v>
      </c>
      <c r="E276" s="3" t="s">
        <v>113</v>
      </c>
      <c r="F276" s="3" t="s">
        <v>443</v>
      </c>
      <c r="G276" s="1">
        <v>32159</v>
      </c>
      <c r="H276" s="11">
        <f t="shared" ca="1" si="37"/>
        <v>36</v>
      </c>
      <c r="I276" t="s">
        <v>626</v>
      </c>
      <c r="J276" s="1">
        <v>40085</v>
      </c>
      <c r="P276" s="1">
        <f t="shared" ca="1" si="38"/>
        <v>38907</v>
      </c>
      <c r="Q276">
        <f t="shared" ca="1" si="39"/>
        <v>17</v>
      </c>
      <c r="Y276">
        <v>1</v>
      </c>
      <c r="Z276" t="str">
        <f t="shared" ca="1" si="32"/>
        <v>12679</v>
      </c>
      <c r="AA276" t="str">
        <f t="shared" si="33"/>
        <v>Berlin</v>
      </c>
      <c r="AB276" t="str">
        <f t="shared" si="34"/>
        <v>Nelkenweg</v>
      </c>
      <c r="AC276" t="str" cm="1">
        <f t="array" ref="AC276">ErzeugeHausnummer()</f>
        <v>11</v>
      </c>
      <c r="AD276">
        <v>1</v>
      </c>
      <c r="AF276">
        <v>1</v>
      </c>
      <c r="AG276" s="6" t="str">
        <f t="shared" si="35"/>
        <v>030</v>
      </c>
      <c r="AH276" t="str">
        <f t="shared" ca="1" si="36"/>
        <v>85558563</v>
      </c>
      <c r="AI276">
        <v>1</v>
      </c>
      <c r="AK276">
        <v>2</v>
      </c>
      <c r="AN276">
        <v>1</v>
      </c>
      <c r="AU276">
        <v>1</v>
      </c>
    </row>
    <row r="277" spans="1:47" x14ac:dyDescent="0.45">
      <c r="A277">
        <v>275</v>
      </c>
      <c r="B277">
        <v>56</v>
      </c>
      <c r="C277">
        <v>126</v>
      </c>
      <c r="D277" s="3" t="s">
        <v>0</v>
      </c>
      <c r="E277" s="3" t="s">
        <v>594</v>
      </c>
      <c r="F277" s="3" t="s">
        <v>444</v>
      </c>
      <c r="G277" s="1">
        <v>37409</v>
      </c>
      <c r="H277" s="11">
        <f t="shared" ca="1" si="37"/>
        <v>22</v>
      </c>
      <c r="I277" t="s">
        <v>624</v>
      </c>
      <c r="P277" s="1">
        <f t="shared" ca="1" si="38"/>
        <v>49518</v>
      </c>
      <c r="Q277">
        <f t="shared" ca="1" si="39"/>
        <v>33</v>
      </c>
      <c r="Y277">
        <v>1</v>
      </c>
      <c r="Z277" t="str">
        <f t="shared" ca="1" si="32"/>
        <v>13597</v>
      </c>
      <c r="AA277" t="str">
        <f t="shared" si="33"/>
        <v>Berlin</v>
      </c>
      <c r="AB277" t="str">
        <f t="shared" si="34"/>
        <v>Indianapolisweg</v>
      </c>
      <c r="AC277" t="str" cm="1">
        <f t="array" ref="AC277">ErzeugeHausnummer()</f>
        <v>90C</v>
      </c>
      <c r="AD277">
        <v>1</v>
      </c>
      <c r="AF277">
        <v>1</v>
      </c>
      <c r="AG277" s="6" t="str">
        <f t="shared" si="35"/>
        <v>030</v>
      </c>
      <c r="AH277" t="str">
        <f t="shared" ca="1" si="36"/>
        <v>82708521</v>
      </c>
      <c r="AI277">
        <v>1</v>
      </c>
      <c r="AK277">
        <v>2</v>
      </c>
      <c r="AN277">
        <v>1</v>
      </c>
      <c r="AU277">
        <v>1</v>
      </c>
    </row>
    <row r="278" spans="1:47" x14ac:dyDescent="0.45">
      <c r="A278">
        <v>276</v>
      </c>
      <c r="B278">
        <v>51</v>
      </c>
      <c r="C278">
        <v>17</v>
      </c>
      <c r="D278" s="3" t="s">
        <v>3</v>
      </c>
      <c r="E278" s="3" t="s">
        <v>595</v>
      </c>
      <c r="F278" s="3" t="s">
        <v>51</v>
      </c>
      <c r="G278" s="1">
        <v>38683</v>
      </c>
      <c r="H278" s="11">
        <f t="shared" ca="1" si="37"/>
        <v>18</v>
      </c>
      <c r="I278" t="s">
        <v>624</v>
      </c>
      <c r="P278" s="1">
        <f t="shared" ca="1" si="38"/>
        <v>56436</v>
      </c>
      <c r="Q278">
        <f t="shared" ca="1" si="39"/>
        <v>48</v>
      </c>
      <c r="Y278">
        <v>1</v>
      </c>
      <c r="Z278" t="str">
        <f t="shared" ca="1" si="32"/>
        <v>13581</v>
      </c>
      <c r="AA278" t="str">
        <f t="shared" si="33"/>
        <v>Berlin</v>
      </c>
      <c r="AB278" t="str">
        <f t="shared" si="34"/>
        <v>Am Wasserturm</v>
      </c>
      <c r="AC278" t="str" cm="1">
        <f t="array" ref="AC278">ErzeugeHausnummer()</f>
        <v>2C</v>
      </c>
      <c r="AD278">
        <v>1</v>
      </c>
      <c r="AF278">
        <v>1</v>
      </c>
      <c r="AG278" s="6" t="str">
        <f t="shared" si="35"/>
        <v>030</v>
      </c>
      <c r="AH278" t="str">
        <f t="shared" ca="1" si="36"/>
        <v>75115323</v>
      </c>
      <c r="AI278">
        <v>1</v>
      </c>
      <c r="AK278">
        <v>2</v>
      </c>
      <c r="AN278">
        <v>1</v>
      </c>
      <c r="AU278">
        <v>1</v>
      </c>
    </row>
    <row r="279" spans="1:47" x14ac:dyDescent="0.45">
      <c r="A279">
        <v>277</v>
      </c>
      <c r="B279">
        <v>174</v>
      </c>
      <c r="C279">
        <v>24</v>
      </c>
      <c r="D279" s="3" t="s">
        <v>0</v>
      </c>
      <c r="E279" s="3" t="s">
        <v>385</v>
      </c>
      <c r="F279" s="3" t="s">
        <v>445</v>
      </c>
      <c r="G279" s="1">
        <v>27191</v>
      </c>
      <c r="H279" s="11">
        <f t="shared" ca="1" si="37"/>
        <v>50</v>
      </c>
      <c r="I279" t="s">
        <v>625</v>
      </c>
      <c r="J279" s="1">
        <v>42033</v>
      </c>
      <c r="P279" s="1">
        <f t="shared" ca="1" si="38"/>
        <v>43502</v>
      </c>
      <c r="Q279">
        <f t="shared" ca="1" si="39"/>
        <v>44</v>
      </c>
      <c r="Y279">
        <v>1</v>
      </c>
      <c r="Z279" t="str">
        <f t="shared" ca="1" si="32"/>
        <v>14552</v>
      </c>
      <c r="AA279" t="str">
        <f t="shared" si="33"/>
        <v>Michendorf</v>
      </c>
      <c r="AB279" t="str">
        <f t="shared" si="34"/>
        <v>August-Bebel-Straße</v>
      </c>
      <c r="AC279" t="str" cm="1">
        <f t="array" ref="AC279">ErzeugeHausnummer()</f>
        <v>5D</v>
      </c>
      <c r="AD279">
        <v>1</v>
      </c>
      <c r="AF279">
        <v>1</v>
      </c>
      <c r="AG279" s="6" t="str">
        <f t="shared" si="35"/>
        <v>033205</v>
      </c>
      <c r="AH279" t="str">
        <f t="shared" ca="1" si="36"/>
        <v>8571</v>
      </c>
      <c r="AI279">
        <v>1</v>
      </c>
      <c r="AK279">
        <v>2</v>
      </c>
      <c r="AN279">
        <v>1</v>
      </c>
      <c r="AU279">
        <v>1</v>
      </c>
    </row>
    <row r="280" spans="1:47" x14ac:dyDescent="0.45">
      <c r="A280">
        <v>278</v>
      </c>
      <c r="B280">
        <v>150</v>
      </c>
      <c r="C280">
        <v>4</v>
      </c>
      <c r="D280" s="3" t="s">
        <v>3</v>
      </c>
      <c r="E280" s="3" t="s">
        <v>526</v>
      </c>
      <c r="F280" s="3" t="s">
        <v>446</v>
      </c>
      <c r="G280" s="1">
        <v>38253</v>
      </c>
      <c r="H280" s="11">
        <f t="shared" ca="1" si="37"/>
        <v>19</v>
      </c>
      <c r="I280" t="s">
        <v>624</v>
      </c>
      <c r="P280" s="1">
        <f t="shared" ca="1" si="38"/>
        <v>46003</v>
      </c>
      <c r="Q280">
        <f t="shared" ca="1" si="39"/>
        <v>20</v>
      </c>
      <c r="Y280">
        <v>1</v>
      </c>
      <c r="Z280" t="str">
        <f t="shared" ca="1" si="32"/>
        <v>14550</v>
      </c>
      <c r="AA280" t="str">
        <f t="shared" si="33"/>
        <v>Töplitz</v>
      </c>
      <c r="AB280" t="str">
        <f t="shared" si="34"/>
        <v>Albert-Einstein-Straße</v>
      </c>
      <c r="AC280" t="str" cm="1">
        <f t="array" ref="AC280">ErzeugeHausnummer()</f>
        <v>24E</v>
      </c>
      <c r="AD280">
        <v>1</v>
      </c>
      <c r="AF280">
        <v>1</v>
      </c>
      <c r="AG280" s="6" t="str">
        <f t="shared" si="35"/>
        <v>033209</v>
      </c>
      <c r="AH280" t="str">
        <f t="shared" ca="1" si="36"/>
        <v>5508</v>
      </c>
      <c r="AI280">
        <v>1</v>
      </c>
      <c r="AK280">
        <v>2</v>
      </c>
      <c r="AN280">
        <v>1</v>
      </c>
      <c r="AU280">
        <v>1</v>
      </c>
    </row>
    <row r="281" spans="1:47" x14ac:dyDescent="0.45">
      <c r="A281">
        <v>279</v>
      </c>
      <c r="B281">
        <v>131</v>
      </c>
      <c r="C281">
        <v>4</v>
      </c>
      <c r="D281" s="3" t="s">
        <v>0</v>
      </c>
      <c r="E281" s="3" t="s">
        <v>581</v>
      </c>
      <c r="F281" s="3" t="s">
        <v>447</v>
      </c>
      <c r="G281" s="1">
        <v>35630</v>
      </c>
      <c r="H281" s="11">
        <f t="shared" ca="1" si="37"/>
        <v>27</v>
      </c>
      <c r="I281" t="s">
        <v>624</v>
      </c>
      <c r="P281" s="1">
        <f t="shared" ca="1" si="38"/>
        <v>50208</v>
      </c>
      <c r="Q281">
        <f t="shared" ca="1" si="39"/>
        <v>39</v>
      </c>
      <c r="Y281">
        <v>1</v>
      </c>
      <c r="Z281" t="str">
        <f t="shared" ca="1" si="32"/>
        <v>14542</v>
      </c>
      <c r="AA281" t="str">
        <f t="shared" si="33"/>
        <v>Werder (Havel)</v>
      </c>
      <c r="AB281" t="str">
        <f t="shared" si="34"/>
        <v>Albert-Einstein-Straße</v>
      </c>
      <c r="AC281" t="str" cm="1">
        <f t="array" ref="AC281">ErzeugeHausnummer()</f>
        <v>9</v>
      </c>
      <c r="AD281">
        <v>1</v>
      </c>
      <c r="AF281">
        <v>1</v>
      </c>
      <c r="AG281" s="6" t="str">
        <f t="shared" si="35"/>
        <v>03327</v>
      </c>
      <c r="AH281" t="str">
        <f t="shared" ca="1" si="36"/>
        <v>43040</v>
      </c>
      <c r="AI281">
        <v>1</v>
      </c>
      <c r="AK281">
        <v>2</v>
      </c>
      <c r="AN281">
        <v>1</v>
      </c>
      <c r="AU281">
        <v>1</v>
      </c>
    </row>
    <row r="282" spans="1:47" x14ac:dyDescent="0.45">
      <c r="A282">
        <v>280</v>
      </c>
      <c r="B282">
        <v>35</v>
      </c>
      <c r="C282">
        <v>300</v>
      </c>
      <c r="D282" s="3" t="s">
        <v>0</v>
      </c>
      <c r="E282" s="3" t="s">
        <v>596</v>
      </c>
      <c r="F282" s="3" t="s">
        <v>448</v>
      </c>
      <c r="G282" s="1">
        <v>24296</v>
      </c>
      <c r="H282" s="11">
        <f t="shared" ca="1" si="37"/>
        <v>58</v>
      </c>
      <c r="I282" t="s">
        <v>626</v>
      </c>
      <c r="J282" s="1">
        <v>38029</v>
      </c>
      <c r="P282" s="1">
        <f t="shared" ca="1" si="38"/>
        <v>30932</v>
      </c>
      <c r="Q282">
        <f t="shared" ca="1" si="39"/>
        <v>17</v>
      </c>
      <c r="Y282">
        <v>1</v>
      </c>
      <c r="Z282" t="str">
        <f t="shared" ca="1" si="32"/>
        <v>13581</v>
      </c>
      <c r="AA282" t="str">
        <f t="shared" si="33"/>
        <v>Berlin</v>
      </c>
      <c r="AB282" t="str">
        <f t="shared" si="34"/>
        <v>Wolfgang-Amadeus-Mozart-Straße</v>
      </c>
      <c r="AC282" t="str" cm="1">
        <f t="array" ref="AC282">ErzeugeHausnummer()</f>
        <v>50D</v>
      </c>
      <c r="AD282">
        <v>1</v>
      </c>
      <c r="AF282">
        <v>1</v>
      </c>
      <c r="AG282" s="6" t="str">
        <f t="shared" si="35"/>
        <v>030</v>
      </c>
      <c r="AH282" t="str">
        <f t="shared" ca="1" si="36"/>
        <v>84736501</v>
      </c>
      <c r="AI282">
        <v>1</v>
      </c>
      <c r="AK282">
        <v>2</v>
      </c>
      <c r="AN282">
        <v>1</v>
      </c>
      <c r="AU282">
        <v>1</v>
      </c>
    </row>
    <row r="283" spans="1:47" x14ac:dyDescent="0.45">
      <c r="A283">
        <v>281</v>
      </c>
      <c r="B283">
        <v>31</v>
      </c>
      <c r="C283">
        <v>86</v>
      </c>
      <c r="D283" s="3" t="s">
        <v>0</v>
      </c>
      <c r="E283" s="3" t="s">
        <v>597</v>
      </c>
      <c r="F283" s="3" t="s">
        <v>449</v>
      </c>
      <c r="G283" s="1">
        <v>32795</v>
      </c>
      <c r="H283" s="11">
        <f t="shared" ca="1" si="37"/>
        <v>35</v>
      </c>
      <c r="I283" t="s">
        <v>626</v>
      </c>
      <c r="J283" s="1">
        <v>45481</v>
      </c>
      <c r="P283" s="1">
        <f t="shared" ca="1" si="38"/>
        <v>43008</v>
      </c>
      <c r="Q283">
        <f t="shared" ca="1" si="39"/>
        <v>28</v>
      </c>
      <c r="Y283">
        <v>1</v>
      </c>
      <c r="Z283" t="str">
        <f t="shared" ca="1" si="32"/>
        <v>13581</v>
      </c>
      <c r="AA283" t="str">
        <f t="shared" si="33"/>
        <v>Berlin</v>
      </c>
      <c r="AB283" t="str">
        <f t="shared" si="34"/>
        <v>Friedhofstraße</v>
      </c>
      <c r="AC283" t="str" cm="1">
        <f t="array" ref="AC283">ErzeugeHausnummer()</f>
        <v>32</v>
      </c>
      <c r="AD283">
        <v>1</v>
      </c>
      <c r="AF283">
        <v>1</v>
      </c>
      <c r="AG283" s="6" t="str">
        <f t="shared" si="35"/>
        <v>030</v>
      </c>
      <c r="AH283" t="str">
        <f t="shared" ca="1" si="36"/>
        <v>78983915</v>
      </c>
      <c r="AI283">
        <v>1</v>
      </c>
      <c r="AK283">
        <v>2</v>
      </c>
      <c r="AN283">
        <v>1</v>
      </c>
      <c r="AU283">
        <v>1</v>
      </c>
    </row>
    <row r="284" spans="1:47" x14ac:dyDescent="0.45">
      <c r="A284">
        <v>282</v>
      </c>
      <c r="B284">
        <v>115</v>
      </c>
      <c r="C284">
        <v>173</v>
      </c>
      <c r="D284" s="3" t="s">
        <v>0</v>
      </c>
      <c r="E284" s="3" t="s">
        <v>598</v>
      </c>
      <c r="F284" s="3" t="s">
        <v>450</v>
      </c>
      <c r="G284" s="1">
        <v>19592</v>
      </c>
      <c r="H284" s="11">
        <f t="shared" ca="1" si="37"/>
        <v>71</v>
      </c>
      <c r="I284" t="s">
        <v>626</v>
      </c>
      <c r="J284" s="1">
        <v>29480</v>
      </c>
      <c r="P284" s="1">
        <f t="shared" ca="1" si="38"/>
        <v>26467</v>
      </c>
      <c r="Q284">
        <f t="shared" ca="1" si="39"/>
        <v>18</v>
      </c>
      <c r="R284" s="1">
        <f>DATE(IF(MONTH(G284)=12,YEAR(G284)+66,YEAR(G284)+65),IF(MONTH(G284)=12,1,MONTH(G284)+1),1)</f>
        <v>43344</v>
      </c>
      <c r="S284" t="s">
        <v>1022</v>
      </c>
      <c r="Y284">
        <v>1</v>
      </c>
      <c r="Z284" t="str">
        <f t="shared" ca="1" si="32"/>
        <v>13403</v>
      </c>
      <c r="AA284" t="str">
        <f t="shared" si="33"/>
        <v>Berlin</v>
      </c>
      <c r="AB284" t="str">
        <f t="shared" si="34"/>
        <v>Ludwig-Erhard-Straße</v>
      </c>
      <c r="AC284" t="str" cm="1">
        <f t="array" ref="AC284">ErzeugeHausnummer()</f>
        <v>20</v>
      </c>
      <c r="AD284">
        <v>1</v>
      </c>
      <c r="AF284">
        <v>1</v>
      </c>
      <c r="AG284" s="6" t="str">
        <f t="shared" si="35"/>
        <v>030</v>
      </c>
      <c r="AH284" t="str">
        <f t="shared" ca="1" si="36"/>
        <v>67704934</v>
      </c>
      <c r="AI284">
        <v>1</v>
      </c>
      <c r="AK284">
        <v>2</v>
      </c>
      <c r="AN284">
        <v>1</v>
      </c>
      <c r="AU284">
        <v>1</v>
      </c>
    </row>
    <row r="285" spans="1:47" x14ac:dyDescent="0.45">
      <c r="A285">
        <v>283</v>
      </c>
      <c r="B285">
        <v>104</v>
      </c>
      <c r="C285">
        <v>131</v>
      </c>
      <c r="D285" s="3" t="s">
        <v>3</v>
      </c>
      <c r="E285" s="3" t="s">
        <v>489</v>
      </c>
      <c r="F285" s="3" t="s">
        <v>451</v>
      </c>
      <c r="G285" s="1">
        <v>27212</v>
      </c>
      <c r="H285" s="11">
        <f t="shared" ca="1" si="37"/>
        <v>50</v>
      </c>
      <c r="I285" t="s">
        <v>627</v>
      </c>
      <c r="J285" s="1">
        <v>44230</v>
      </c>
      <c r="P285" s="1">
        <f t="shared" ca="1" si="38"/>
        <v>34571</v>
      </c>
      <c r="Q285">
        <f t="shared" ca="1" si="39"/>
        <v>20</v>
      </c>
      <c r="Y285">
        <v>1</v>
      </c>
      <c r="Z285" t="str">
        <f t="shared" ca="1" si="32"/>
        <v>12524</v>
      </c>
      <c r="AA285" t="str">
        <f t="shared" si="33"/>
        <v>Berlin</v>
      </c>
      <c r="AB285" t="str">
        <f t="shared" si="34"/>
        <v>Johannes-Brahms-Straße</v>
      </c>
      <c r="AC285" t="str" cm="1">
        <f t="array" ref="AC285">ErzeugeHausnummer()</f>
        <v>82</v>
      </c>
      <c r="AD285">
        <v>1</v>
      </c>
      <c r="AF285">
        <v>1</v>
      </c>
      <c r="AG285" s="6" t="str">
        <f t="shared" si="35"/>
        <v>030</v>
      </c>
      <c r="AH285" t="str">
        <f t="shared" ca="1" si="36"/>
        <v>68159820</v>
      </c>
      <c r="AI285">
        <v>1</v>
      </c>
      <c r="AK285">
        <v>2</v>
      </c>
      <c r="AN285">
        <v>1</v>
      </c>
      <c r="AU285">
        <v>1</v>
      </c>
    </row>
    <row r="286" spans="1:47" x14ac:dyDescent="0.45">
      <c r="A286">
        <v>284</v>
      </c>
      <c r="B286">
        <v>78</v>
      </c>
      <c r="C286">
        <v>176</v>
      </c>
      <c r="D286" s="3" t="s">
        <v>0</v>
      </c>
      <c r="E286" s="3" t="s">
        <v>524</v>
      </c>
      <c r="F286" s="3" t="s">
        <v>452</v>
      </c>
      <c r="G286" s="1">
        <v>25261</v>
      </c>
      <c r="H286" s="11">
        <f t="shared" ca="1" si="37"/>
        <v>54</v>
      </c>
      <c r="I286" t="s">
        <v>626</v>
      </c>
      <c r="J286" s="1">
        <v>32953</v>
      </c>
      <c r="P286" s="1">
        <f t="shared" ca="1" si="38"/>
        <v>39124</v>
      </c>
      <c r="Q286">
        <f t="shared" ca="1" si="39"/>
        <v>37</v>
      </c>
      <c r="Y286">
        <v>1</v>
      </c>
      <c r="Z286" t="str">
        <f t="shared" ca="1" si="32"/>
        <v>14050</v>
      </c>
      <c r="AA286" t="str">
        <f t="shared" si="33"/>
        <v>Berlin</v>
      </c>
      <c r="AB286" t="str">
        <f t="shared" si="34"/>
        <v>Ludwig-Wittgenstein-Straße</v>
      </c>
      <c r="AC286" t="str" cm="1">
        <f t="array" ref="AC286">ErzeugeHausnummer()</f>
        <v>29</v>
      </c>
      <c r="AD286">
        <v>1</v>
      </c>
      <c r="AF286">
        <v>1</v>
      </c>
      <c r="AG286" s="6" t="str">
        <f t="shared" si="35"/>
        <v>030</v>
      </c>
      <c r="AH286" t="str">
        <f t="shared" ca="1" si="36"/>
        <v>91063988</v>
      </c>
      <c r="AI286">
        <v>1</v>
      </c>
      <c r="AK286">
        <v>2</v>
      </c>
      <c r="AN286">
        <v>1</v>
      </c>
      <c r="AU286">
        <v>1</v>
      </c>
    </row>
    <row r="287" spans="1:47" x14ac:dyDescent="0.45">
      <c r="A287">
        <v>285</v>
      </c>
      <c r="B287">
        <v>140</v>
      </c>
      <c r="C287">
        <v>20</v>
      </c>
      <c r="D287" s="3" t="s">
        <v>0</v>
      </c>
      <c r="E287" s="3" t="s">
        <v>599</v>
      </c>
      <c r="F287" s="3" t="s">
        <v>15</v>
      </c>
      <c r="G287" s="1">
        <v>21999</v>
      </c>
      <c r="H287" s="11">
        <f t="shared" ca="1" si="37"/>
        <v>63</v>
      </c>
      <c r="I287" t="s">
        <v>626</v>
      </c>
      <c r="J287" s="1">
        <v>29576</v>
      </c>
      <c r="P287" s="1">
        <f t="shared" ca="1" si="38"/>
        <v>36807</v>
      </c>
      <c r="Q287">
        <f t="shared" ca="1" si="39"/>
        <v>39</v>
      </c>
      <c r="Y287">
        <v>1</v>
      </c>
      <c r="Z287" t="str">
        <f t="shared" ca="1" si="32"/>
        <v>14822</v>
      </c>
      <c r="AA287" t="str">
        <f t="shared" si="33"/>
        <v>Brück</v>
      </c>
      <c r="AB287" t="str">
        <f t="shared" si="34"/>
        <v>Apfelstraße</v>
      </c>
      <c r="AC287" t="str" cm="1">
        <f t="array" ref="AC287">ErzeugeHausnummer()</f>
        <v>6</v>
      </c>
      <c r="AD287">
        <v>1</v>
      </c>
      <c r="AF287">
        <v>1</v>
      </c>
      <c r="AG287" s="6" t="str">
        <f t="shared" si="35"/>
        <v>033844</v>
      </c>
      <c r="AH287" t="str">
        <f t="shared" ca="1" si="36"/>
        <v>9437</v>
      </c>
      <c r="AI287">
        <v>1</v>
      </c>
      <c r="AK287">
        <v>2</v>
      </c>
      <c r="AN287">
        <v>1</v>
      </c>
      <c r="AU287">
        <v>1</v>
      </c>
    </row>
    <row r="288" spans="1:47" x14ac:dyDescent="0.45">
      <c r="A288">
        <v>286</v>
      </c>
      <c r="B288">
        <v>61</v>
      </c>
      <c r="C288">
        <v>234</v>
      </c>
      <c r="D288" s="3" t="s">
        <v>0</v>
      </c>
      <c r="E288" s="3" t="s">
        <v>600</v>
      </c>
      <c r="F288" s="3" t="s">
        <v>453</v>
      </c>
      <c r="G288" s="1">
        <v>29371</v>
      </c>
      <c r="H288" s="11">
        <f t="shared" ca="1" si="37"/>
        <v>43</v>
      </c>
      <c r="I288" t="s">
        <v>626</v>
      </c>
      <c r="J288" s="1">
        <v>41304</v>
      </c>
      <c r="P288" s="1">
        <f t="shared" ca="1" si="38"/>
        <v>36882</v>
      </c>
      <c r="Q288">
        <f t="shared" ca="1" si="39"/>
        <v>19</v>
      </c>
      <c r="Y288">
        <v>1</v>
      </c>
      <c r="Z288" t="str">
        <f t="shared" ca="1" si="32"/>
        <v>13597</v>
      </c>
      <c r="AA288" t="str">
        <f t="shared" si="33"/>
        <v>Berlin</v>
      </c>
      <c r="AB288" t="str">
        <f t="shared" si="34"/>
        <v>Rio-de-Janeiro-Straße</v>
      </c>
      <c r="AC288" t="str" cm="1">
        <f t="array" ref="AC288">ErzeugeHausnummer()</f>
        <v>25C</v>
      </c>
      <c r="AD288">
        <v>1</v>
      </c>
      <c r="AF288">
        <v>1</v>
      </c>
      <c r="AG288" s="6" t="str">
        <f t="shared" si="35"/>
        <v>030</v>
      </c>
      <c r="AH288" t="str">
        <f t="shared" ca="1" si="36"/>
        <v>82222591</v>
      </c>
      <c r="AI288">
        <v>1</v>
      </c>
      <c r="AK288">
        <v>2</v>
      </c>
      <c r="AN288">
        <v>1</v>
      </c>
      <c r="AU288">
        <v>1</v>
      </c>
    </row>
    <row r="289" spans="1:47" x14ac:dyDescent="0.45">
      <c r="A289">
        <v>287</v>
      </c>
      <c r="B289">
        <v>57</v>
      </c>
      <c r="C289">
        <v>239</v>
      </c>
      <c r="D289" s="3" t="s">
        <v>0</v>
      </c>
      <c r="E289" s="3" t="s">
        <v>488</v>
      </c>
      <c r="F289" s="3" t="s">
        <v>454</v>
      </c>
      <c r="G289" s="1">
        <v>22620</v>
      </c>
      <c r="H289" s="11">
        <f t="shared" ca="1" si="37"/>
        <v>63</v>
      </c>
      <c r="I289" t="s">
        <v>625</v>
      </c>
      <c r="J289" s="1">
        <v>42192</v>
      </c>
      <c r="P289" s="1">
        <f t="shared" ca="1" si="38"/>
        <v>35748</v>
      </c>
      <c r="Q289">
        <f t="shared" ca="1" si="39"/>
        <v>36</v>
      </c>
      <c r="Y289">
        <v>1</v>
      </c>
      <c r="Z289" t="str">
        <f t="shared" ca="1" si="32"/>
        <v>13597</v>
      </c>
      <c r="AA289" t="str">
        <f t="shared" si="33"/>
        <v>Berlin</v>
      </c>
      <c r="AB289" t="str">
        <f t="shared" si="34"/>
        <v>Rosenstraße</v>
      </c>
      <c r="AC289" t="str" cm="1">
        <f t="array" ref="AC289">ErzeugeHausnummer()</f>
        <v>6</v>
      </c>
      <c r="AD289">
        <v>1</v>
      </c>
      <c r="AF289">
        <v>1</v>
      </c>
      <c r="AG289" s="6" t="str">
        <f t="shared" si="35"/>
        <v>030</v>
      </c>
      <c r="AH289" t="str">
        <f t="shared" ca="1" si="36"/>
        <v>88105162</v>
      </c>
      <c r="AI289">
        <v>1</v>
      </c>
      <c r="AK289">
        <v>2</v>
      </c>
      <c r="AN289">
        <v>1</v>
      </c>
      <c r="AU289">
        <v>1</v>
      </c>
    </row>
    <row r="290" spans="1:47" x14ac:dyDescent="0.45">
      <c r="A290">
        <v>288</v>
      </c>
      <c r="B290">
        <v>83</v>
      </c>
      <c r="C290">
        <v>181</v>
      </c>
      <c r="D290" s="3" t="s">
        <v>3</v>
      </c>
      <c r="E290" s="3" t="s">
        <v>601</v>
      </c>
      <c r="F290" s="3" t="s">
        <v>455</v>
      </c>
      <c r="G290" s="1">
        <v>25304</v>
      </c>
      <c r="H290" s="11">
        <f t="shared" ca="1" si="37"/>
        <v>55</v>
      </c>
      <c r="I290" t="s">
        <v>626</v>
      </c>
      <c r="J290" s="1">
        <v>37648</v>
      </c>
      <c r="P290" s="1">
        <f t="shared" ca="1" si="38"/>
        <v>42737</v>
      </c>
      <c r="Q290">
        <f t="shared" ca="1" si="39"/>
        <v>47</v>
      </c>
      <c r="Y290">
        <v>1</v>
      </c>
      <c r="Z290" t="str">
        <f t="shared" ca="1" si="32"/>
        <v>12157</v>
      </c>
      <c r="AA290" t="str">
        <f t="shared" si="33"/>
        <v>Berlin</v>
      </c>
      <c r="AB290" t="str">
        <f t="shared" si="34"/>
        <v>Marktstraße</v>
      </c>
      <c r="AC290" t="str" cm="1">
        <f t="array" ref="AC290">ErzeugeHausnummer()</f>
        <v>79</v>
      </c>
      <c r="AD290">
        <v>1</v>
      </c>
      <c r="AF290">
        <v>1</v>
      </c>
      <c r="AG290" s="6" t="str">
        <f t="shared" si="35"/>
        <v>030</v>
      </c>
      <c r="AH290" t="str">
        <f t="shared" ca="1" si="36"/>
        <v>89582181</v>
      </c>
      <c r="AI290">
        <v>1</v>
      </c>
      <c r="AK290">
        <v>2</v>
      </c>
      <c r="AN290">
        <v>1</v>
      </c>
      <c r="AU290">
        <v>1</v>
      </c>
    </row>
    <row r="291" spans="1:47" x14ac:dyDescent="0.45">
      <c r="A291">
        <v>289</v>
      </c>
      <c r="B291">
        <v>183</v>
      </c>
      <c r="C291">
        <v>125</v>
      </c>
      <c r="D291" s="3" t="s">
        <v>0</v>
      </c>
      <c r="E291" s="3" t="s">
        <v>602</v>
      </c>
      <c r="F291" s="3" t="s">
        <v>456</v>
      </c>
      <c r="G291" s="1">
        <v>36535</v>
      </c>
      <c r="H291" s="11">
        <f t="shared" ca="1" si="37"/>
        <v>24</v>
      </c>
      <c r="I291" t="s">
        <v>624</v>
      </c>
      <c r="P291" s="1">
        <f t="shared" ca="1" si="38"/>
        <v>43691</v>
      </c>
      <c r="Q291">
        <f t="shared" ca="1" si="39"/>
        <v>19</v>
      </c>
      <c r="Y291">
        <v>1</v>
      </c>
      <c r="Z291" t="str">
        <f t="shared" ca="1" si="32"/>
        <v>14789</v>
      </c>
      <c r="AA291" t="str">
        <f t="shared" si="33"/>
        <v>Wusterwitz</v>
      </c>
      <c r="AB291" t="str">
        <f t="shared" si="34"/>
        <v>Immanuel-Kant-Straße</v>
      </c>
      <c r="AC291" t="str" cm="1">
        <f t="array" ref="AC291">ErzeugeHausnummer()</f>
        <v>23F</v>
      </c>
      <c r="AD291">
        <v>1</v>
      </c>
      <c r="AF291">
        <v>1</v>
      </c>
      <c r="AG291" s="6" t="str">
        <f t="shared" si="35"/>
        <v>033834</v>
      </c>
      <c r="AH291" t="str">
        <f t="shared" ca="1" si="36"/>
        <v>7250</v>
      </c>
      <c r="AI291">
        <v>1</v>
      </c>
      <c r="AK291">
        <v>2</v>
      </c>
      <c r="AN291">
        <v>1</v>
      </c>
      <c r="AU291">
        <v>1</v>
      </c>
    </row>
    <row r="292" spans="1:47" x14ac:dyDescent="0.45">
      <c r="A292">
        <v>290</v>
      </c>
      <c r="B292">
        <v>65</v>
      </c>
      <c r="C292">
        <v>111</v>
      </c>
      <c r="D292" s="3" t="s">
        <v>0</v>
      </c>
      <c r="E292" s="3" t="s">
        <v>603</v>
      </c>
      <c r="F292" s="3" t="s">
        <v>457</v>
      </c>
      <c r="G292" s="1">
        <v>30921</v>
      </c>
      <c r="H292" s="11">
        <f t="shared" ca="1" si="37"/>
        <v>39</v>
      </c>
      <c r="I292" t="s">
        <v>625</v>
      </c>
      <c r="J292" s="1">
        <v>45054</v>
      </c>
      <c r="P292" s="1">
        <f t="shared" ca="1" si="38"/>
        <v>42389</v>
      </c>
      <c r="Q292">
        <f t="shared" ca="1" si="39"/>
        <v>31</v>
      </c>
      <c r="Y292">
        <v>1</v>
      </c>
      <c r="Z292" t="str">
        <f t="shared" ca="1" si="32"/>
        <v>13597</v>
      </c>
      <c r="AA292" t="str">
        <f t="shared" si="33"/>
        <v>Berlin</v>
      </c>
      <c r="AB292" t="str">
        <f t="shared" si="34"/>
        <v>Heideweg</v>
      </c>
      <c r="AC292" t="str" cm="1">
        <f t="array" ref="AC292">ErzeugeHausnummer()</f>
        <v>26</v>
      </c>
      <c r="AD292">
        <v>1</v>
      </c>
      <c r="AF292">
        <v>1</v>
      </c>
      <c r="AG292" s="6" t="str">
        <f t="shared" si="35"/>
        <v>030</v>
      </c>
      <c r="AH292" t="str">
        <f t="shared" ca="1" si="36"/>
        <v>81995854</v>
      </c>
      <c r="AI292">
        <v>1</v>
      </c>
      <c r="AK292">
        <v>2</v>
      </c>
      <c r="AN292">
        <v>1</v>
      </c>
      <c r="AU292">
        <v>1</v>
      </c>
    </row>
    <row r="293" spans="1:47" x14ac:dyDescent="0.45">
      <c r="A293">
        <v>291</v>
      </c>
      <c r="B293">
        <v>103</v>
      </c>
      <c r="C293">
        <v>124</v>
      </c>
      <c r="D293" s="3" t="s">
        <v>0</v>
      </c>
      <c r="E293" s="3" t="s">
        <v>440</v>
      </c>
      <c r="F293" s="3" t="s">
        <v>458</v>
      </c>
      <c r="G293" s="1">
        <v>30425</v>
      </c>
      <c r="H293" s="11">
        <f t="shared" ca="1" si="37"/>
        <v>41</v>
      </c>
      <c r="I293" t="s">
        <v>626</v>
      </c>
      <c r="J293" s="1">
        <v>38703</v>
      </c>
      <c r="P293" s="1">
        <f t="shared" ca="1" si="38"/>
        <v>37408</v>
      </c>
      <c r="Q293">
        <f t="shared" ca="1" si="39"/>
        <v>18</v>
      </c>
      <c r="Y293">
        <v>1</v>
      </c>
      <c r="Z293" t="str">
        <f t="shared" ca="1" si="32"/>
        <v>12435</v>
      </c>
      <c r="AA293" t="str">
        <f t="shared" si="33"/>
        <v>Berlin</v>
      </c>
      <c r="AB293" t="str">
        <f t="shared" si="34"/>
        <v>Humboldtstraße</v>
      </c>
      <c r="AC293" t="str" cm="1">
        <f t="array" ref="AC293">ErzeugeHausnummer()</f>
        <v>26</v>
      </c>
      <c r="AD293">
        <v>1</v>
      </c>
      <c r="AF293">
        <v>1</v>
      </c>
      <c r="AG293" s="6" t="str">
        <f t="shared" si="35"/>
        <v>030</v>
      </c>
      <c r="AH293" t="str">
        <f t="shared" ca="1" si="36"/>
        <v>57393356</v>
      </c>
      <c r="AI293">
        <v>1</v>
      </c>
      <c r="AK293">
        <v>2</v>
      </c>
      <c r="AN293">
        <v>1</v>
      </c>
      <c r="AU293">
        <v>1</v>
      </c>
    </row>
    <row r="294" spans="1:47" x14ac:dyDescent="0.45">
      <c r="A294">
        <v>292</v>
      </c>
      <c r="B294">
        <v>106</v>
      </c>
      <c r="C294">
        <v>264</v>
      </c>
      <c r="D294" s="3" t="s">
        <v>3</v>
      </c>
      <c r="E294" s="3" t="s">
        <v>604</v>
      </c>
      <c r="F294" s="3" t="s">
        <v>459</v>
      </c>
      <c r="G294" s="1">
        <v>26646</v>
      </c>
      <c r="H294" s="11">
        <f t="shared" ca="1" si="37"/>
        <v>52</v>
      </c>
      <c r="I294" t="s">
        <v>626</v>
      </c>
      <c r="J294" s="1">
        <v>36419</v>
      </c>
      <c r="P294" s="1">
        <f t="shared" ca="1" si="38"/>
        <v>37784</v>
      </c>
      <c r="Q294">
        <f t="shared" ca="1" si="39"/>
        <v>30</v>
      </c>
      <c r="Y294">
        <v>1</v>
      </c>
      <c r="Z294" t="str">
        <f t="shared" ca="1" si="32"/>
        <v>12555</v>
      </c>
      <c r="AA294" t="str">
        <f t="shared" si="33"/>
        <v>Berlin</v>
      </c>
      <c r="AB294" t="str">
        <f t="shared" si="34"/>
        <v>Siedlungsstraße</v>
      </c>
      <c r="AC294" t="str" cm="1">
        <f t="array" ref="AC294">ErzeugeHausnummer()</f>
        <v>22B</v>
      </c>
      <c r="AD294">
        <v>1</v>
      </c>
      <c r="AF294">
        <v>1</v>
      </c>
      <c r="AG294" s="6" t="str">
        <f t="shared" si="35"/>
        <v>030</v>
      </c>
      <c r="AH294" t="str">
        <f t="shared" ca="1" si="36"/>
        <v>87332291</v>
      </c>
      <c r="AI294">
        <v>1</v>
      </c>
      <c r="AK294">
        <v>2</v>
      </c>
      <c r="AN294">
        <v>1</v>
      </c>
      <c r="AU294">
        <v>1</v>
      </c>
    </row>
    <row r="295" spans="1:47" x14ac:dyDescent="0.45">
      <c r="A295">
        <v>293</v>
      </c>
      <c r="B295">
        <v>41</v>
      </c>
      <c r="C295">
        <v>80</v>
      </c>
      <c r="D295" s="3" t="s">
        <v>0</v>
      </c>
      <c r="E295" s="3" t="s">
        <v>605</v>
      </c>
      <c r="F295" s="3" t="s">
        <v>460</v>
      </c>
      <c r="G295" s="1">
        <v>33439</v>
      </c>
      <c r="H295" s="11">
        <f t="shared" ca="1" si="37"/>
        <v>33</v>
      </c>
      <c r="I295" t="s">
        <v>624</v>
      </c>
      <c r="J295" s="1"/>
      <c r="P295" s="1">
        <f t="shared" ca="1" si="38"/>
        <v>44026</v>
      </c>
      <c r="Q295">
        <f t="shared" ca="1" si="39"/>
        <v>28</v>
      </c>
      <c r="Y295">
        <v>1</v>
      </c>
      <c r="Z295" t="str">
        <f t="shared" ca="1" si="32"/>
        <v>13581</v>
      </c>
      <c r="AA295" t="str">
        <f t="shared" si="33"/>
        <v>Berlin</v>
      </c>
      <c r="AB295" t="str">
        <f t="shared" si="34"/>
        <v>Feldstraße</v>
      </c>
      <c r="AC295" t="str" cm="1">
        <f t="array" ref="AC295">ErzeugeHausnummer()</f>
        <v>12B/C</v>
      </c>
      <c r="AD295">
        <v>1</v>
      </c>
      <c r="AF295">
        <v>1</v>
      </c>
      <c r="AG295" s="6" t="str">
        <f t="shared" si="35"/>
        <v>030</v>
      </c>
      <c r="AH295" t="str">
        <f t="shared" ca="1" si="36"/>
        <v>89162417</v>
      </c>
      <c r="AI295">
        <v>1</v>
      </c>
      <c r="AK295">
        <v>2</v>
      </c>
      <c r="AN295">
        <v>1</v>
      </c>
      <c r="AU295">
        <v>1</v>
      </c>
    </row>
    <row r="296" spans="1:47" x14ac:dyDescent="0.45">
      <c r="A296">
        <v>294</v>
      </c>
      <c r="B296">
        <v>24</v>
      </c>
      <c r="C296">
        <v>45</v>
      </c>
      <c r="D296" s="3" t="s">
        <v>0</v>
      </c>
      <c r="E296" s="3" t="s">
        <v>606</v>
      </c>
      <c r="F296" s="3" t="s">
        <v>381</v>
      </c>
      <c r="G296" s="1">
        <v>23281</v>
      </c>
      <c r="H296" s="11">
        <f t="shared" ca="1" si="37"/>
        <v>60</v>
      </c>
      <c r="I296" t="s">
        <v>626</v>
      </c>
      <c r="J296" s="1">
        <v>33271</v>
      </c>
      <c r="P296" s="1">
        <f t="shared" ca="1" si="38"/>
        <v>40630</v>
      </c>
      <c r="Q296">
        <f t="shared" ca="1" si="39"/>
        <v>48</v>
      </c>
      <c r="Y296">
        <v>1</v>
      </c>
      <c r="Z296" t="str">
        <f t="shared" ca="1" si="32"/>
        <v>10707</v>
      </c>
      <c r="AA296" t="str">
        <f t="shared" si="33"/>
        <v>Berlin</v>
      </c>
      <c r="AB296" t="str">
        <f t="shared" si="34"/>
        <v>Blumenstraße</v>
      </c>
      <c r="AC296" t="str" cm="1">
        <f t="array" ref="AC296">ErzeugeHausnummer()</f>
        <v>15</v>
      </c>
      <c r="AD296">
        <v>1</v>
      </c>
      <c r="AF296">
        <v>1</v>
      </c>
      <c r="AG296" s="6" t="str">
        <f t="shared" si="35"/>
        <v>030</v>
      </c>
      <c r="AH296" t="str">
        <f t="shared" ca="1" si="36"/>
        <v>56741037</v>
      </c>
      <c r="AI296">
        <v>1</v>
      </c>
      <c r="AK296">
        <v>2</v>
      </c>
      <c r="AN296">
        <v>1</v>
      </c>
      <c r="AU296">
        <v>1</v>
      </c>
    </row>
    <row r="297" spans="1:47" x14ac:dyDescent="0.45">
      <c r="A297">
        <v>295</v>
      </c>
      <c r="B297">
        <v>7</v>
      </c>
      <c r="C297">
        <v>132</v>
      </c>
      <c r="D297" s="3" t="s">
        <v>3</v>
      </c>
      <c r="E297" s="3" t="s">
        <v>607</v>
      </c>
      <c r="F297" s="3" t="s">
        <v>461</v>
      </c>
      <c r="G297" s="1">
        <v>36385</v>
      </c>
      <c r="H297" s="11">
        <f t="shared" ca="1" si="37"/>
        <v>25</v>
      </c>
      <c r="I297" t="s">
        <v>624</v>
      </c>
      <c r="P297" s="1">
        <f t="shared" ca="1" si="38"/>
        <v>43576</v>
      </c>
      <c r="Q297">
        <f t="shared" ca="1" si="39"/>
        <v>20</v>
      </c>
      <c r="Y297">
        <v>1</v>
      </c>
      <c r="Z297" t="str">
        <f t="shared" ca="1" si="32"/>
        <v>10961</v>
      </c>
      <c r="AA297" t="str">
        <f t="shared" si="33"/>
        <v>Berlin</v>
      </c>
      <c r="AB297" t="str">
        <f t="shared" si="34"/>
        <v>Johannes-Gutenberg-Straße</v>
      </c>
      <c r="AC297" t="str" cm="1">
        <f t="array" ref="AC297">ErzeugeHausnummer()</f>
        <v>73C</v>
      </c>
      <c r="AD297">
        <v>1</v>
      </c>
      <c r="AF297">
        <v>1</v>
      </c>
      <c r="AG297" s="6" t="str">
        <f t="shared" si="35"/>
        <v>030</v>
      </c>
      <c r="AH297" t="str">
        <f t="shared" ca="1" si="36"/>
        <v>87731401</v>
      </c>
      <c r="AI297">
        <v>1</v>
      </c>
      <c r="AK297">
        <v>2</v>
      </c>
      <c r="AN297">
        <v>1</v>
      </c>
      <c r="AU297">
        <v>1</v>
      </c>
    </row>
    <row r="298" spans="1:47" x14ac:dyDescent="0.45">
      <c r="A298">
        <v>296</v>
      </c>
      <c r="B298">
        <v>126</v>
      </c>
      <c r="C298">
        <v>107</v>
      </c>
      <c r="D298" s="3" t="s">
        <v>0</v>
      </c>
      <c r="E298" s="3" t="s">
        <v>608</v>
      </c>
      <c r="F298" s="3" t="s">
        <v>2</v>
      </c>
      <c r="G298" s="1">
        <v>24245</v>
      </c>
      <c r="H298" s="11">
        <f t="shared" ca="1" si="37"/>
        <v>58</v>
      </c>
      <c r="I298" t="s">
        <v>625</v>
      </c>
      <c r="J298" s="1">
        <v>41218</v>
      </c>
      <c r="P298" s="1">
        <f t="shared" ca="1" si="38"/>
        <v>36319</v>
      </c>
      <c r="Q298">
        <f t="shared" ca="1" si="39"/>
        <v>32</v>
      </c>
      <c r="Y298">
        <v>1</v>
      </c>
      <c r="Z298" t="str">
        <f t="shared" ca="1" si="32"/>
        <v>14467</v>
      </c>
      <c r="AA298" t="str">
        <f t="shared" si="33"/>
        <v>Potsdam</v>
      </c>
      <c r="AB298" t="str">
        <f t="shared" si="34"/>
        <v>Haubenweg</v>
      </c>
      <c r="AC298" t="str" cm="1">
        <f t="array" ref="AC298">ErzeugeHausnummer()</f>
        <v>9</v>
      </c>
      <c r="AD298">
        <v>1</v>
      </c>
      <c r="AF298">
        <v>1</v>
      </c>
      <c r="AG298" s="6" t="str">
        <f t="shared" si="35"/>
        <v>0331</v>
      </c>
      <c r="AH298" t="str">
        <f t="shared" ca="1" si="36"/>
        <v>86971</v>
      </c>
      <c r="AI298">
        <v>1</v>
      </c>
      <c r="AK298">
        <v>2</v>
      </c>
      <c r="AN298">
        <v>1</v>
      </c>
      <c r="AU298">
        <v>1</v>
      </c>
    </row>
    <row r="299" spans="1:47" x14ac:dyDescent="0.45">
      <c r="A299">
        <v>297</v>
      </c>
      <c r="B299">
        <v>156</v>
      </c>
      <c r="C299">
        <v>40</v>
      </c>
      <c r="D299" s="3" t="s">
        <v>0</v>
      </c>
      <c r="E299" s="3" t="s">
        <v>609</v>
      </c>
      <c r="F299" s="3" t="s">
        <v>462</v>
      </c>
      <c r="G299" s="1">
        <v>37406</v>
      </c>
      <c r="H299" s="11">
        <f t="shared" ca="1" si="37"/>
        <v>21</v>
      </c>
      <c r="I299" t="s">
        <v>624</v>
      </c>
      <c r="P299" s="1">
        <f t="shared" ca="1" si="38"/>
        <v>46382</v>
      </c>
      <c r="Q299">
        <f t="shared" ca="1" si="39"/>
        <v>23</v>
      </c>
      <c r="Y299">
        <v>1</v>
      </c>
      <c r="Z299" t="str">
        <f t="shared" ca="1" si="32"/>
        <v>14624</v>
      </c>
      <c r="AA299" t="str">
        <f t="shared" si="33"/>
        <v>Dallgow-Döberitz</v>
      </c>
      <c r="AB299" t="str">
        <f t="shared" si="34"/>
        <v>Berner Straße</v>
      </c>
      <c r="AC299" t="str" cm="1">
        <f t="array" ref="AC299">ErzeugeHausnummer()</f>
        <v>14</v>
      </c>
      <c r="AD299">
        <v>1</v>
      </c>
      <c r="AF299">
        <v>1</v>
      </c>
      <c r="AG299" s="6" t="str">
        <f t="shared" si="35"/>
        <v>03322</v>
      </c>
      <c r="AH299" t="str">
        <f t="shared" ca="1" si="36"/>
        <v>43878</v>
      </c>
      <c r="AI299">
        <v>1</v>
      </c>
      <c r="AK299">
        <v>2</v>
      </c>
      <c r="AN299">
        <v>1</v>
      </c>
      <c r="AU299">
        <v>1</v>
      </c>
    </row>
    <row r="300" spans="1:47" x14ac:dyDescent="0.45">
      <c r="A300">
        <v>298</v>
      </c>
      <c r="B300">
        <v>110</v>
      </c>
      <c r="C300">
        <v>290</v>
      </c>
      <c r="D300" s="3" t="s">
        <v>3</v>
      </c>
      <c r="E300" s="3" t="s">
        <v>497</v>
      </c>
      <c r="F300" s="3" t="s">
        <v>463</v>
      </c>
      <c r="G300" s="1">
        <v>30585</v>
      </c>
      <c r="H300" s="11">
        <f t="shared" ca="1" si="37"/>
        <v>40</v>
      </c>
      <c r="I300" t="s">
        <v>626</v>
      </c>
      <c r="J300" s="1">
        <v>42810</v>
      </c>
      <c r="P300" s="1">
        <f t="shared" ca="1" si="38"/>
        <v>41373</v>
      </c>
      <c r="Q300">
        <f t="shared" ca="1" si="39"/>
        <v>29</v>
      </c>
      <c r="Y300">
        <v>1</v>
      </c>
      <c r="Z300" t="str">
        <f t="shared" ca="1" si="32"/>
        <v>10315</v>
      </c>
      <c r="AA300" t="str">
        <f t="shared" si="33"/>
        <v>Berlin</v>
      </c>
      <c r="AB300" t="str">
        <f t="shared" si="34"/>
        <v>Waldweg</v>
      </c>
      <c r="AC300" t="str" cm="1">
        <f t="array" ref="AC300">ErzeugeHausnummer()</f>
        <v>37</v>
      </c>
      <c r="AD300">
        <v>1</v>
      </c>
      <c r="AF300">
        <v>1</v>
      </c>
      <c r="AG300" s="6" t="str">
        <f t="shared" si="35"/>
        <v>030</v>
      </c>
      <c r="AH300" t="str">
        <f t="shared" ca="1" si="36"/>
        <v>94273494</v>
      </c>
      <c r="AI300">
        <v>1</v>
      </c>
      <c r="AK300">
        <v>2</v>
      </c>
      <c r="AN300">
        <v>1</v>
      </c>
      <c r="AU300">
        <v>1</v>
      </c>
    </row>
    <row r="301" spans="1:47" x14ac:dyDescent="0.45">
      <c r="A301">
        <v>299</v>
      </c>
      <c r="B301">
        <v>92</v>
      </c>
      <c r="C301">
        <v>165</v>
      </c>
      <c r="D301" s="3" t="s">
        <v>0</v>
      </c>
      <c r="E301" s="3" t="s">
        <v>520</v>
      </c>
      <c r="F301" s="3" t="s">
        <v>35</v>
      </c>
      <c r="G301" s="1">
        <v>36951</v>
      </c>
      <c r="H301" s="11">
        <f t="shared" ca="1" si="37"/>
        <v>23</v>
      </c>
      <c r="I301" t="s">
        <v>624</v>
      </c>
      <c r="P301" s="1">
        <f t="shared" ca="1" si="38"/>
        <v>44662</v>
      </c>
      <c r="Q301">
        <f t="shared" ca="1" si="39"/>
        <v>21</v>
      </c>
      <c r="Y301">
        <v>1</v>
      </c>
      <c r="Z301" t="str">
        <f t="shared" ca="1" si="32"/>
        <v>12247</v>
      </c>
      <c r="AA301" t="str">
        <f t="shared" si="33"/>
        <v>Berlin</v>
      </c>
      <c r="AB301" t="str">
        <f t="shared" si="34"/>
        <v>Lindenplatz</v>
      </c>
      <c r="AC301" t="str" cm="1">
        <f t="array" ref="AC301">ErzeugeHausnummer()</f>
        <v>37</v>
      </c>
      <c r="AD301">
        <v>1</v>
      </c>
      <c r="AF301">
        <v>1</v>
      </c>
      <c r="AG301" s="6" t="str">
        <f t="shared" si="35"/>
        <v>030</v>
      </c>
      <c r="AH301" t="str">
        <f t="shared" ca="1" si="36"/>
        <v>58768117</v>
      </c>
      <c r="AI301">
        <v>1</v>
      </c>
      <c r="AK301">
        <v>2</v>
      </c>
      <c r="AN301">
        <v>1</v>
      </c>
      <c r="AU301">
        <v>1</v>
      </c>
    </row>
    <row r="302" spans="1:47" x14ac:dyDescent="0.45">
      <c r="A302">
        <v>300</v>
      </c>
      <c r="B302">
        <v>126</v>
      </c>
      <c r="C302">
        <v>92</v>
      </c>
      <c r="D302" s="3" t="s">
        <v>3</v>
      </c>
      <c r="E302" s="3" t="s">
        <v>469</v>
      </c>
      <c r="F302" s="3" t="s">
        <v>381</v>
      </c>
      <c r="G302" s="1">
        <v>20950</v>
      </c>
      <c r="H302" s="11">
        <f t="shared" ca="1" si="37"/>
        <v>67</v>
      </c>
      <c r="I302" t="s">
        <v>627</v>
      </c>
      <c r="J302" s="1">
        <v>44219</v>
      </c>
      <c r="P302" s="1">
        <f t="shared" ca="1" si="38"/>
        <v>37272</v>
      </c>
      <c r="Q302">
        <f t="shared" ca="1" si="39"/>
        <v>45</v>
      </c>
      <c r="R302" s="1">
        <f>DATE(IF(MONTH(G302)=12,YEAR(G302)+66,YEAR(G302)+65),IF(MONTH(G302)=12,1,MONTH(G302)+1),1)</f>
        <v>44713</v>
      </c>
      <c r="S302" t="s">
        <v>1022</v>
      </c>
      <c r="Y302">
        <v>1</v>
      </c>
      <c r="Z302" t="str">
        <f t="shared" ca="1" si="32"/>
        <v>14467</v>
      </c>
      <c r="AA302" t="str">
        <f t="shared" si="33"/>
        <v>Potsdam</v>
      </c>
      <c r="AB302" t="str">
        <f t="shared" si="34"/>
        <v>Gänseweg</v>
      </c>
      <c r="AC302" t="str" cm="1">
        <f t="array" ref="AC302">ErzeugeHausnummer()</f>
        <v>28</v>
      </c>
      <c r="AD302">
        <v>1</v>
      </c>
      <c r="AF302">
        <v>1</v>
      </c>
      <c r="AG302" s="6" t="str">
        <f t="shared" si="35"/>
        <v>0331</v>
      </c>
      <c r="AH302" t="str">
        <f t="shared" ca="1" si="36"/>
        <v>57931</v>
      </c>
      <c r="AI302">
        <v>1</v>
      </c>
      <c r="AK302">
        <v>2</v>
      </c>
      <c r="AN302">
        <v>1</v>
      </c>
      <c r="AU302">
        <v>1</v>
      </c>
    </row>
    <row r="303" spans="1:47" x14ac:dyDescent="0.45">
      <c r="A303">
        <v>301</v>
      </c>
      <c r="B303">
        <v>167</v>
      </c>
      <c r="C303">
        <v>78</v>
      </c>
      <c r="D303" s="3" t="s">
        <v>0</v>
      </c>
      <c r="E303" s="3" t="s">
        <v>583</v>
      </c>
      <c r="F303" s="3" t="s">
        <v>2</v>
      </c>
      <c r="G303" s="1">
        <v>31201</v>
      </c>
      <c r="H303" s="11">
        <f t="shared" ca="1" si="37"/>
        <v>39</v>
      </c>
      <c r="I303" t="s">
        <v>626</v>
      </c>
      <c r="J303" s="1">
        <v>42275</v>
      </c>
      <c r="P303" s="1">
        <f t="shared" ca="1" si="38"/>
        <v>48210</v>
      </c>
      <c r="Q303">
        <f t="shared" ca="1" si="39"/>
        <v>46</v>
      </c>
      <c r="Y303">
        <v>1</v>
      </c>
      <c r="Z303" t="str">
        <f t="shared" ca="1" si="32"/>
        <v>14621</v>
      </c>
      <c r="AA303" t="str">
        <f t="shared" si="33"/>
        <v>Paaren im Glien</v>
      </c>
      <c r="AB303" t="str">
        <f t="shared" si="34"/>
        <v>Fasanenstraße</v>
      </c>
      <c r="AC303" t="str" cm="1">
        <f t="array" ref="AC303">ErzeugeHausnummer()</f>
        <v>21</v>
      </c>
      <c r="AD303">
        <v>1</v>
      </c>
      <c r="AF303">
        <v>1</v>
      </c>
      <c r="AG303" s="6" t="str">
        <f t="shared" si="35"/>
        <v>033230</v>
      </c>
      <c r="AH303" t="str">
        <f t="shared" ca="1" si="36"/>
        <v>6145</v>
      </c>
      <c r="AI303">
        <v>1</v>
      </c>
      <c r="AK303">
        <v>2</v>
      </c>
      <c r="AN303">
        <v>1</v>
      </c>
      <c r="AU303">
        <v>1</v>
      </c>
    </row>
    <row r="304" spans="1:47" x14ac:dyDescent="0.45">
      <c r="A304">
        <v>302</v>
      </c>
      <c r="B304">
        <v>27</v>
      </c>
      <c r="C304">
        <v>266</v>
      </c>
      <c r="D304" s="3" t="s">
        <v>3</v>
      </c>
      <c r="E304" s="3" t="s">
        <v>632</v>
      </c>
      <c r="F304" s="3" t="s">
        <v>633</v>
      </c>
      <c r="G304" s="1">
        <v>33881</v>
      </c>
      <c r="H304" s="11">
        <f t="shared" ca="1" si="37"/>
        <v>32</v>
      </c>
      <c r="I304" s="3" t="s">
        <v>624</v>
      </c>
      <c r="P304" s="1">
        <f t="shared" ca="1" si="38"/>
        <v>43354</v>
      </c>
      <c r="Q304">
        <f t="shared" ca="1" si="39"/>
        <v>26</v>
      </c>
      <c r="Y304">
        <v>1</v>
      </c>
      <c r="Z304" t="str">
        <f t="shared" ca="1" si="32"/>
        <v>14052</v>
      </c>
      <c r="AA304" t="str">
        <f t="shared" si="33"/>
        <v>Berlin</v>
      </c>
      <c r="AB304" t="str">
        <f t="shared" si="34"/>
        <v>Sonnenplatz</v>
      </c>
      <c r="AC304" t="str" cm="1">
        <f t="array" ref="AC304">ErzeugeHausnummer()</f>
        <v>4B/C</v>
      </c>
      <c r="AD304">
        <v>1</v>
      </c>
      <c r="AF304">
        <v>1</v>
      </c>
      <c r="AG304" s="6" t="str">
        <f t="shared" si="35"/>
        <v>030</v>
      </c>
      <c r="AH304" t="str">
        <f t="shared" ca="1" si="36"/>
        <v>61619107</v>
      </c>
      <c r="AI304">
        <v>1</v>
      </c>
      <c r="AK304">
        <v>2</v>
      </c>
      <c r="AN304">
        <v>1</v>
      </c>
      <c r="AU304">
        <v>1</v>
      </c>
    </row>
    <row r="305" spans="1:47" x14ac:dyDescent="0.45">
      <c r="A305">
        <v>303</v>
      </c>
      <c r="B305">
        <v>64</v>
      </c>
      <c r="C305">
        <v>173</v>
      </c>
      <c r="D305" s="3" t="s">
        <v>3</v>
      </c>
      <c r="E305" s="3" t="s">
        <v>634</v>
      </c>
      <c r="F305" s="3" t="s">
        <v>635</v>
      </c>
      <c r="G305" s="1">
        <v>34702</v>
      </c>
      <c r="H305" s="11">
        <f t="shared" ca="1" si="37"/>
        <v>29</v>
      </c>
      <c r="I305" t="s">
        <v>626</v>
      </c>
      <c r="J305" s="1">
        <v>43025</v>
      </c>
      <c r="P305" s="1">
        <f t="shared" ca="1" si="38"/>
        <v>42320</v>
      </c>
      <c r="Q305">
        <f t="shared" ca="1" si="39"/>
        <v>20</v>
      </c>
      <c r="Y305">
        <v>1</v>
      </c>
      <c r="Z305" t="str">
        <f t="shared" ca="1" si="32"/>
        <v>13597</v>
      </c>
      <c r="AA305" t="str">
        <f t="shared" si="33"/>
        <v>Berlin</v>
      </c>
      <c r="AB305" t="str">
        <f t="shared" si="34"/>
        <v>Ludwig-Erhard-Straße</v>
      </c>
      <c r="AC305" t="str" cm="1">
        <f t="array" ref="AC305">ErzeugeHausnummer()</f>
        <v>18</v>
      </c>
      <c r="AD305">
        <v>1</v>
      </c>
      <c r="AF305">
        <v>1</v>
      </c>
      <c r="AG305" s="6" t="str">
        <f t="shared" si="35"/>
        <v>030</v>
      </c>
      <c r="AH305" t="str">
        <f t="shared" ca="1" si="36"/>
        <v>54186517</v>
      </c>
      <c r="AI305">
        <v>1</v>
      </c>
      <c r="AK305">
        <v>2</v>
      </c>
      <c r="AN305">
        <v>1</v>
      </c>
      <c r="AU305">
        <v>1</v>
      </c>
    </row>
    <row r="306" spans="1:47" x14ac:dyDescent="0.45">
      <c r="A306">
        <v>304</v>
      </c>
      <c r="B306">
        <v>163</v>
      </c>
      <c r="C306">
        <v>60</v>
      </c>
      <c r="D306" s="3" t="s">
        <v>3</v>
      </c>
      <c r="E306" s="3" t="s">
        <v>636</v>
      </c>
      <c r="F306" s="3" t="s">
        <v>637</v>
      </c>
      <c r="G306" s="1">
        <v>38467</v>
      </c>
      <c r="H306" s="11">
        <f t="shared" ca="1" si="37"/>
        <v>18</v>
      </c>
      <c r="I306" s="3" t="s">
        <v>624</v>
      </c>
      <c r="P306" s="1">
        <f t="shared" ca="1" si="38"/>
        <v>53655</v>
      </c>
      <c r="Q306">
        <f t="shared" ca="1" si="39"/>
        <v>40</v>
      </c>
      <c r="Y306">
        <v>1</v>
      </c>
      <c r="Z306" t="str">
        <f t="shared" ca="1" si="32"/>
        <v>14476</v>
      </c>
      <c r="AA306" t="str">
        <f t="shared" si="33"/>
        <v>Marquardt</v>
      </c>
      <c r="AB306" t="str">
        <f t="shared" si="34"/>
        <v>Cleveland-Allee</v>
      </c>
      <c r="AC306" t="str" cm="1">
        <f t="array" ref="AC306">ErzeugeHausnummer()</f>
        <v>21</v>
      </c>
      <c r="AD306">
        <v>1</v>
      </c>
      <c r="AF306">
        <v>1</v>
      </c>
      <c r="AG306" s="6" t="str">
        <f t="shared" si="35"/>
        <v>03381</v>
      </c>
      <c r="AH306" t="str">
        <f t="shared" ca="1" si="36"/>
        <v>75177</v>
      </c>
      <c r="AI306">
        <v>1</v>
      </c>
      <c r="AK306">
        <v>2</v>
      </c>
      <c r="AN306">
        <v>1</v>
      </c>
      <c r="AU306">
        <v>1</v>
      </c>
    </row>
    <row r="307" spans="1:47" x14ac:dyDescent="0.45">
      <c r="A307">
        <v>305</v>
      </c>
      <c r="B307">
        <v>195</v>
      </c>
      <c r="C307">
        <v>16</v>
      </c>
      <c r="D307" s="3" t="s">
        <v>3</v>
      </c>
      <c r="E307" s="3" t="s">
        <v>638</v>
      </c>
      <c r="F307" s="3" t="s">
        <v>639</v>
      </c>
      <c r="G307" s="1">
        <v>37819</v>
      </c>
      <c r="H307" s="11">
        <f t="shared" ca="1" si="37"/>
        <v>21</v>
      </c>
      <c r="I307" s="3" t="s">
        <v>624</v>
      </c>
      <c r="P307" s="1">
        <f t="shared" ca="1" si="38"/>
        <v>45705</v>
      </c>
      <c r="Q307">
        <f t="shared" ca="1" si="39"/>
        <v>22</v>
      </c>
      <c r="Y307">
        <v>1</v>
      </c>
      <c r="Z307" t="str">
        <f t="shared" ca="1" si="32"/>
        <v>14778</v>
      </c>
      <c r="AA307" t="str">
        <f t="shared" si="33"/>
        <v>Beetzsee</v>
      </c>
      <c r="AB307" t="str">
        <f t="shared" si="34"/>
        <v>Am Sportplatz</v>
      </c>
      <c r="AC307" t="str" cm="1">
        <f t="array" ref="AC307">ErzeugeHausnummer()</f>
        <v>61</v>
      </c>
      <c r="AD307">
        <v>1</v>
      </c>
      <c r="AF307">
        <v>1</v>
      </c>
      <c r="AG307" s="6" t="str">
        <f t="shared" si="35"/>
        <v>03381</v>
      </c>
      <c r="AH307" t="str">
        <f t="shared" ca="1" si="36"/>
        <v>64220</v>
      </c>
      <c r="AI307">
        <v>1</v>
      </c>
      <c r="AK307">
        <v>2</v>
      </c>
      <c r="AN307">
        <v>1</v>
      </c>
      <c r="AU307">
        <v>1</v>
      </c>
    </row>
  </sheetData>
  <autoFilter ref="D2:AU307" xr:uid="{AB69CBE6-CD42-4E7F-B0FF-C3A0F8561847}"/>
  <mergeCells count="6">
    <mergeCell ref="AN1:AU1"/>
    <mergeCell ref="A1:J1"/>
    <mergeCell ref="Y1:AD1"/>
    <mergeCell ref="L1:W1"/>
    <mergeCell ref="AF1:AI1"/>
    <mergeCell ref="AK1:AL1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C9A8A-B323-4900-92BF-C33C10ED3252}">
  <sheetPr codeName="Tabelle2"/>
  <dimension ref="A1:F26"/>
  <sheetViews>
    <sheetView workbookViewId="0">
      <selection activeCell="A16" sqref="A16"/>
    </sheetView>
  </sheetViews>
  <sheetFormatPr baseColWidth="10" defaultRowHeight="14.25" x14ac:dyDescent="0.45"/>
  <cols>
    <col min="1" max="1" width="13.265625" customWidth="1"/>
  </cols>
  <sheetData>
    <row r="1" spans="1:6" x14ac:dyDescent="0.45">
      <c r="A1" t="s">
        <v>622</v>
      </c>
      <c r="B1" t="s">
        <v>623</v>
      </c>
    </row>
    <row r="2" spans="1:6" x14ac:dyDescent="0.45">
      <c r="A2" t="s">
        <v>617</v>
      </c>
      <c r="B2">
        <v>3</v>
      </c>
      <c r="E2">
        <v>25</v>
      </c>
      <c r="F2">
        <v>28</v>
      </c>
    </row>
    <row r="3" spans="1:6" x14ac:dyDescent="0.45">
      <c r="A3" t="s">
        <v>619</v>
      </c>
      <c r="B3">
        <v>5</v>
      </c>
      <c r="E3">
        <v>30</v>
      </c>
      <c r="F3">
        <v>32</v>
      </c>
    </row>
    <row r="4" spans="1:6" x14ac:dyDescent="0.45">
      <c r="A4" t="s">
        <v>3</v>
      </c>
      <c r="B4">
        <v>2</v>
      </c>
      <c r="E4">
        <v>50</v>
      </c>
    </row>
    <row r="5" spans="1:6" x14ac:dyDescent="0.45">
      <c r="A5" t="s">
        <v>0</v>
      </c>
      <c r="B5">
        <v>1</v>
      </c>
    </row>
    <row r="6" spans="1:6" x14ac:dyDescent="0.45">
      <c r="A6" t="s">
        <v>621</v>
      </c>
      <c r="B6">
        <v>7</v>
      </c>
    </row>
    <row r="7" spans="1:6" x14ac:dyDescent="0.45">
      <c r="A7" t="s">
        <v>618</v>
      </c>
      <c r="B7">
        <v>4</v>
      </c>
    </row>
    <row r="8" spans="1:6" x14ac:dyDescent="0.45">
      <c r="A8" t="s">
        <v>620</v>
      </c>
      <c r="B8">
        <v>8</v>
      </c>
    </row>
    <row r="10" spans="1:6" x14ac:dyDescent="0.45">
      <c r="A10" t="s">
        <v>630</v>
      </c>
      <c r="B10" t="s">
        <v>631</v>
      </c>
    </row>
    <row r="11" spans="1:6" x14ac:dyDescent="0.45">
      <c r="A11" t="s">
        <v>624</v>
      </c>
      <c r="B11">
        <v>1</v>
      </c>
    </row>
    <row r="12" spans="1:6" x14ac:dyDescent="0.45">
      <c r="A12" t="s">
        <v>625</v>
      </c>
      <c r="B12">
        <v>3</v>
      </c>
    </row>
    <row r="13" spans="1:6" x14ac:dyDescent="0.45">
      <c r="A13" t="s">
        <v>628</v>
      </c>
      <c r="B13">
        <v>0</v>
      </c>
    </row>
    <row r="14" spans="1:6" x14ac:dyDescent="0.45">
      <c r="A14" t="s">
        <v>626</v>
      </c>
      <c r="B14">
        <v>2</v>
      </c>
    </row>
    <row r="15" spans="1:6" x14ac:dyDescent="0.45">
      <c r="A15" t="s">
        <v>627</v>
      </c>
      <c r="B15">
        <v>4</v>
      </c>
    </row>
    <row r="16" spans="1:6" x14ac:dyDescent="0.45">
      <c r="A16" t="s">
        <v>629</v>
      </c>
      <c r="B16">
        <v>5</v>
      </c>
    </row>
    <row r="18" spans="1:2" x14ac:dyDescent="0.45">
      <c r="A18" t="s">
        <v>1030</v>
      </c>
    </row>
    <row r="19" spans="1:2" x14ac:dyDescent="0.45">
      <c r="A19" s="6" t="s">
        <v>1023</v>
      </c>
      <c r="B19">
        <v>1</v>
      </c>
    </row>
    <row r="20" spans="1:2" x14ac:dyDescent="0.45">
      <c r="A20" s="6" t="s">
        <v>1024</v>
      </c>
      <c r="B20">
        <v>2</v>
      </c>
    </row>
    <row r="21" spans="1:2" x14ac:dyDescent="0.45">
      <c r="A21" s="6" t="s">
        <v>1025</v>
      </c>
      <c r="B21">
        <v>3</v>
      </c>
    </row>
    <row r="22" spans="1:2" x14ac:dyDescent="0.45">
      <c r="A22" s="6" t="s">
        <v>1026</v>
      </c>
      <c r="B22">
        <v>4</v>
      </c>
    </row>
    <row r="23" spans="1:2" x14ac:dyDescent="0.45">
      <c r="A23" s="6" t="s">
        <v>1027</v>
      </c>
      <c r="B23">
        <v>5</v>
      </c>
    </row>
    <row r="24" spans="1:2" x14ac:dyDescent="0.45">
      <c r="A24" s="6" t="s">
        <v>1028</v>
      </c>
      <c r="B24">
        <v>6</v>
      </c>
    </row>
    <row r="25" spans="1:2" x14ac:dyDescent="0.45">
      <c r="A25" s="6" t="s">
        <v>648</v>
      </c>
      <c r="B25">
        <v>7</v>
      </c>
    </row>
    <row r="26" spans="1:2" x14ac:dyDescent="0.45">
      <c r="A26" s="6" t="s">
        <v>1029</v>
      </c>
      <c r="B26">
        <v>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277A8-8793-42A1-B599-3F35E016BFFE}">
  <sheetPr codeName="Tabelle3"/>
  <dimension ref="A1:AD318"/>
  <sheetViews>
    <sheetView tabSelected="1" topLeftCell="A82" workbookViewId="0">
      <selection activeCell="M89" sqref="M89"/>
    </sheetView>
  </sheetViews>
  <sheetFormatPr baseColWidth="10" defaultRowHeight="14.25" x14ac:dyDescent="0.45"/>
  <cols>
    <col min="1" max="1" width="10.6640625" style="4"/>
    <col min="2" max="2" width="5.86328125" style="4" customWidth="1"/>
    <col min="3" max="3" width="10.6640625" style="4"/>
    <col min="4" max="4" width="12.6640625" style="4" customWidth="1"/>
    <col min="5" max="5" width="14.6640625" style="4" customWidth="1"/>
    <col min="6" max="6" width="11.796875" style="4" customWidth="1"/>
    <col min="7" max="7" width="14.265625" style="4" customWidth="1"/>
    <col min="8" max="8" width="12.19921875" style="4" customWidth="1"/>
    <col min="9" max="17" width="12.19921875" style="14" customWidth="1"/>
    <col min="18" max="18" width="4.796875" style="13" customWidth="1"/>
    <col min="19" max="19" width="10" style="13" customWidth="1"/>
    <col min="20" max="20" width="9.33203125" style="13" customWidth="1"/>
    <col min="21" max="21" width="12.19921875" style="13" customWidth="1"/>
    <col min="22" max="22" width="7.46484375" style="13" customWidth="1"/>
    <col min="23" max="24" width="12.19921875" style="12" customWidth="1"/>
    <col min="25" max="25" width="4.73046875" customWidth="1"/>
    <col min="26" max="26" width="94.796875" customWidth="1"/>
    <col min="27" max="27" width="3.46484375" customWidth="1"/>
    <col min="28" max="28" width="85.73046875" bestFit="1" customWidth="1"/>
    <col min="29" max="29" width="3.46484375" customWidth="1"/>
    <col min="30" max="30" width="62.9296875" bestFit="1" customWidth="1"/>
  </cols>
  <sheetData>
    <row r="1" spans="1:30" x14ac:dyDescent="0.45">
      <c r="A1" s="4" t="s">
        <v>325</v>
      </c>
      <c r="B1" s="4" t="s">
        <v>318</v>
      </c>
      <c r="C1" s="4" t="s">
        <v>319</v>
      </c>
      <c r="D1" s="4" t="s">
        <v>320</v>
      </c>
      <c r="E1" s="4" t="s">
        <v>321</v>
      </c>
      <c r="F1" s="4" t="s">
        <v>322</v>
      </c>
      <c r="G1" s="4" t="s">
        <v>323</v>
      </c>
      <c r="H1" s="4" t="s">
        <v>324</v>
      </c>
      <c r="I1" s="14" t="s">
        <v>1484</v>
      </c>
      <c r="J1" s="14" t="s">
        <v>318</v>
      </c>
      <c r="K1" s="14" t="s">
        <v>1032</v>
      </c>
      <c r="L1" s="14" t="s">
        <v>1033</v>
      </c>
      <c r="M1" s="14" t="s">
        <v>1034</v>
      </c>
      <c r="N1" s="14" t="s">
        <v>1035</v>
      </c>
      <c r="O1" s="14" t="s">
        <v>1036</v>
      </c>
      <c r="P1" s="14" t="s">
        <v>1037</v>
      </c>
      <c r="Q1" s="14" t="s">
        <v>1069</v>
      </c>
      <c r="R1" s="13" t="s">
        <v>318</v>
      </c>
      <c r="S1" s="13" t="s">
        <v>1040</v>
      </c>
      <c r="T1" s="13" t="s">
        <v>1041</v>
      </c>
      <c r="U1" s="13" t="s">
        <v>1042</v>
      </c>
      <c r="V1" s="13" t="s">
        <v>1037</v>
      </c>
      <c r="Z1" s="2" t="str" cm="1">
        <f t="array" ref="Z1">CONCATENATE("INSERT INTO ",A$1," ",Liste(B$1:H$1)," VALUES")</f>
        <v>INSERT INTO Person (ID, Name, FirstName, FormOfAddress, FamilyStatus, FamilyStatusSince, Birthday) VALUES</v>
      </c>
      <c r="AB1" s="2" t="str" cm="1">
        <f t="array" ref="AB1">CONCATENATE("INSERT INTO ",I$1," ",Liste(J$1:P$1)," VALUES")</f>
        <v>INSERT INTO Address (ID, AddressType, Zipcode, City, Street, StreetNumber, Country) VALUES</v>
      </c>
      <c r="AD1" s="2" t="str" cm="1">
        <f t="array" ref="AD1">CONCATENATE("INSERT INTO ",Q$1," ",Liste(R$1:V$1)," VALUES")</f>
        <v>INSERT INTO Phone (ID, PhoneType, AreaCode, CallNumber, Country) VALUES</v>
      </c>
    </row>
    <row r="2" spans="1:30" x14ac:dyDescent="0.45">
      <c r="B2" s="4">
        <f>Grunddaten!A3</f>
        <v>1</v>
      </c>
      <c r="C2" s="4" t="str">
        <f>CONCATENATE("'",Grunddaten!F3,"'")</f>
        <v>'Müller'</v>
      </c>
      <c r="D2" s="4" t="str">
        <f>CONCATENATE("'",Grunddaten!E3,"'")</f>
        <v>'Lukas'</v>
      </c>
      <c r="E2" s="4">
        <f>VLOOKUP(Grunddaten!D3,FormOfAddress,2,TRUE)</f>
        <v>1</v>
      </c>
      <c r="F2" s="4">
        <f>VLOOKUP(Grunddaten!I3,FamilyStatus,2,FALSE)</f>
        <v>3</v>
      </c>
      <c r="G2" s="4" t="str">
        <f>IF(Grunddaten!J3&lt;&gt;"",CONCATENATE("'",TEXT(Grunddaten!J3,"JJJJ-MM-tt"),"'"),"NULL")</f>
        <v>'2016-06-05'</v>
      </c>
      <c r="H2" s="4" t="str">
        <f>CONCATENATE("'",TEXT(Grunddaten!G3,"JJJJ-MM-tt"),"'")</f>
        <v>'1959-08-03'</v>
      </c>
      <c r="J2" s="14">
        <f>Grunddaten!A3</f>
        <v>1</v>
      </c>
      <c r="K2" s="14">
        <f>Grunddaten!Y3</f>
        <v>1</v>
      </c>
      <c r="L2" s="14" t="str">
        <f ca="1">CONCATENATE("'",Grunddaten!Z3,"'")</f>
        <v>'14828'</v>
      </c>
      <c r="M2" s="14" t="str">
        <f>CONCATENATE("'",Grunddaten!AA3,"'")</f>
        <v>'Görzke'</v>
      </c>
      <c r="N2" s="14" t="str">
        <f>CONCATENATE("'",Grunddaten!AB3,"'")</f>
        <v>'Louisvillestraße'</v>
      </c>
      <c r="O2" s="14" t="str">
        <f>CONCATENATE("'",Grunddaten!AC3,"'")</f>
        <v>'11'</v>
      </c>
      <c r="P2" s="14">
        <f>Grunddaten!AD3</f>
        <v>1</v>
      </c>
      <c r="R2" s="13">
        <f>Grunddaten!A3</f>
        <v>1</v>
      </c>
      <c r="S2" s="13">
        <f>Grunddaten!AF3</f>
        <v>1</v>
      </c>
      <c r="T2" s="13" t="str">
        <f>CONCATENATE("'",Grunddaten!AG3,"'")</f>
        <v>'033847'</v>
      </c>
      <c r="U2" s="13" t="str">
        <f ca="1">CONCATENATE("'",Grunddaten!AH3,"'")</f>
        <v>'6353'</v>
      </c>
      <c r="V2" s="13">
        <f>Grunddaten!AI3</f>
        <v>1</v>
      </c>
      <c r="Z2" s="2" t="str" cm="1">
        <f t="array" ref="Z2">CONCATENATE("                   ",Liste(B2:H2),IF(Z3&lt;&gt;"",",",""))</f>
        <v xml:space="preserve">                   (1, 'Müller', 'Lukas', 1, 3, '2016-06-05', '1959-08-03'),</v>
      </c>
      <c r="AB2" s="2" t="str" cm="1">
        <f t="array" aca="1" ref="AB2" ca="1">CONCATENATE("                    ",Liste(J2:P2),IF(AB3&lt;&gt;"",",",""))</f>
        <v xml:space="preserve">                    (1, 1, '14828', 'Görzke', 'Louisvillestraße', '11', 1),</v>
      </c>
      <c r="AD2" s="2" t="str" cm="1">
        <f t="array" aca="1" ref="AD2" ca="1">CONCATENATE("                   ",Liste(R2:V2),IF(AD3&lt;&gt;"",",",""))</f>
        <v xml:space="preserve">                   (1, 1, '033847', '6353', 1),</v>
      </c>
    </row>
    <row r="3" spans="1:30" x14ac:dyDescent="0.45">
      <c r="B3" s="4">
        <f>Grunddaten!A4</f>
        <v>2</v>
      </c>
      <c r="C3" s="4" t="str">
        <f>CONCATENATE("'",Grunddaten!F4,"'")</f>
        <v>'Schmidt'</v>
      </c>
      <c r="D3" s="4" t="str">
        <f>CONCATENATE("'",Grunddaten!E4,"'")</f>
        <v>'Julia'</v>
      </c>
      <c r="E3" s="4">
        <f>VLOOKUP(Grunddaten!D4,FormOfAddress,2,TRUE)</f>
        <v>2</v>
      </c>
      <c r="F3" s="4">
        <f>VLOOKUP(Grunddaten!I4,FamilyStatus,2,FALSE)</f>
        <v>2</v>
      </c>
      <c r="G3" s="4" t="str">
        <f>IF(Grunddaten!J4&lt;&gt;"",CONCATENATE("'",TEXT(Grunddaten!J4,"JJJJ-MM-tt"),"'"),"NULL")</f>
        <v>'2007-09-24'</v>
      </c>
      <c r="H3" s="4" t="str">
        <f>CONCATENATE("'",TEXT(Grunddaten!G4,"JJJJ-MM-tt"),"'")</f>
        <v>'1978-11-01'</v>
      </c>
      <c r="J3" s="14">
        <f>Grunddaten!A4</f>
        <v>2</v>
      </c>
      <c r="K3" s="14">
        <f>Grunddaten!Y4</f>
        <v>1</v>
      </c>
      <c r="L3" s="14" t="str">
        <f ca="1">CONCATENATE("'",Grunddaten!Z4,"'")</f>
        <v>'14050'</v>
      </c>
      <c r="M3" s="14" t="str">
        <f>CONCATENATE("'",Grunddaten!AA4,"'")</f>
        <v>'Berlin'</v>
      </c>
      <c r="N3" s="14" t="str">
        <f>CONCATENATE("'",Grunddaten!AB4,"'")</f>
        <v>'Pekingweg'</v>
      </c>
      <c r="O3" s="14" t="str">
        <f>CONCATENATE("'",Grunddaten!AC4,"'")</f>
        <v>'53'</v>
      </c>
      <c r="P3" s="14">
        <f>Grunddaten!AD4</f>
        <v>1</v>
      </c>
      <c r="R3" s="13">
        <f>Grunddaten!A4</f>
        <v>2</v>
      </c>
      <c r="S3" s="13">
        <f>Grunddaten!AF4</f>
        <v>1</v>
      </c>
      <c r="T3" s="13" t="str">
        <f>CONCATENATE("'",Grunddaten!AG4,"'")</f>
        <v>'030'</v>
      </c>
      <c r="U3" s="13" t="str">
        <f ca="1">CONCATENATE("'",Grunddaten!AH4,"'")</f>
        <v>'41275869'</v>
      </c>
      <c r="V3" s="13">
        <f>Grunddaten!AI4</f>
        <v>1</v>
      </c>
      <c r="Z3" s="2" t="str" cm="1">
        <f t="array" ref="Z3">CONCATENATE("                   ",Liste(B3:H3),IF(Z4&lt;&gt;"",",",""))</f>
        <v xml:space="preserve">                   (2, 'Schmidt', 'Julia', 2, 2, '2007-09-24', '1978-11-01'),</v>
      </c>
      <c r="AB3" s="2" t="str" cm="1">
        <f t="array" aca="1" ref="AB3" ca="1">CONCATENATE("                    ",Liste(J3:P3),IF(AB4&lt;&gt;"",",",""))</f>
        <v xml:space="preserve">                    (2, 1, '14050', 'Berlin', 'Pekingweg', '53', 1),</v>
      </c>
      <c r="AD3" s="2" t="str" cm="1">
        <f t="array" aca="1" ref="AD3" ca="1">CONCATENATE("                   ",Liste(R3:V3),IF(AD4&lt;&gt;"",",",""))</f>
        <v xml:space="preserve">                   (2, 1, '030', '41275869', 1),</v>
      </c>
    </row>
    <row r="4" spans="1:30" x14ac:dyDescent="0.45">
      <c r="B4" s="4">
        <f>Grunddaten!A5</f>
        <v>3</v>
      </c>
      <c r="C4" s="4" t="str">
        <f>CONCATENATE("'",Grunddaten!F5,"'")</f>
        <v>'Wagner'</v>
      </c>
      <c r="D4" s="4" t="str">
        <f>CONCATENATE("'",Grunddaten!E5,"'")</f>
        <v>'David'</v>
      </c>
      <c r="E4" s="4">
        <f>VLOOKUP(Grunddaten!D5,FormOfAddress,2,TRUE)</f>
        <v>1</v>
      </c>
      <c r="F4" s="4">
        <f>VLOOKUP(Grunddaten!I5,FamilyStatus,2,FALSE)</f>
        <v>1</v>
      </c>
      <c r="G4" s="4" t="str">
        <f>IF(Grunddaten!J5&lt;&gt;"",CONCATENATE("'",TEXT(Grunddaten!J5,"JJJJ-MM-tt"),"'"),"NULL")</f>
        <v>NULL</v>
      </c>
      <c r="H4" s="4" t="str">
        <f>CONCATENATE("'",TEXT(Grunddaten!G5,"JJJJ-MM-tt"),"'")</f>
        <v>'1998-03-04'</v>
      </c>
      <c r="J4" s="14">
        <f>Grunddaten!A5</f>
        <v>3</v>
      </c>
      <c r="K4" s="14">
        <f>Grunddaten!Y5</f>
        <v>1</v>
      </c>
      <c r="L4" s="14" t="str">
        <f ca="1">CONCATENATE("'",Grunddaten!Z5,"'")</f>
        <v>'12524'</v>
      </c>
      <c r="M4" s="14" t="str">
        <f>CONCATENATE("'",Grunddaten!AA5,"'")</f>
        <v>'Berlin'</v>
      </c>
      <c r="N4" s="14" t="str">
        <f>CONCATENATE("'",Grunddaten!AB5,"'")</f>
        <v>'Industriestraße'</v>
      </c>
      <c r="O4" s="14" t="str">
        <f>CONCATENATE("'",Grunddaten!AC5,"'")</f>
        <v>'56'</v>
      </c>
      <c r="P4" s="14">
        <f>Grunddaten!AD5</f>
        <v>1</v>
      </c>
      <c r="R4" s="13">
        <f>Grunddaten!A5</f>
        <v>3</v>
      </c>
      <c r="S4" s="13">
        <f>Grunddaten!AF5</f>
        <v>1</v>
      </c>
      <c r="T4" s="13" t="str">
        <f>CONCATENATE("'",Grunddaten!AG5,"'")</f>
        <v>'030'</v>
      </c>
      <c r="U4" s="13" t="str">
        <f ca="1">CONCATENATE("'",Grunddaten!AH5,"'")</f>
        <v>'41775525'</v>
      </c>
      <c r="V4" s="13">
        <f>Grunddaten!AI5</f>
        <v>1</v>
      </c>
      <c r="Z4" s="2" t="str" cm="1">
        <f t="array" ref="Z4">CONCATENATE("                   ",Liste(B4:H4),IF(Z5&lt;&gt;"",",",""))</f>
        <v xml:space="preserve">                   (3, 'Wagner', 'David', 1, 1, NULL, '1998-03-04'),</v>
      </c>
      <c r="AB4" s="2" t="str" cm="1">
        <f t="array" aca="1" ref="AB4" ca="1">CONCATENATE("                    ",Liste(J4:P4),IF(AB5&lt;&gt;"",",",""))</f>
        <v xml:space="preserve">                    (3, 1, '12524', 'Berlin', 'Industriestraße', '56', 1),</v>
      </c>
      <c r="AD4" s="2" t="str" cm="1">
        <f t="array" aca="1" ref="AD4" ca="1">CONCATENATE("                   ",Liste(R4:V4),IF(AD5&lt;&gt;"",",",""))</f>
        <v xml:space="preserve">                   (3, 1, '030', '41775525', 1),</v>
      </c>
    </row>
    <row r="5" spans="1:30" x14ac:dyDescent="0.45">
      <c r="B5" s="4">
        <f>Grunddaten!A6</f>
        <v>4</v>
      </c>
      <c r="C5" s="4" t="str">
        <f>CONCATENATE("'",Grunddaten!F6,"'")</f>
        <v>'Richter'</v>
      </c>
      <c r="D5" s="4" t="str">
        <f>CONCATENATE("'",Grunddaten!E6,"'")</f>
        <v>'Laura'</v>
      </c>
      <c r="E5" s="4">
        <f>VLOOKUP(Grunddaten!D6,FormOfAddress,2,TRUE)</f>
        <v>2</v>
      </c>
      <c r="F5" s="4">
        <f>VLOOKUP(Grunddaten!I6,FamilyStatus,2,FALSE)</f>
        <v>1</v>
      </c>
      <c r="G5" s="4" t="str">
        <f>IF(Grunddaten!J6&lt;&gt;"",CONCATENATE("'",TEXT(Grunddaten!J6,"JJJJ-MM-tt"),"'"),"NULL")</f>
        <v>NULL</v>
      </c>
      <c r="H5" s="4" t="str">
        <f>CONCATENATE("'",TEXT(Grunddaten!G6,"JJJJ-MM-tt"),"'")</f>
        <v>'1970-09-27'</v>
      </c>
      <c r="J5" s="14">
        <f>Grunddaten!A6</f>
        <v>4</v>
      </c>
      <c r="K5" s="14">
        <f>Grunddaten!Y6</f>
        <v>1</v>
      </c>
      <c r="L5" s="14" t="str">
        <f ca="1">CONCATENATE("'",Grunddaten!Z6,"'")</f>
        <v>'10825'</v>
      </c>
      <c r="M5" s="14" t="str">
        <f>CONCATENATE("'",Grunddaten!AA6,"'")</f>
        <v>'Berlin'</v>
      </c>
      <c r="N5" s="14" t="str">
        <f>CONCATENATE("'",Grunddaten!AB6,"'")</f>
        <v>'Vogelweg'</v>
      </c>
      <c r="O5" s="14" t="str">
        <f>CONCATENATE("'",Grunddaten!AC6,"'")</f>
        <v>'15'</v>
      </c>
      <c r="P5" s="14">
        <f>Grunddaten!AD6</f>
        <v>1</v>
      </c>
      <c r="R5" s="13">
        <f>Grunddaten!A6</f>
        <v>4</v>
      </c>
      <c r="S5" s="13">
        <f>Grunddaten!AF6</f>
        <v>1</v>
      </c>
      <c r="T5" s="13" t="str">
        <f>CONCATENATE("'",Grunddaten!AG6,"'")</f>
        <v>'030'</v>
      </c>
      <c r="U5" s="13" t="str">
        <f ca="1">CONCATENATE("'",Grunddaten!AH6,"'")</f>
        <v>'83253194'</v>
      </c>
      <c r="V5" s="13">
        <f>Grunddaten!AI6</f>
        <v>1</v>
      </c>
      <c r="Z5" s="2" t="str" cm="1">
        <f t="array" ref="Z5">CONCATENATE("                   ",Liste(B5:H5),IF(Z6&lt;&gt;"",",",""))</f>
        <v xml:space="preserve">                   (4, 'Richter', 'Laura', 2, 1, NULL, '1970-09-27'),</v>
      </c>
      <c r="AB5" s="2" t="str" cm="1">
        <f t="array" aca="1" ref="AB5" ca="1">CONCATENATE("                    ",Liste(J5:P5),IF(AB6&lt;&gt;"",",",""))</f>
        <v xml:space="preserve">                    (4, 1, '10825', 'Berlin', 'Vogelweg', '15', 1),</v>
      </c>
      <c r="AD5" s="2" t="str" cm="1">
        <f t="array" aca="1" ref="AD5" ca="1">CONCATENATE("                   ",Liste(R5:V5),IF(AD6&lt;&gt;"",",",""))</f>
        <v xml:space="preserve">                   (4, 1, '030', '83253194', 1),</v>
      </c>
    </row>
    <row r="6" spans="1:30" x14ac:dyDescent="0.45">
      <c r="B6" s="4">
        <f>Grunddaten!A7</f>
        <v>5</v>
      </c>
      <c r="C6" s="4" t="str">
        <f>CONCATENATE("'",Grunddaten!F7,"'")</f>
        <v>'Keller'</v>
      </c>
      <c r="D6" s="4" t="str">
        <f>CONCATENATE("'",Grunddaten!E7,"'")</f>
        <v>'Tobias'</v>
      </c>
      <c r="E6" s="4">
        <f>VLOOKUP(Grunddaten!D7,FormOfAddress,2,TRUE)</f>
        <v>1</v>
      </c>
      <c r="F6" s="4">
        <f>VLOOKUP(Grunddaten!I7,FamilyStatus,2,FALSE)</f>
        <v>1</v>
      </c>
      <c r="G6" s="4" t="str">
        <f>IF(Grunddaten!J7&lt;&gt;"",CONCATENATE("'",TEXT(Grunddaten!J7,"JJJJ-MM-tt"),"'"),"NULL")</f>
        <v>NULL</v>
      </c>
      <c r="H6" s="4" t="str">
        <f>CONCATENATE("'",TEXT(Grunddaten!G7,"JJJJ-MM-tt"),"'")</f>
        <v>'1956-08-01'</v>
      </c>
      <c r="J6" s="14">
        <f>Grunddaten!A7</f>
        <v>5</v>
      </c>
      <c r="K6" s="14">
        <f>Grunddaten!Y7</f>
        <v>1</v>
      </c>
      <c r="L6" s="14" t="str">
        <f ca="1">CONCATENATE("'",Grunddaten!Z7,"'")</f>
        <v>'14715'</v>
      </c>
      <c r="M6" s="14" t="str">
        <f>CONCATENATE("'",Grunddaten!AA7,"'")</f>
        <v>'Berge'</v>
      </c>
      <c r="N6" s="14" t="str">
        <f>CONCATENATE("'",Grunddaten!AB7,"'")</f>
        <v>'Amsterdamweg'</v>
      </c>
      <c r="O6" s="14" t="str">
        <f>CONCATENATE("'",Grunddaten!AC7,"'")</f>
        <v>'21'</v>
      </c>
      <c r="P6" s="14">
        <f>Grunddaten!AD7</f>
        <v>1</v>
      </c>
      <c r="R6" s="13">
        <f>Grunddaten!A7</f>
        <v>5</v>
      </c>
      <c r="S6" s="13">
        <f>Grunddaten!AF7</f>
        <v>1</v>
      </c>
      <c r="T6" s="13" t="str">
        <f>CONCATENATE("'",Grunddaten!AG7,"'")</f>
        <v>'033874'</v>
      </c>
      <c r="U6" s="13" t="str">
        <f ca="1">CONCATENATE("'",Grunddaten!AH7,"'")</f>
        <v>'8365'</v>
      </c>
      <c r="V6" s="13">
        <f>Grunddaten!AI7</f>
        <v>1</v>
      </c>
      <c r="Z6" s="2" t="str" cm="1">
        <f t="array" ref="Z6">CONCATENATE("                   ",Liste(B6:H6),IF(Z7&lt;&gt;"",",",""))</f>
        <v xml:space="preserve">                   (5, 'Keller', 'Tobias', 1, 1, NULL, '1956-08-01'),</v>
      </c>
      <c r="AB6" s="2" t="str" cm="1">
        <f t="array" aca="1" ref="AB6" ca="1">CONCATENATE("                    ",Liste(J6:P6),IF(AB7&lt;&gt;"",",",""))</f>
        <v xml:space="preserve">                    (5, 1, '14715', 'Berge', 'Amsterdamweg', '21', 1),</v>
      </c>
      <c r="AD6" s="2" t="str" cm="1">
        <f t="array" aca="1" ref="AD6" ca="1">CONCATENATE("                   ",Liste(R6:V6),IF(AD7&lt;&gt;"",",",""))</f>
        <v xml:space="preserve">                   (5, 1, '033874', '8365', 1),</v>
      </c>
    </row>
    <row r="7" spans="1:30" x14ac:dyDescent="0.45">
      <c r="B7" s="4">
        <f>Grunddaten!A8</f>
        <v>6</v>
      </c>
      <c r="C7" s="4" t="str">
        <f>CONCATENATE("'",Grunddaten!F8,"'")</f>
        <v>'Schmitt'</v>
      </c>
      <c r="D7" s="4" t="str">
        <f>CONCATENATE("'",Grunddaten!E8,"'")</f>
        <v>'Vanessa'</v>
      </c>
      <c r="E7" s="4">
        <f>VLOOKUP(Grunddaten!D8,FormOfAddress,2,TRUE)</f>
        <v>2</v>
      </c>
      <c r="F7" s="4">
        <f>VLOOKUP(Grunddaten!I8,FamilyStatus,2,FALSE)</f>
        <v>1</v>
      </c>
      <c r="G7" s="4" t="str">
        <f>IF(Grunddaten!J8&lt;&gt;"",CONCATENATE("'",TEXT(Grunddaten!J8,"JJJJ-MM-tt"),"'"),"NULL")</f>
        <v>NULL</v>
      </c>
      <c r="H7" s="4" t="str">
        <f>CONCATENATE("'",TEXT(Grunddaten!G8,"JJJJ-MM-tt"),"'")</f>
        <v>'1974-07-18'</v>
      </c>
      <c r="J7" s="14">
        <f>Grunddaten!A8</f>
        <v>6</v>
      </c>
      <c r="K7" s="14">
        <f>Grunddaten!Y8</f>
        <v>1</v>
      </c>
      <c r="L7" s="14" t="str">
        <f ca="1">CONCATENATE("'",Grunddaten!Z8,"'")</f>
        <v>'14476'</v>
      </c>
      <c r="M7" s="14" t="str">
        <f>CONCATENATE("'",Grunddaten!AA8,"'")</f>
        <v>'Marquardt'</v>
      </c>
      <c r="N7" s="14" t="str">
        <f>CONCATENATE("'",Grunddaten!AB8,"'")</f>
        <v>'Londoner Straße'</v>
      </c>
      <c r="O7" s="14" t="str">
        <f>CONCATENATE("'",Grunddaten!AC8,"'")</f>
        <v>'92'</v>
      </c>
      <c r="P7" s="14">
        <f>Grunddaten!AD8</f>
        <v>1</v>
      </c>
      <c r="R7" s="13">
        <f>Grunddaten!A8</f>
        <v>6</v>
      </c>
      <c r="S7" s="13">
        <f>Grunddaten!AF8</f>
        <v>1</v>
      </c>
      <c r="T7" s="13" t="str">
        <f>CONCATENATE("'",Grunddaten!AG8,"'")</f>
        <v>'03381'</v>
      </c>
      <c r="U7" s="13" t="str">
        <f ca="1">CONCATENATE("'",Grunddaten!AH8,"'")</f>
        <v>'79490'</v>
      </c>
      <c r="V7" s="13">
        <f>Grunddaten!AI8</f>
        <v>1</v>
      </c>
      <c r="Z7" s="2" t="str" cm="1">
        <f t="array" ref="Z7">CONCATENATE("                   ",Liste(B7:H7),IF(Z8&lt;&gt;"",",",""))</f>
        <v xml:space="preserve">                   (6, 'Schmitt', 'Vanessa', 2, 1, NULL, '1974-07-18'),</v>
      </c>
      <c r="AB7" s="2" t="str" cm="1">
        <f t="array" aca="1" ref="AB7" ca="1">CONCATENATE("                    ",Liste(J7:P7),IF(AB8&lt;&gt;"",",",""))</f>
        <v xml:space="preserve">                    (6, 1, '14476', 'Marquardt', 'Londoner Straße', '92', 1),</v>
      </c>
      <c r="AD7" s="2" t="str" cm="1">
        <f t="array" aca="1" ref="AD7" ca="1">CONCATENATE("                   ",Liste(R7:V7),IF(AD8&lt;&gt;"",",",""))</f>
        <v xml:space="preserve">                   (6, 1, '03381', '79490', 1),</v>
      </c>
    </row>
    <row r="8" spans="1:30" x14ac:dyDescent="0.45">
      <c r="B8" s="4">
        <f>Grunddaten!A9</f>
        <v>7</v>
      </c>
      <c r="C8" s="4" t="str">
        <f>CONCATENATE("'",Grunddaten!F9,"'")</f>
        <v>'Koch'</v>
      </c>
      <c r="D8" s="4" t="str">
        <f>CONCATENATE("'",Grunddaten!E9,"'")</f>
        <v>'Simon'</v>
      </c>
      <c r="E8" s="4">
        <f>VLOOKUP(Grunddaten!D9,FormOfAddress,2,TRUE)</f>
        <v>1</v>
      </c>
      <c r="F8" s="4">
        <f>VLOOKUP(Grunddaten!I9,FamilyStatus,2,FALSE)</f>
        <v>2</v>
      </c>
      <c r="G8" s="4" t="str">
        <f>IF(Grunddaten!J9&lt;&gt;"",CONCATENATE("'",TEXT(Grunddaten!J9,"JJJJ-MM-tt"),"'"),"NULL")</f>
        <v>'2007-04-24'</v>
      </c>
      <c r="H8" s="4" t="str">
        <f>CONCATENATE("'",TEXT(Grunddaten!G9,"JJJJ-MM-tt"),"'")</f>
        <v>'1977-05-28'</v>
      </c>
      <c r="J8" s="14">
        <f>Grunddaten!A9</f>
        <v>7</v>
      </c>
      <c r="K8" s="14">
        <f>Grunddaten!Y9</f>
        <v>1</v>
      </c>
      <c r="L8" s="14" t="str">
        <f ca="1">CONCATENATE("'",Grunddaten!Z9,"'")</f>
        <v>'13597'</v>
      </c>
      <c r="M8" s="14" t="str">
        <f>CONCATENATE("'",Grunddaten!AA9,"'")</f>
        <v>'Berlin'</v>
      </c>
      <c r="N8" s="14" t="str">
        <f>CONCATENATE("'",Grunddaten!AB9,"'")</f>
        <v>'Buenos-Aires-Allee'</v>
      </c>
      <c r="O8" s="14" t="str">
        <f>CONCATENATE("'",Grunddaten!AC9,"'")</f>
        <v>'12'</v>
      </c>
      <c r="P8" s="14">
        <f>Grunddaten!AD9</f>
        <v>1</v>
      </c>
      <c r="R8" s="13">
        <f>Grunddaten!A9</f>
        <v>7</v>
      </c>
      <c r="S8" s="13">
        <f>Grunddaten!AF9</f>
        <v>1</v>
      </c>
      <c r="T8" s="13" t="str">
        <f>CONCATENATE("'",Grunddaten!AG9,"'")</f>
        <v>'030'</v>
      </c>
      <c r="U8" s="13" t="str">
        <f ca="1">CONCATENATE("'",Grunddaten!AH9,"'")</f>
        <v>'64203258'</v>
      </c>
      <c r="V8" s="13">
        <f>Grunddaten!AI9</f>
        <v>1</v>
      </c>
      <c r="Z8" s="2" t="str" cm="1">
        <f t="array" ref="Z8">CONCATENATE("                   ",Liste(B8:H8),IF(Z9&lt;&gt;"",",",""))</f>
        <v xml:space="preserve">                   (7, 'Koch', 'Simon', 1, 2, '2007-04-24', '1977-05-28'),</v>
      </c>
      <c r="AB8" s="2" t="str" cm="1">
        <f t="array" aca="1" ref="AB8" ca="1">CONCATENATE("                    ",Liste(J8:P8),IF(AB9&lt;&gt;"",",",""))</f>
        <v xml:space="preserve">                    (7, 1, '13597', 'Berlin', 'Buenos-Aires-Allee', '12', 1),</v>
      </c>
      <c r="AD8" s="2" t="str" cm="1">
        <f t="array" aca="1" ref="AD8" ca="1">CONCATENATE("                   ",Liste(R8:V8),IF(AD9&lt;&gt;"",",",""))</f>
        <v xml:space="preserve">                   (7, 1, '030', '64203258', 1),</v>
      </c>
    </row>
    <row r="9" spans="1:30" x14ac:dyDescent="0.45">
      <c r="B9" s="4">
        <f>Grunddaten!A10</f>
        <v>8</v>
      </c>
      <c r="C9" s="4" t="str">
        <f>CONCATENATE("'",Grunddaten!F10,"'")</f>
        <v>'Mayer'</v>
      </c>
      <c r="D9" s="4" t="str">
        <f>CONCATENATE("'",Grunddaten!E10,"'")</f>
        <v>'Sarah'</v>
      </c>
      <c r="E9" s="4">
        <f>VLOOKUP(Grunddaten!D10,FormOfAddress,2,TRUE)</f>
        <v>2</v>
      </c>
      <c r="F9" s="4">
        <f>VLOOKUP(Grunddaten!I10,FamilyStatus,2,FALSE)</f>
        <v>1</v>
      </c>
      <c r="G9" s="4" t="str">
        <f>IF(Grunddaten!J10&lt;&gt;"",CONCATENATE("'",TEXT(Grunddaten!J10,"JJJJ-MM-tt"),"'"),"NULL")</f>
        <v>NULL</v>
      </c>
      <c r="H9" s="4" t="str">
        <f>CONCATENATE("'",TEXT(Grunddaten!G10,"JJJJ-MM-tt"),"'")</f>
        <v>'2000-06-09'</v>
      </c>
      <c r="J9" s="14">
        <f>Grunddaten!A10</f>
        <v>8</v>
      </c>
      <c r="K9" s="14">
        <f>Grunddaten!Y10</f>
        <v>1</v>
      </c>
      <c r="L9" s="14" t="str">
        <f ca="1">CONCATENATE("'",Grunddaten!Z10,"'")</f>
        <v>'14827'</v>
      </c>
      <c r="M9" s="14" t="str">
        <f>CONCATENATE("'",Grunddaten!AA10,"'")</f>
        <v>'Wiesenburg/Mark'</v>
      </c>
      <c r="N9" s="14" t="str">
        <f>CONCATENATE("'",Grunddaten!AB10,"'")</f>
        <v>'Hirschweg'</v>
      </c>
      <c r="O9" s="14" t="str">
        <f>CONCATENATE("'",Grunddaten!AC10,"'")</f>
        <v>'12'</v>
      </c>
      <c r="P9" s="14">
        <f>Grunddaten!AD10</f>
        <v>1</v>
      </c>
      <c r="R9" s="13">
        <f>Grunddaten!A10</f>
        <v>8</v>
      </c>
      <c r="S9" s="13">
        <f>Grunddaten!AF10</f>
        <v>1</v>
      </c>
      <c r="T9" s="13" t="str">
        <f>CONCATENATE("'",Grunddaten!AG10,"'")</f>
        <v>'033849'</v>
      </c>
      <c r="U9" s="13" t="str">
        <f ca="1">CONCATENATE("'",Grunddaten!AH10,"'")</f>
        <v>'8734'</v>
      </c>
      <c r="V9" s="13">
        <f>Grunddaten!AI10</f>
        <v>1</v>
      </c>
      <c r="Z9" s="2" t="str" cm="1">
        <f t="array" ref="Z9">CONCATENATE("                   ",Liste(B9:H9),IF(Z10&lt;&gt;"",",",""))</f>
        <v xml:space="preserve">                   (8, 'Mayer', 'Sarah', 2, 1, NULL, '2000-06-09'),</v>
      </c>
      <c r="AB9" s="2" t="str" cm="1">
        <f t="array" aca="1" ref="AB9" ca="1">CONCATENATE("                    ",Liste(J9:P9),IF(AB10&lt;&gt;"",",",""))</f>
        <v xml:space="preserve">                    (8, 1, '14827', 'Wiesenburg/Mark', 'Hirschweg', '12', 1),</v>
      </c>
      <c r="AD9" s="2" t="str" cm="1">
        <f t="array" aca="1" ref="AD9" ca="1">CONCATENATE("                   ",Liste(R9:V9),IF(AD10&lt;&gt;"",",",""))</f>
        <v xml:space="preserve">                   (8, 1, '033849', '8734', 1),</v>
      </c>
    </row>
    <row r="10" spans="1:30" x14ac:dyDescent="0.45">
      <c r="B10" s="4">
        <f>Grunddaten!A11</f>
        <v>9</v>
      </c>
      <c r="C10" s="4" t="str">
        <f>CONCATENATE("'",Grunddaten!F11,"'")</f>
        <v>'Becker'</v>
      </c>
      <c r="D10" s="4" t="str">
        <f>CONCATENATE("'",Grunddaten!E11,"'")</f>
        <v>'Jan'</v>
      </c>
      <c r="E10" s="4">
        <f>VLOOKUP(Grunddaten!D11,FormOfAddress,2,TRUE)</f>
        <v>1</v>
      </c>
      <c r="F10" s="4">
        <f>VLOOKUP(Grunddaten!I11,FamilyStatus,2,FALSE)</f>
        <v>1</v>
      </c>
      <c r="G10" s="4" t="str">
        <f>IF(Grunddaten!J11&lt;&gt;"",CONCATENATE("'",TEXT(Grunddaten!J11,"JJJJ-MM-tt"),"'"),"NULL")</f>
        <v>NULL</v>
      </c>
      <c r="H10" s="4" t="str">
        <f>CONCATENATE("'",TEXT(Grunddaten!G11,"JJJJ-MM-tt"),"'")</f>
        <v>'1983-04-20'</v>
      </c>
      <c r="J10" s="14">
        <f>Grunddaten!A11</f>
        <v>9</v>
      </c>
      <c r="K10" s="14">
        <f>Grunddaten!Y11</f>
        <v>1</v>
      </c>
      <c r="L10" s="14" t="str">
        <f ca="1">CONCATENATE("'",Grunddaten!Z11,"'")</f>
        <v>'10707'</v>
      </c>
      <c r="M10" s="14" t="str">
        <f>CONCATENATE("'",Grunddaten!AA11,"'")</f>
        <v>'Berlin'</v>
      </c>
      <c r="N10" s="14" t="str">
        <f>CONCATENATE("'",Grunddaten!AB11,"'")</f>
        <v>'Lindenplatz'</v>
      </c>
      <c r="O10" s="14" t="str">
        <f>CONCATENATE("'",Grunddaten!AC11,"'")</f>
        <v>'26'</v>
      </c>
      <c r="P10" s="14">
        <f>Grunddaten!AD11</f>
        <v>1</v>
      </c>
      <c r="R10" s="13">
        <f>Grunddaten!A11</f>
        <v>9</v>
      </c>
      <c r="S10" s="13">
        <f>Grunddaten!AF11</f>
        <v>1</v>
      </c>
      <c r="T10" s="13" t="str">
        <f>CONCATENATE("'",Grunddaten!AG11,"'")</f>
        <v>'030'</v>
      </c>
      <c r="U10" s="13" t="str">
        <f ca="1">CONCATENATE("'",Grunddaten!AH11,"'")</f>
        <v>'54536100'</v>
      </c>
      <c r="V10" s="13">
        <f>Grunddaten!AI11</f>
        <v>1</v>
      </c>
      <c r="Z10" s="2" t="str" cm="1">
        <f t="array" ref="Z10">CONCATENATE("                   ",Liste(B10:H10),IF(Z11&lt;&gt;"",",",""))</f>
        <v xml:space="preserve">                   (9, 'Becker', 'Jan', 1, 1, NULL, '1983-04-20'),</v>
      </c>
      <c r="AB10" s="2" t="str" cm="1">
        <f t="array" aca="1" ref="AB10" ca="1">CONCATENATE("                    ",Liste(J10:P10),IF(AB11&lt;&gt;"",",",""))</f>
        <v xml:space="preserve">                    (9, 1, '10707', 'Berlin', 'Lindenplatz', '26', 1),</v>
      </c>
      <c r="AD10" s="2" t="str" cm="1">
        <f t="array" aca="1" ref="AD10" ca="1">CONCATENATE("                   ",Liste(R10:V10),IF(AD11&lt;&gt;"",",",""))</f>
        <v xml:space="preserve">                   (9, 1, '030', '54536100', 1),</v>
      </c>
    </row>
    <row r="11" spans="1:30" x14ac:dyDescent="0.45">
      <c r="B11" s="4">
        <f>Grunddaten!A12</f>
        <v>10</v>
      </c>
      <c r="C11" s="4" t="str">
        <f>CONCATENATE("'",Grunddaten!F12,"'")</f>
        <v>'Lehmann'</v>
      </c>
      <c r="D11" s="4" t="str">
        <f>CONCATENATE("'",Grunddaten!E12,"'")</f>
        <v>'Lisa'</v>
      </c>
      <c r="E11" s="4">
        <f>VLOOKUP(Grunddaten!D12,FormOfAddress,2,TRUE)</f>
        <v>2</v>
      </c>
      <c r="F11" s="4">
        <f>VLOOKUP(Grunddaten!I12,FamilyStatus,2,FALSE)</f>
        <v>3</v>
      </c>
      <c r="G11" s="4" t="str">
        <f>IF(Grunddaten!J12&lt;&gt;"",CONCATENATE("'",TEXT(Grunddaten!J12,"JJJJ-MM-tt"),"'"),"NULL")</f>
        <v>'2019-04-12'</v>
      </c>
      <c r="H11" s="4" t="str">
        <f>CONCATENATE("'",TEXT(Grunddaten!G12,"JJJJ-MM-tt"),"'")</f>
        <v>'1976-09-18'</v>
      </c>
      <c r="J11" s="14">
        <f>Grunddaten!A12</f>
        <v>10</v>
      </c>
      <c r="K11" s="14">
        <f>Grunddaten!Y12</f>
        <v>1</v>
      </c>
      <c r="L11" s="14" t="str">
        <f ca="1">CONCATENATE("'",Grunddaten!Z12,"'")</f>
        <v>'14641'</v>
      </c>
      <c r="M11" s="14" t="str">
        <f>CONCATENATE("'",Grunddaten!AA12,"'")</f>
        <v>'Nauen'</v>
      </c>
      <c r="N11" s="14" t="str">
        <f>CONCATENATE("'",Grunddaten!AB12,"'")</f>
        <v>'Fasanenstraße'</v>
      </c>
      <c r="O11" s="14" t="str">
        <f>CONCATENATE("'",Grunddaten!AC12,"'")</f>
        <v>'19'</v>
      </c>
      <c r="P11" s="14">
        <f>Grunddaten!AD12</f>
        <v>1</v>
      </c>
      <c r="R11" s="13">
        <f>Grunddaten!A12</f>
        <v>10</v>
      </c>
      <c r="S11" s="13">
        <f>Grunddaten!AF12</f>
        <v>1</v>
      </c>
      <c r="T11" s="13" t="str">
        <f>CONCATENATE("'",Grunddaten!AG12,"'")</f>
        <v>'03321'</v>
      </c>
      <c r="U11" s="13" t="str">
        <f ca="1">CONCATENATE("'",Grunddaten!AH12,"'")</f>
        <v>'64305'</v>
      </c>
      <c r="V11" s="13">
        <f>Grunddaten!AI12</f>
        <v>1</v>
      </c>
      <c r="Z11" s="2" t="str" cm="1">
        <f t="array" ref="Z11">CONCATENATE("                   ",Liste(B11:H11),IF(Z12&lt;&gt;"",",",""))</f>
        <v xml:space="preserve">                   (10, 'Lehmann', 'Lisa', 2, 3, '2019-04-12', '1976-09-18'),</v>
      </c>
      <c r="AB11" s="2" t="str" cm="1">
        <f t="array" aca="1" ref="AB11" ca="1">CONCATENATE("                    ",Liste(J11:P11),IF(AB12&lt;&gt;"",",",""))</f>
        <v xml:space="preserve">                    (10, 1, '14641', 'Nauen', 'Fasanenstraße', '19', 1),</v>
      </c>
      <c r="AD11" s="2" t="str" cm="1">
        <f t="array" aca="1" ref="AD11" ca="1">CONCATENATE("                   ",Liste(R11:V11),IF(AD12&lt;&gt;"",",",""))</f>
        <v xml:space="preserve">                   (10, 1, '03321', '64305', 1),</v>
      </c>
    </row>
    <row r="12" spans="1:30" x14ac:dyDescent="0.45">
      <c r="B12" s="4">
        <f>Grunddaten!A13</f>
        <v>11</v>
      </c>
      <c r="C12" s="4" t="str">
        <f>CONCATENATE("'",Grunddaten!F13,"'")</f>
        <v>'Schuster'</v>
      </c>
      <c r="D12" s="4" t="str">
        <f>CONCATENATE("'",Grunddaten!E13,"'")</f>
        <v>'Marco'</v>
      </c>
      <c r="E12" s="4">
        <f>VLOOKUP(Grunddaten!D13,FormOfAddress,2,TRUE)</f>
        <v>1</v>
      </c>
      <c r="F12" s="4">
        <f>VLOOKUP(Grunddaten!I13,FamilyStatus,2,FALSE)</f>
        <v>2</v>
      </c>
      <c r="G12" s="4" t="str">
        <f>IF(Grunddaten!J13&lt;&gt;"",CONCATENATE("'",TEXT(Grunddaten!J13,"JJJJ-MM-tt"),"'"),"NULL")</f>
        <v>'2001-10-10'</v>
      </c>
      <c r="H12" s="4" t="str">
        <f>CONCATENATE("'",TEXT(Grunddaten!G13,"JJJJ-MM-tt"),"'")</f>
        <v>'1974-01-25'</v>
      </c>
      <c r="J12" s="14">
        <f>Grunddaten!A13</f>
        <v>11</v>
      </c>
      <c r="K12" s="14">
        <f>Grunddaten!Y13</f>
        <v>1</v>
      </c>
      <c r="L12" s="14" t="str">
        <f ca="1">CONCATENATE("'",Grunddaten!Z13,"'")</f>
        <v>'13597'</v>
      </c>
      <c r="M12" s="14" t="str">
        <f>CONCATENATE("'",Grunddaten!AA13,"'")</f>
        <v>'Berlin'</v>
      </c>
      <c r="N12" s="14" t="str">
        <f>CONCATENATE("'",Grunddaten!AB13,"'")</f>
        <v>'New-Orleans-Allee'</v>
      </c>
      <c r="O12" s="14" t="str">
        <f>CONCATENATE("'",Grunddaten!AC13,"'")</f>
        <v>'89'</v>
      </c>
      <c r="P12" s="14">
        <f>Grunddaten!AD13</f>
        <v>1</v>
      </c>
      <c r="R12" s="13">
        <f>Grunddaten!A13</f>
        <v>11</v>
      </c>
      <c r="S12" s="13">
        <f>Grunddaten!AF13</f>
        <v>1</v>
      </c>
      <c r="T12" s="13" t="str">
        <f>CONCATENATE("'",Grunddaten!AG13,"'")</f>
        <v>'030'</v>
      </c>
      <c r="U12" s="13" t="str">
        <f ca="1">CONCATENATE("'",Grunddaten!AH13,"'")</f>
        <v>'68194964'</v>
      </c>
      <c r="V12" s="13">
        <f>Grunddaten!AI13</f>
        <v>1</v>
      </c>
      <c r="Z12" s="2" t="str" cm="1">
        <f t="array" ref="Z12">CONCATENATE("                   ",Liste(B12:H12),IF(Z13&lt;&gt;"",",",""))</f>
        <v xml:space="preserve">                   (11, 'Schuster', 'Marco', 1, 2, '2001-10-10', '1974-01-25'),</v>
      </c>
      <c r="AB12" s="2" t="str" cm="1">
        <f t="array" aca="1" ref="AB12" ca="1">CONCATENATE("                    ",Liste(J12:P12),IF(AB13&lt;&gt;"",",",""))</f>
        <v xml:space="preserve">                    (11, 1, '13597', 'Berlin', 'New-Orleans-Allee', '89', 1),</v>
      </c>
      <c r="AD12" s="2" t="str" cm="1">
        <f t="array" aca="1" ref="AD12" ca="1">CONCATENATE("                   ",Liste(R12:V12),IF(AD13&lt;&gt;"",",",""))</f>
        <v xml:space="preserve">                   (11, 1, '030', '68194964', 1),</v>
      </c>
    </row>
    <row r="13" spans="1:30" x14ac:dyDescent="0.45">
      <c r="B13" s="4">
        <f>Grunddaten!A14</f>
        <v>12</v>
      </c>
      <c r="C13" s="4" t="str">
        <f>CONCATENATE("'",Grunddaten!F14,"'")</f>
        <v>'Braun'</v>
      </c>
      <c r="D13" s="4" t="str">
        <f>CONCATENATE("'",Grunddaten!E14,"'")</f>
        <v>'Isabelle'</v>
      </c>
      <c r="E13" s="4">
        <f>VLOOKUP(Grunddaten!D14,FormOfAddress,2,TRUE)</f>
        <v>2</v>
      </c>
      <c r="F13" s="4">
        <f>VLOOKUP(Grunddaten!I14,FamilyStatus,2,FALSE)</f>
        <v>1</v>
      </c>
      <c r="G13" s="4" t="str">
        <f>IF(Grunddaten!J14&lt;&gt;"",CONCATENATE("'",TEXT(Grunddaten!J14,"JJJJ-MM-tt"),"'"),"NULL")</f>
        <v>NULL</v>
      </c>
      <c r="H13" s="4" t="str">
        <f>CONCATENATE("'",TEXT(Grunddaten!G14,"JJJJ-MM-tt"),"'")</f>
        <v>'1962-02-17'</v>
      </c>
      <c r="J13" s="14">
        <f>Grunddaten!A14</f>
        <v>12</v>
      </c>
      <c r="K13" s="14">
        <f>Grunddaten!Y14</f>
        <v>1</v>
      </c>
      <c r="L13" s="14" t="str">
        <f ca="1">CONCATENATE("'",Grunddaten!Z14,"'")</f>
        <v>'14778'</v>
      </c>
      <c r="M13" s="14" t="str">
        <f>CONCATENATE("'",Grunddaten!AA14,"'")</f>
        <v>'Päwesin'</v>
      </c>
      <c r="N13" s="14" t="str">
        <f>CONCATENATE("'",Grunddaten!AB14,"'")</f>
        <v>'Neue Straße'</v>
      </c>
      <c r="O13" s="14" t="str">
        <f>CONCATENATE("'",Grunddaten!AC14,"'")</f>
        <v>'68'</v>
      </c>
      <c r="P13" s="14">
        <f>Grunddaten!AD14</f>
        <v>1</v>
      </c>
      <c r="R13" s="13">
        <f>Grunddaten!A14</f>
        <v>12</v>
      </c>
      <c r="S13" s="13">
        <f>Grunddaten!AF14</f>
        <v>1</v>
      </c>
      <c r="T13" s="13" t="str">
        <f>CONCATENATE("'",Grunddaten!AG14,"'")</f>
        <v>'03381'</v>
      </c>
      <c r="U13" s="13" t="str">
        <f ca="1">CONCATENATE("'",Grunddaten!AH14,"'")</f>
        <v>'94989'</v>
      </c>
      <c r="V13" s="13">
        <f>Grunddaten!AI14</f>
        <v>1</v>
      </c>
      <c r="Z13" s="2" t="str" cm="1">
        <f t="array" ref="Z13">CONCATENATE("                   ",Liste(B13:H13),IF(Z14&lt;&gt;"",",",""))</f>
        <v xml:space="preserve">                   (12, 'Braun', 'Isabelle', 2, 1, NULL, '1962-02-17'),</v>
      </c>
      <c r="AB13" s="2" t="str" cm="1">
        <f t="array" aca="1" ref="AB13" ca="1">CONCATENATE("                    ",Liste(J13:P13),IF(AB14&lt;&gt;"",",",""))</f>
        <v xml:space="preserve">                    (12, 1, '14778', 'Päwesin', 'Neue Straße', '68', 1),</v>
      </c>
      <c r="AD13" s="2" t="str" cm="1">
        <f t="array" aca="1" ref="AD13" ca="1">CONCATENATE("                   ",Liste(R13:V13),IF(AD14&lt;&gt;"",",",""))</f>
        <v xml:space="preserve">                   (12, 1, '03381', '94989', 1),</v>
      </c>
    </row>
    <row r="14" spans="1:30" x14ac:dyDescent="0.45">
      <c r="B14" s="4">
        <f>Grunddaten!A15</f>
        <v>13</v>
      </c>
      <c r="C14" s="4" t="str">
        <f>CONCATENATE("'",Grunddaten!F15,"'")</f>
        <v>'Zimmermann'</v>
      </c>
      <c r="D14" s="4" t="str">
        <f>CONCATENATE("'",Grunddaten!E15,"'")</f>
        <v>'Julian'</v>
      </c>
      <c r="E14" s="4">
        <f>VLOOKUP(Grunddaten!D15,FormOfAddress,2,TRUE)</f>
        <v>1</v>
      </c>
      <c r="F14" s="4">
        <f>VLOOKUP(Grunddaten!I15,FamilyStatus,2,FALSE)</f>
        <v>2</v>
      </c>
      <c r="G14" s="4" t="str">
        <f>IF(Grunddaten!J15&lt;&gt;"",CONCATENATE("'",TEXT(Grunddaten!J15,"JJJJ-MM-tt"),"'"),"NULL")</f>
        <v>'2011-04-27'</v>
      </c>
      <c r="H14" s="4" t="str">
        <f>CONCATENATE("'",TEXT(Grunddaten!G15,"JJJJ-MM-tt"),"'")</f>
        <v>'1991-08-05'</v>
      </c>
      <c r="J14" s="14">
        <f>Grunddaten!A15</f>
        <v>13</v>
      </c>
      <c r="K14" s="14">
        <f>Grunddaten!Y15</f>
        <v>1</v>
      </c>
      <c r="L14" s="14" t="str">
        <f ca="1">CONCATENATE("'",Grunddaten!Z15,"'")</f>
        <v>'13581'</v>
      </c>
      <c r="M14" s="14" t="str">
        <f>CONCATENATE("'",Grunddaten!AA15,"'")</f>
        <v>'Berlin'</v>
      </c>
      <c r="N14" s="14" t="str">
        <f>CONCATENATE("'",Grunddaten!AB15,"'")</f>
        <v>'San-Francisco-Weg'</v>
      </c>
      <c r="O14" s="14" t="str">
        <f>CONCATENATE("'",Grunddaten!AC15,"'")</f>
        <v>'8C'</v>
      </c>
      <c r="P14" s="14">
        <f>Grunddaten!AD15</f>
        <v>1</v>
      </c>
      <c r="R14" s="13">
        <f>Grunddaten!A15</f>
        <v>13</v>
      </c>
      <c r="S14" s="13">
        <f>Grunddaten!AF15</f>
        <v>1</v>
      </c>
      <c r="T14" s="13" t="str">
        <f>CONCATENATE("'",Grunddaten!AG15,"'")</f>
        <v>'030'</v>
      </c>
      <c r="U14" s="13" t="str">
        <f ca="1">CONCATENATE("'",Grunddaten!AH15,"'")</f>
        <v>'66405465'</v>
      </c>
      <c r="V14" s="13">
        <f>Grunddaten!AI15</f>
        <v>1</v>
      </c>
      <c r="Z14" s="2" t="str" cm="1">
        <f t="array" ref="Z14">CONCATENATE("                   ",Liste(B14:H14),IF(Z15&lt;&gt;"",",",""))</f>
        <v xml:space="preserve">                   (13, 'Zimmermann', 'Julian', 1, 2, '2011-04-27', '1991-08-05'),</v>
      </c>
      <c r="AB14" s="2" t="str" cm="1">
        <f t="array" aca="1" ref="AB14" ca="1">CONCATENATE("                    ",Liste(J14:P14),IF(AB15&lt;&gt;"",",",""))</f>
        <v xml:space="preserve">                    (13, 1, '13581', 'Berlin', 'San-Francisco-Weg', '8C', 1),</v>
      </c>
      <c r="AD14" s="2" t="str" cm="1">
        <f t="array" aca="1" ref="AD14" ca="1">CONCATENATE("                   ",Liste(R14:V14),IF(AD15&lt;&gt;"",",",""))</f>
        <v xml:space="preserve">                   (13, 1, '030', '66405465', 1),</v>
      </c>
    </row>
    <row r="15" spans="1:30" x14ac:dyDescent="0.45">
      <c r="B15" s="4">
        <f>Grunddaten!A16</f>
        <v>14</v>
      </c>
      <c r="C15" s="4" t="str">
        <f>CONCATENATE("'",Grunddaten!F16,"'")</f>
        <v>'Hartmann'</v>
      </c>
      <c r="D15" s="4" t="str">
        <f>CONCATENATE("'",Grunddaten!E16,"'")</f>
        <v>'Denise'</v>
      </c>
      <c r="E15" s="4">
        <f>VLOOKUP(Grunddaten!D16,FormOfAddress,2,TRUE)</f>
        <v>2</v>
      </c>
      <c r="F15" s="4">
        <f>VLOOKUP(Grunddaten!I16,FamilyStatus,2,FALSE)</f>
        <v>2</v>
      </c>
      <c r="G15" s="4" t="str">
        <f>IF(Grunddaten!J16&lt;&gt;"",CONCATENATE("'",TEXT(Grunddaten!J16,"JJJJ-MM-tt"),"'"),"NULL")</f>
        <v>'1987-08-23'</v>
      </c>
      <c r="H15" s="4" t="str">
        <f>CONCATENATE("'",TEXT(Grunddaten!G16,"JJJJ-MM-tt"),"'")</f>
        <v>'1955-05-10'</v>
      </c>
      <c r="J15" s="14">
        <f>Grunddaten!A16</f>
        <v>14</v>
      </c>
      <c r="K15" s="14">
        <f>Grunddaten!Y16</f>
        <v>1</v>
      </c>
      <c r="L15" s="14" t="str">
        <f ca="1">CONCATENATE("'",Grunddaten!Z16,"'")</f>
        <v>'13187'</v>
      </c>
      <c r="M15" s="14" t="str">
        <f>CONCATENATE("'",Grunddaten!AA16,"'")</f>
        <v>'Berlin'</v>
      </c>
      <c r="N15" s="14" t="str">
        <f>CONCATENATE("'",Grunddaten!AB16,"'")</f>
        <v>'Postplatz'</v>
      </c>
      <c r="O15" s="14" t="str">
        <f>CONCATENATE("'",Grunddaten!AC16,"'")</f>
        <v>'3'</v>
      </c>
      <c r="P15" s="14">
        <f>Grunddaten!AD16</f>
        <v>1</v>
      </c>
      <c r="R15" s="13">
        <f>Grunddaten!A16</f>
        <v>14</v>
      </c>
      <c r="S15" s="13">
        <f>Grunddaten!AF16</f>
        <v>1</v>
      </c>
      <c r="T15" s="13" t="str">
        <f>CONCATENATE("'",Grunddaten!AG16,"'")</f>
        <v>'030'</v>
      </c>
      <c r="U15" s="13" t="str">
        <f ca="1">CONCATENATE("'",Grunddaten!AH16,"'")</f>
        <v>'49268032'</v>
      </c>
      <c r="V15" s="13">
        <f>Grunddaten!AI16</f>
        <v>1</v>
      </c>
      <c r="Z15" s="2" t="str" cm="1">
        <f t="array" ref="Z15">CONCATENATE("                   ",Liste(B15:H15),IF(Z16&lt;&gt;"",",",""))</f>
        <v xml:space="preserve">                   (14, 'Hartmann', 'Denise', 2, 2, '1987-08-23', '1955-05-10'),</v>
      </c>
      <c r="AB15" s="2" t="str" cm="1">
        <f t="array" aca="1" ref="AB15" ca="1">CONCATENATE("                    ",Liste(J15:P15),IF(AB16&lt;&gt;"",",",""))</f>
        <v xml:space="preserve">                    (14, 1, '13187', 'Berlin', 'Postplatz', '3', 1),</v>
      </c>
      <c r="AD15" s="2" t="str" cm="1">
        <f t="array" aca="1" ref="AD15" ca="1">CONCATENATE("                   ",Liste(R15:V15),IF(AD16&lt;&gt;"",",",""))</f>
        <v xml:space="preserve">                   (14, 1, '030', '49268032', 1),</v>
      </c>
    </row>
    <row r="16" spans="1:30" x14ac:dyDescent="0.45">
      <c r="B16" s="4">
        <f>Grunddaten!A17</f>
        <v>15</v>
      </c>
      <c r="C16" s="4" t="str">
        <f>CONCATENATE("'",Grunddaten!F17,"'")</f>
        <v>'Lang'</v>
      </c>
      <c r="D16" s="4" t="str">
        <f>CONCATENATE("'",Grunddaten!E17,"'")</f>
        <v>'Kevin'</v>
      </c>
      <c r="E16" s="4">
        <f>VLOOKUP(Grunddaten!D17,FormOfAddress,2,TRUE)</f>
        <v>1</v>
      </c>
      <c r="F16" s="4">
        <f>VLOOKUP(Grunddaten!I17,FamilyStatus,2,FALSE)</f>
        <v>1</v>
      </c>
      <c r="G16" s="4" t="str">
        <f>IF(Grunddaten!J17&lt;&gt;"",CONCATENATE("'",TEXT(Grunddaten!J17,"JJJJ-MM-tt"),"'"),"NULL")</f>
        <v>NULL</v>
      </c>
      <c r="H16" s="4" t="str">
        <f>CONCATENATE("'",TEXT(Grunddaten!G17,"JJJJ-MM-tt"),"'")</f>
        <v>'1989-09-21'</v>
      </c>
      <c r="J16" s="14">
        <f>Grunddaten!A17</f>
        <v>15</v>
      </c>
      <c r="K16" s="14">
        <f>Grunddaten!Y17</f>
        <v>1</v>
      </c>
      <c r="L16" s="14" t="str">
        <f ca="1">CONCATENATE("'",Grunddaten!Z17,"'")</f>
        <v>'14828'</v>
      </c>
      <c r="M16" s="14" t="str">
        <f>CONCATENATE("'",Grunddaten!AA17,"'")</f>
        <v>'Görzke'</v>
      </c>
      <c r="N16" s="14" t="str">
        <f>CONCATENATE("'",Grunddaten!AB17,"'")</f>
        <v>'Am Bahnhof'</v>
      </c>
      <c r="O16" s="14" t="str">
        <f>CONCATENATE("'",Grunddaten!AC17,"'")</f>
        <v>'22'</v>
      </c>
      <c r="P16" s="14">
        <f>Grunddaten!AD17</f>
        <v>1</v>
      </c>
      <c r="R16" s="13">
        <f>Grunddaten!A17</f>
        <v>15</v>
      </c>
      <c r="S16" s="13">
        <f>Grunddaten!AF17</f>
        <v>1</v>
      </c>
      <c r="T16" s="13" t="str">
        <f>CONCATENATE("'",Grunddaten!AG17,"'")</f>
        <v>'033847'</v>
      </c>
      <c r="U16" s="13" t="str">
        <f ca="1">CONCATENATE("'",Grunddaten!AH17,"'")</f>
        <v>'9603'</v>
      </c>
      <c r="V16" s="13">
        <f>Grunddaten!AI17</f>
        <v>1</v>
      </c>
      <c r="Z16" s="2" t="str" cm="1">
        <f t="array" ref="Z16">CONCATENATE("                   ",Liste(B16:H16),IF(Z17&lt;&gt;"",",",""))</f>
        <v xml:space="preserve">                   (15, 'Lang', 'Kevin', 1, 1, NULL, '1989-09-21'),</v>
      </c>
      <c r="AB16" s="2" t="str" cm="1">
        <f t="array" aca="1" ref="AB16" ca="1">CONCATENATE("                    ",Liste(J16:P16),IF(AB17&lt;&gt;"",",",""))</f>
        <v xml:space="preserve">                    (15, 1, '14828', 'Görzke', 'Am Bahnhof', '22', 1),</v>
      </c>
      <c r="AD16" s="2" t="str" cm="1">
        <f t="array" aca="1" ref="AD16" ca="1">CONCATENATE("                   ",Liste(R16:V16),IF(AD17&lt;&gt;"",",",""))</f>
        <v xml:space="preserve">                   (15, 1, '033847', '9603', 1),</v>
      </c>
    </row>
    <row r="17" spans="2:30" x14ac:dyDescent="0.45">
      <c r="B17" s="4">
        <f>Grunddaten!A18</f>
        <v>16</v>
      </c>
      <c r="C17" s="4" t="str">
        <f>CONCATENATE("'",Grunddaten!F18,"'")</f>
        <v>'Günther'</v>
      </c>
      <c r="D17" s="4" t="str">
        <f>CONCATENATE("'",Grunddaten!E18,"'")</f>
        <v>'Sabrina'</v>
      </c>
      <c r="E17" s="4">
        <f>VLOOKUP(Grunddaten!D18,FormOfAddress,2,TRUE)</f>
        <v>2</v>
      </c>
      <c r="F17" s="4">
        <f>VLOOKUP(Grunddaten!I18,FamilyStatus,2,FALSE)</f>
        <v>1</v>
      </c>
      <c r="G17" s="4" t="str">
        <f>IF(Grunddaten!J18&lt;&gt;"",CONCATENATE("'",TEXT(Grunddaten!J18,"JJJJ-MM-tt"),"'"),"NULL")</f>
        <v>NULL</v>
      </c>
      <c r="H17" s="4" t="str">
        <f>CONCATENATE("'",TEXT(Grunddaten!G18,"JJJJ-MM-tt"),"'")</f>
        <v>'1984-03-15'</v>
      </c>
      <c r="J17" s="14">
        <f>Grunddaten!A18</f>
        <v>16</v>
      </c>
      <c r="K17" s="14">
        <f>Grunddaten!Y18</f>
        <v>1</v>
      </c>
      <c r="L17" s="14" t="str">
        <f ca="1">CONCATENATE("'",Grunddaten!Z18,"'")</f>
        <v>'14467'</v>
      </c>
      <c r="M17" s="14" t="str">
        <f>CONCATENATE("'",Grunddaten!AA18,"'")</f>
        <v>'Potsdam'</v>
      </c>
      <c r="N17" s="14" t="str">
        <f>CONCATENATE("'",Grunddaten!AB18,"'")</f>
        <v>'Georg-Friedrich-Händel-Straße'</v>
      </c>
      <c r="O17" s="14" t="str">
        <f>CONCATENATE("'",Grunddaten!AC18,"'")</f>
        <v>'7'</v>
      </c>
      <c r="P17" s="14">
        <f>Grunddaten!AD18</f>
        <v>1</v>
      </c>
      <c r="R17" s="13">
        <f>Grunddaten!A18</f>
        <v>16</v>
      </c>
      <c r="S17" s="13">
        <f>Grunddaten!AF18</f>
        <v>1</v>
      </c>
      <c r="T17" s="13" t="str">
        <f>CONCATENATE("'",Grunddaten!AG18,"'")</f>
        <v>'0331'</v>
      </c>
      <c r="U17" s="13" t="str">
        <f ca="1">CONCATENATE("'",Grunddaten!AH18,"'")</f>
        <v>'42263'</v>
      </c>
      <c r="V17" s="13">
        <f>Grunddaten!AI18</f>
        <v>1</v>
      </c>
      <c r="Z17" s="2" t="str" cm="1">
        <f t="array" ref="Z17">CONCATENATE("                   ",Liste(B17:H17),IF(Z18&lt;&gt;"",",",""))</f>
        <v xml:space="preserve">                   (16, 'Günther', 'Sabrina', 2, 1, NULL, '1984-03-15'),</v>
      </c>
      <c r="AB17" s="2" t="str" cm="1">
        <f t="array" aca="1" ref="AB17" ca="1">CONCATENATE("                    ",Liste(J17:P17),IF(AB18&lt;&gt;"",",",""))</f>
        <v xml:space="preserve">                    (16, 1, '14467', 'Potsdam', 'Georg-Friedrich-Händel-Straße', '7', 1),</v>
      </c>
      <c r="AD17" s="2" t="str" cm="1">
        <f t="array" aca="1" ref="AD17" ca="1">CONCATENATE("                   ",Liste(R17:V17),IF(AD18&lt;&gt;"",",",""))</f>
        <v xml:space="preserve">                   (16, 1, '0331', '42263', 1),</v>
      </c>
    </row>
    <row r="18" spans="2:30" x14ac:dyDescent="0.45">
      <c r="B18" s="4">
        <f>Grunddaten!A19</f>
        <v>17</v>
      </c>
      <c r="C18" s="4" t="str">
        <f>CONCATENATE("'",Grunddaten!F19,"'")</f>
        <v>'Meier'</v>
      </c>
      <c r="D18" s="4" t="str">
        <f>CONCATENATE("'",Grunddaten!E19,"'")</f>
        <v>'Nico'</v>
      </c>
      <c r="E18" s="4">
        <f>VLOOKUP(Grunddaten!D19,FormOfAddress,2,TRUE)</f>
        <v>1</v>
      </c>
      <c r="F18" s="4">
        <f>VLOOKUP(Grunddaten!I19,FamilyStatus,2,FALSE)</f>
        <v>2</v>
      </c>
      <c r="G18" s="4" t="str">
        <f>IF(Grunddaten!J19&lt;&gt;"",CONCATENATE("'",TEXT(Grunddaten!J19,"JJJJ-MM-tt"),"'"),"NULL")</f>
        <v>'1992-10-29'</v>
      </c>
      <c r="H18" s="4" t="str">
        <f>CONCATENATE("'",TEXT(Grunddaten!G19,"JJJJ-MM-tt"),"'")</f>
        <v>'1959-10-29'</v>
      </c>
      <c r="J18" s="14">
        <f>Grunddaten!A19</f>
        <v>17</v>
      </c>
      <c r="K18" s="14">
        <f>Grunddaten!Y19</f>
        <v>1</v>
      </c>
      <c r="L18" s="14" t="str">
        <f ca="1">CONCATENATE("'",Grunddaten!Z19,"'")</f>
        <v>'10315'</v>
      </c>
      <c r="M18" s="14" t="str">
        <f>CONCATENATE("'",Grunddaten!AA19,"'")</f>
        <v>'Berlin'</v>
      </c>
      <c r="N18" s="14" t="str">
        <f>CONCATENATE("'",Grunddaten!AB19,"'")</f>
        <v>'Friedrich-Nietzsche-Straße'</v>
      </c>
      <c r="O18" s="14" t="str">
        <f>CONCATENATE("'",Grunddaten!AC19,"'")</f>
        <v>'6D'</v>
      </c>
      <c r="P18" s="14">
        <f>Grunddaten!AD19</f>
        <v>1</v>
      </c>
      <c r="R18" s="13">
        <f>Grunddaten!A19</f>
        <v>17</v>
      </c>
      <c r="S18" s="13">
        <f>Grunddaten!AF19</f>
        <v>1</v>
      </c>
      <c r="T18" s="13" t="str">
        <f>CONCATENATE("'",Grunddaten!AG19,"'")</f>
        <v>'030'</v>
      </c>
      <c r="U18" s="13" t="str">
        <f ca="1">CONCATENATE("'",Grunddaten!AH19,"'")</f>
        <v>'54454362'</v>
      </c>
      <c r="V18" s="13">
        <f>Grunddaten!AI19</f>
        <v>1</v>
      </c>
      <c r="Z18" s="2" t="str" cm="1">
        <f t="array" ref="Z18">CONCATENATE("                   ",Liste(B18:H18),IF(Z19&lt;&gt;"",",",""))</f>
        <v xml:space="preserve">                   (17, 'Meier', 'Nico', 1, 2, '1992-10-29', '1959-10-29'),</v>
      </c>
      <c r="AB18" s="2" t="str" cm="1">
        <f t="array" aca="1" ref="AB18" ca="1">CONCATENATE("                    ",Liste(J18:P18),IF(AB19&lt;&gt;"",",",""))</f>
        <v xml:space="preserve">                    (17, 1, '10315', 'Berlin', 'Friedrich-Nietzsche-Straße', '6D', 1),</v>
      </c>
      <c r="AD18" s="2" t="str" cm="1">
        <f t="array" aca="1" ref="AD18" ca="1">CONCATENATE("                   ",Liste(R18:V18),IF(AD19&lt;&gt;"",",",""))</f>
        <v xml:space="preserve">                   (17, 1, '030', '54454362', 1),</v>
      </c>
    </row>
    <row r="19" spans="2:30" x14ac:dyDescent="0.45">
      <c r="B19" s="4">
        <f>Grunddaten!A20</f>
        <v>18</v>
      </c>
      <c r="C19" s="4" t="str">
        <f>CONCATENATE("'",Grunddaten!F20,"'")</f>
        <v>'Haas'</v>
      </c>
      <c r="D19" s="4" t="str">
        <f>CONCATENATE("'",Grunddaten!E20,"'")</f>
        <v>'Sophie'</v>
      </c>
      <c r="E19" s="4">
        <f>VLOOKUP(Grunddaten!D20,FormOfAddress,2,TRUE)</f>
        <v>2</v>
      </c>
      <c r="F19" s="4">
        <f>VLOOKUP(Grunddaten!I20,FamilyStatus,2,FALSE)</f>
        <v>4</v>
      </c>
      <c r="G19" s="4" t="str">
        <f>IF(Grunddaten!J20&lt;&gt;"",CONCATENATE("'",TEXT(Grunddaten!J20,"JJJJ-MM-tt"),"'"),"NULL")</f>
        <v>'2021-03-23'</v>
      </c>
      <c r="H19" s="4" t="str">
        <f>CONCATENATE("'",TEXT(Grunddaten!G20,"JJJJ-MM-tt"),"'")</f>
        <v>'1963-02-14'</v>
      </c>
      <c r="J19" s="14">
        <f>Grunddaten!A20</f>
        <v>18</v>
      </c>
      <c r="K19" s="14">
        <f>Grunddaten!Y20</f>
        <v>1</v>
      </c>
      <c r="L19" s="14" t="str">
        <f ca="1">CONCATENATE("'",Grunddaten!Z20,"'")</f>
        <v>'13581'</v>
      </c>
      <c r="M19" s="14" t="str">
        <f>CONCATENATE("'",Grunddaten!AA20,"'")</f>
        <v>'Berlin'</v>
      </c>
      <c r="N19" s="14" t="str">
        <f>CONCATENATE("'",Grunddaten!AB20,"'")</f>
        <v>'Fasanenstraße'</v>
      </c>
      <c r="O19" s="14" t="str">
        <f>CONCATENATE("'",Grunddaten!AC20,"'")</f>
        <v>'22E'</v>
      </c>
      <c r="P19" s="14">
        <f>Grunddaten!AD20</f>
        <v>1</v>
      </c>
      <c r="R19" s="13">
        <f>Grunddaten!A20</f>
        <v>18</v>
      </c>
      <c r="S19" s="13">
        <f>Grunddaten!AF20</f>
        <v>1</v>
      </c>
      <c r="T19" s="13" t="str">
        <f>CONCATENATE("'",Grunddaten!AG20,"'")</f>
        <v>'030'</v>
      </c>
      <c r="U19" s="13" t="str">
        <f ca="1">CONCATENATE("'",Grunddaten!AH20,"'")</f>
        <v>'73081362'</v>
      </c>
      <c r="V19" s="13">
        <f>Grunddaten!AI20</f>
        <v>1</v>
      </c>
      <c r="Z19" s="2" t="str" cm="1">
        <f t="array" ref="Z19">CONCATENATE("                   ",Liste(B19:H19),IF(Z20&lt;&gt;"",",",""))</f>
        <v xml:space="preserve">                   (18, 'Haas', 'Sophie', 2, 4, '2021-03-23', '1963-02-14'),</v>
      </c>
      <c r="AB19" s="2" t="str" cm="1">
        <f t="array" aca="1" ref="AB19" ca="1">CONCATENATE("                    ",Liste(J19:P19),IF(AB20&lt;&gt;"",",",""))</f>
        <v xml:space="preserve">                    (18, 1, '13581', 'Berlin', 'Fasanenstraße', '22E', 1),</v>
      </c>
      <c r="AD19" s="2" t="str" cm="1">
        <f t="array" aca="1" ref="AD19" ca="1">CONCATENATE("                   ",Liste(R19:V19),IF(AD20&lt;&gt;"",",",""))</f>
        <v xml:space="preserve">                   (18, 1, '030', '73081362', 1),</v>
      </c>
    </row>
    <row r="20" spans="2:30" x14ac:dyDescent="0.45">
      <c r="B20" s="4">
        <f>Grunddaten!A21</f>
        <v>19</v>
      </c>
      <c r="C20" s="4" t="str">
        <f>CONCATENATE("'",Grunddaten!F21,"'")</f>
        <v>'Vogel'</v>
      </c>
      <c r="D20" s="4" t="str">
        <f>CONCATENATE("'",Grunddaten!E21,"'")</f>
        <v>'Robert'</v>
      </c>
      <c r="E20" s="4">
        <f>VLOOKUP(Grunddaten!D21,FormOfAddress,2,TRUE)</f>
        <v>1</v>
      </c>
      <c r="F20" s="4">
        <f>VLOOKUP(Grunddaten!I21,FamilyStatus,2,FALSE)</f>
        <v>2</v>
      </c>
      <c r="G20" s="4" t="str">
        <f>IF(Grunddaten!J21&lt;&gt;"",CONCATENATE("'",TEXT(Grunddaten!J21,"JJJJ-MM-tt"),"'"),"NULL")</f>
        <v>'1991-01-21'</v>
      </c>
      <c r="H20" s="4" t="str">
        <f>CONCATENATE("'",TEXT(Grunddaten!G21,"JJJJ-MM-tt"),"'")</f>
        <v>'1959-02-15'</v>
      </c>
      <c r="J20" s="14">
        <f>Grunddaten!A21</f>
        <v>19</v>
      </c>
      <c r="K20" s="14">
        <f>Grunddaten!Y21</f>
        <v>1</v>
      </c>
      <c r="L20" s="14" t="str">
        <f ca="1">CONCATENATE("'",Grunddaten!Z21,"'")</f>
        <v>'12057'</v>
      </c>
      <c r="M20" s="14" t="str">
        <f>CONCATENATE("'",Grunddaten!AA21,"'")</f>
        <v>'Berlin'</v>
      </c>
      <c r="N20" s="14" t="str">
        <f>CONCATENATE("'",Grunddaten!AB21,"'")</f>
        <v>'Wacholderweg'</v>
      </c>
      <c r="O20" s="14" t="str">
        <f>CONCATENATE("'",Grunddaten!AC21,"'")</f>
        <v>'26'</v>
      </c>
      <c r="P20" s="14">
        <f>Grunddaten!AD21</f>
        <v>1</v>
      </c>
      <c r="R20" s="13">
        <f>Grunddaten!A21</f>
        <v>19</v>
      </c>
      <c r="S20" s="13">
        <f>Grunddaten!AF21</f>
        <v>1</v>
      </c>
      <c r="T20" s="13" t="str">
        <f>CONCATENATE("'",Grunddaten!AG21,"'")</f>
        <v>'030'</v>
      </c>
      <c r="U20" s="13" t="str">
        <f ca="1">CONCATENATE("'",Grunddaten!AH21,"'")</f>
        <v>'71271278'</v>
      </c>
      <c r="V20" s="13">
        <f>Grunddaten!AI21</f>
        <v>1</v>
      </c>
      <c r="Z20" s="2" t="str" cm="1">
        <f t="array" ref="Z20">CONCATENATE("                   ",Liste(B20:H20),IF(Z21&lt;&gt;"",",",""))</f>
        <v xml:space="preserve">                   (19, 'Vogel', 'Robert', 1, 2, '1991-01-21', '1959-02-15'),</v>
      </c>
      <c r="AB20" s="2" t="str" cm="1">
        <f t="array" aca="1" ref="AB20" ca="1">CONCATENATE("                    ",Liste(J20:P20),IF(AB21&lt;&gt;"",",",""))</f>
        <v xml:space="preserve">                    (19, 1, '12057', 'Berlin', 'Wacholderweg', '26', 1),</v>
      </c>
      <c r="AD20" s="2" t="str" cm="1">
        <f t="array" aca="1" ref="AD20" ca="1">CONCATENATE("                   ",Liste(R20:V20),IF(AD21&lt;&gt;"",",",""))</f>
        <v xml:space="preserve">                   (19, 1, '030', '71271278', 1),</v>
      </c>
    </row>
    <row r="21" spans="2:30" x14ac:dyDescent="0.45">
      <c r="B21" s="4">
        <f>Grunddaten!A22</f>
        <v>20</v>
      </c>
      <c r="C21" s="4" t="str">
        <f>CONCATENATE("'",Grunddaten!F22,"'")</f>
        <v>'Fuchs'</v>
      </c>
      <c r="D21" s="4" t="str">
        <f>CONCATENATE("'",Grunddaten!E22,"'")</f>
        <v>'Jasmin'</v>
      </c>
      <c r="E21" s="4">
        <f>VLOOKUP(Grunddaten!D22,FormOfAddress,2,TRUE)</f>
        <v>2</v>
      </c>
      <c r="F21" s="4">
        <f>VLOOKUP(Grunddaten!I22,FamilyStatus,2,FALSE)</f>
        <v>1</v>
      </c>
      <c r="G21" s="4" t="str">
        <f>IF(Grunddaten!J22&lt;&gt;"",CONCATENATE("'",TEXT(Grunddaten!J22,"JJJJ-MM-tt"),"'"),"NULL")</f>
        <v>NULL</v>
      </c>
      <c r="H21" s="4" t="str">
        <f>CONCATENATE("'",TEXT(Grunddaten!G22,"JJJJ-MM-tt"),"'")</f>
        <v>'1989-05-05'</v>
      </c>
      <c r="J21" s="14">
        <f>Grunddaten!A22</f>
        <v>20</v>
      </c>
      <c r="K21" s="14">
        <f>Grunddaten!Y22</f>
        <v>1</v>
      </c>
      <c r="L21" s="14" t="str">
        <f ca="1">CONCATENATE("'",Grunddaten!Z22,"'")</f>
        <v>'13581'</v>
      </c>
      <c r="M21" s="14" t="str">
        <f>CONCATENATE("'",Grunddaten!AA22,"'")</f>
        <v>'Berlin'</v>
      </c>
      <c r="N21" s="14" t="str">
        <f>CONCATENATE("'",Grunddaten!AB22,"'")</f>
        <v>'Am Rosenhügel'</v>
      </c>
      <c r="O21" s="14" t="str">
        <f>CONCATENATE("'",Grunddaten!AC22,"'")</f>
        <v>'24'</v>
      </c>
      <c r="P21" s="14">
        <f>Grunddaten!AD22</f>
        <v>1</v>
      </c>
      <c r="R21" s="13">
        <f>Grunddaten!A22</f>
        <v>20</v>
      </c>
      <c r="S21" s="13">
        <f>Grunddaten!AF22</f>
        <v>1</v>
      </c>
      <c r="T21" s="13" t="str">
        <f>CONCATENATE("'",Grunddaten!AG22,"'")</f>
        <v>'030'</v>
      </c>
      <c r="U21" s="13" t="str">
        <f ca="1">CONCATENATE("'",Grunddaten!AH22,"'")</f>
        <v>'51645529'</v>
      </c>
      <c r="V21" s="13">
        <f>Grunddaten!AI22</f>
        <v>1</v>
      </c>
      <c r="Z21" s="2" t="str" cm="1">
        <f t="array" ref="Z21">CONCATENATE("                   ",Liste(B21:H21),IF(Z22&lt;&gt;"",",",""))</f>
        <v xml:space="preserve">                   (20, 'Fuchs', 'Jasmin', 2, 1, NULL, '1989-05-05'),</v>
      </c>
      <c r="AB21" s="2" t="str" cm="1">
        <f t="array" aca="1" ref="AB21" ca="1">CONCATENATE("                    ",Liste(J21:P21),IF(AB22&lt;&gt;"",",",""))</f>
        <v xml:space="preserve">                    (20, 1, '13581', 'Berlin', 'Am Rosenhügel', '24', 1),</v>
      </c>
      <c r="AD21" s="2" t="str" cm="1">
        <f t="array" aca="1" ref="AD21" ca="1">CONCATENATE("                   ",Liste(R21:V21),IF(AD22&lt;&gt;"",",",""))</f>
        <v xml:space="preserve">                   (20, 1, '030', '51645529', 1),</v>
      </c>
    </row>
    <row r="22" spans="2:30" x14ac:dyDescent="0.45">
      <c r="B22" s="4">
        <f>Grunddaten!A23</f>
        <v>21</v>
      </c>
      <c r="C22" s="4" t="str">
        <f>CONCATENATE("'",Grunddaten!F23,"'")</f>
        <v>'Roth'</v>
      </c>
      <c r="D22" s="4" t="str">
        <f>CONCATENATE("'",Grunddaten!E23,"'")</f>
        <v>'Lukas'</v>
      </c>
      <c r="E22" s="4">
        <f>VLOOKUP(Grunddaten!D23,FormOfAddress,2,TRUE)</f>
        <v>1</v>
      </c>
      <c r="F22" s="4">
        <f>VLOOKUP(Grunddaten!I23,FamilyStatus,2,FALSE)</f>
        <v>1</v>
      </c>
      <c r="G22" s="4" t="str">
        <f>IF(Grunddaten!J23&lt;&gt;"",CONCATENATE("'",TEXT(Grunddaten!J23,"JJJJ-MM-tt"),"'"),"NULL")</f>
        <v>NULL</v>
      </c>
      <c r="H22" s="4" t="str">
        <f>CONCATENATE("'",TEXT(Grunddaten!G23,"JJJJ-MM-tt"),"'")</f>
        <v>'2005-12-04'</v>
      </c>
      <c r="J22" s="14">
        <f>Grunddaten!A23</f>
        <v>21</v>
      </c>
      <c r="K22" s="14">
        <f>Grunddaten!Y23</f>
        <v>1</v>
      </c>
      <c r="L22" s="14" t="str">
        <f ca="1">CONCATENATE("'",Grunddaten!Z23,"'")</f>
        <v>'14542'</v>
      </c>
      <c r="M22" s="14" t="str">
        <f>CONCATENATE("'",Grunddaten!AA23,"'")</f>
        <v>'Werder (Havel)'</v>
      </c>
      <c r="N22" s="14" t="str">
        <f>CONCATENATE("'",Grunddaten!AB23,"'")</f>
        <v>'Eschenweg'</v>
      </c>
      <c r="O22" s="14" t="str">
        <f>CONCATENATE("'",Grunddaten!AC23,"'")</f>
        <v>'8'</v>
      </c>
      <c r="P22" s="14">
        <f>Grunddaten!AD23</f>
        <v>1</v>
      </c>
      <c r="R22" s="13">
        <f>Grunddaten!A23</f>
        <v>21</v>
      </c>
      <c r="S22" s="13">
        <f>Grunddaten!AF23</f>
        <v>1</v>
      </c>
      <c r="T22" s="13" t="str">
        <f>CONCATENATE("'",Grunddaten!AG23,"'")</f>
        <v>'03327'</v>
      </c>
      <c r="U22" s="13" t="str">
        <f ca="1">CONCATENATE("'",Grunddaten!AH23,"'")</f>
        <v>'61458'</v>
      </c>
      <c r="V22" s="13">
        <f>Grunddaten!AI23</f>
        <v>1</v>
      </c>
      <c r="Z22" s="2" t="str" cm="1">
        <f t="array" ref="Z22">CONCATENATE("                   ",Liste(B22:H22),IF(Z23&lt;&gt;"",",",""))</f>
        <v xml:space="preserve">                   (21, 'Roth', 'Lukas', 1, 1, NULL, '2005-12-04'),</v>
      </c>
      <c r="AB22" s="2" t="str" cm="1">
        <f t="array" aca="1" ref="AB22" ca="1">CONCATENATE("                    ",Liste(J22:P22),IF(AB23&lt;&gt;"",",",""))</f>
        <v xml:space="preserve">                    (21, 1, '14542', 'Werder (Havel)', 'Eschenweg', '8', 1),</v>
      </c>
      <c r="AD22" s="2" t="str" cm="1">
        <f t="array" aca="1" ref="AD22" ca="1">CONCATENATE("                   ",Liste(R22:V22),IF(AD23&lt;&gt;"",",",""))</f>
        <v xml:space="preserve">                   (21, 1, '03327', '61458', 1),</v>
      </c>
    </row>
    <row r="23" spans="2:30" x14ac:dyDescent="0.45">
      <c r="B23" s="4">
        <f>Grunddaten!A24</f>
        <v>22</v>
      </c>
      <c r="C23" s="4" t="str">
        <f>CONCATENATE("'",Grunddaten!F24,"'")</f>
        <v>'Berger'</v>
      </c>
      <c r="D23" s="4" t="str">
        <f>CONCATENATE("'",Grunddaten!E24,"'")</f>
        <v>'Anna'</v>
      </c>
      <c r="E23" s="4">
        <f>VLOOKUP(Grunddaten!D24,FormOfAddress,2,TRUE)</f>
        <v>2</v>
      </c>
      <c r="F23" s="4">
        <f>VLOOKUP(Grunddaten!I24,FamilyStatus,2,FALSE)</f>
        <v>1</v>
      </c>
      <c r="G23" s="4" t="str">
        <f>IF(Grunddaten!J24&lt;&gt;"",CONCATENATE("'",TEXT(Grunddaten!J24,"JJJJ-MM-tt"),"'"),"NULL")</f>
        <v>NULL</v>
      </c>
      <c r="H23" s="4" t="str">
        <f>CONCATENATE("'",TEXT(Grunddaten!G24,"JJJJ-MM-tt"),"'")</f>
        <v>'1997-02-03'</v>
      </c>
      <c r="J23" s="14">
        <f>Grunddaten!A24</f>
        <v>22</v>
      </c>
      <c r="K23" s="14">
        <f>Grunddaten!Y24</f>
        <v>1</v>
      </c>
      <c r="L23" s="14" t="str">
        <f ca="1">CONCATENATE("'",Grunddaten!Z24,"'")</f>
        <v>'14050'</v>
      </c>
      <c r="M23" s="14" t="str">
        <f>CONCATENATE("'",Grunddaten!AA24,"'")</f>
        <v>'Berlin'</v>
      </c>
      <c r="N23" s="14" t="str">
        <f>CONCATENATE("'",Grunddaten!AB24,"'")</f>
        <v>'Oslostraße'</v>
      </c>
      <c r="O23" s="14" t="str">
        <f>CONCATENATE("'",Grunddaten!AC24,"'")</f>
        <v>'92'</v>
      </c>
      <c r="P23" s="14">
        <f>Grunddaten!AD24</f>
        <v>1</v>
      </c>
      <c r="R23" s="13">
        <f>Grunddaten!A24</f>
        <v>22</v>
      </c>
      <c r="S23" s="13">
        <f>Grunddaten!AF24</f>
        <v>1</v>
      </c>
      <c r="T23" s="13" t="str">
        <f>CONCATENATE("'",Grunddaten!AG24,"'")</f>
        <v>'030'</v>
      </c>
      <c r="U23" s="13" t="str">
        <f ca="1">CONCATENATE("'",Grunddaten!AH24,"'")</f>
        <v>'93172050'</v>
      </c>
      <c r="V23" s="13">
        <f>Grunddaten!AI24</f>
        <v>1</v>
      </c>
      <c r="Z23" s="2" t="str" cm="1">
        <f t="array" ref="Z23">CONCATENATE("                   ",Liste(B23:H23),IF(Z24&lt;&gt;"",",",""))</f>
        <v xml:space="preserve">                   (22, 'Berger', 'Anna', 2, 1, NULL, '1997-02-03'),</v>
      </c>
      <c r="AB23" s="2" t="str" cm="1">
        <f t="array" aca="1" ref="AB23" ca="1">CONCATENATE("                    ",Liste(J23:P23),IF(AB24&lt;&gt;"",",",""))</f>
        <v xml:space="preserve">                    (22, 1, '14050', 'Berlin', 'Oslostraße', '92', 1),</v>
      </c>
      <c r="AD23" s="2" t="str" cm="1">
        <f t="array" aca="1" ref="AD23" ca="1">CONCATENATE("                   ",Liste(R23:V23),IF(AD24&lt;&gt;"",",",""))</f>
        <v xml:space="preserve">                   (22, 1, '030', '93172050', 1),</v>
      </c>
    </row>
    <row r="24" spans="2:30" x14ac:dyDescent="0.45">
      <c r="B24" s="4">
        <f>Grunddaten!A25</f>
        <v>23</v>
      </c>
      <c r="C24" s="4" t="str">
        <f>CONCATENATE("'",Grunddaten!F25,"'")</f>
        <v>'Friedrich'</v>
      </c>
      <c r="D24" s="4" t="str">
        <f>CONCATENATE("'",Grunddaten!E25,"'")</f>
        <v>'Timo'</v>
      </c>
      <c r="E24" s="4">
        <f>VLOOKUP(Grunddaten!D25,FormOfAddress,2,TRUE)</f>
        <v>1</v>
      </c>
      <c r="F24" s="4">
        <f>VLOOKUP(Grunddaten!I25,FamilyStatus,2,FALSE)</f>
        <v>2</v>
      </c>
      <c r="G24" s="4" t="str">
        <f>IF(Grunddaten!J25&lt;&gt;"",CONCATENATE("'",TEXT(Grunddaten!J25,"JJJJ-MM-tt"),"'"),"NULL")</f>
        <v>'1982-10-25'</v>
      </c>
      <c r="H24" s="4" t="str">
        <f>CONCATENATE("'",TEXT(Grunddaten!G25,"JJJJ-MM-tt"),"'")</f>
        <v>'1962-11-29'</v>
      </c>
      <c r="J24" s="14">
        <f>Grunddaten!A25</f>
        <v>23</v>
      </c>
      <c r="K24" s="14">
        <f>Grunddaten!Y25</f>
        <v>1</v>
      </c>
      <c r="L24" s="14" t="str">
        <f ca="1">CONCATENATE("'",Grunddaten!Z25,"'")</f>
        <v>'14806'</v>
      </c>
      <c r="M24" s="14" t="str">
        <f>CONCATENATE("'",Grunddaten!AA25,"'")</f>
        <v>'Belzig'</v>
      </c>
      <c r="N24" s="14" t="str">
        <f>CONCATENATE("'",Grunddaten!AB25,"'")</f>
        <v>'Brahmsweg'</v>
      </c>
      <c r="O24" s="14" t="str">
        <f>CONCATENATE("'",Grunddaten!AC25,"'")</f>
        <v>'11D'</v>
      </c>
      <c r="P24" s="14">
        <f>Grunddaten!AD25</f>
        <v>1</v>
      </c>
      <c r="R24" s="13">
        <f>Grunddaten!A25</f>
        <v>23</v>
      </c>
      <c r="S24" s="13">
        <f>Grunddaten!AF25</f>
        <v>1</v>
      </c>
      <c r="T24" s="13" t="str">
        <f>CONCATENATE("'",Grunddaten!AG25,"'")</f>
        <v>'033841'</v>
      </c>
      <c r="U24" s="13" t="str">
        <f ca="1">CONCATENATE("'",Grunddaten!AH25,"'")</f>
        <v>'7191'</v>
      </c>
      <c r="V24" s="13">
        <f>Grunddaten!AI25</f>
        <v>1</v>
      </c>
      <c r="Z24" s="2" t="str" cm="1">
        <f t="array" ref="Z24">CONCATENATE("                   ",Liste(B24:H24),IF(Z25&lt;&gt;"",",",""))</f>
        <v xml:space="preserve">                   (23, 'Friedrich', 'Timo', 1, 2, '1982-10-25', '1962-11-29'),</v>
      </c>
      <c r="AB24" s="2" t="str" cm="1">
        <f t="array" aca="1" ref="AB24" ca="1">CONCATENATE("                    ",Liste(J24:P24),IF(AB25&lt;&gt;"",",",""))</f>
        <v xml:space="preserve">                    (23, 1, '14806', 'Belzig', 'Brahmsweg', '11D', 1),</v>
      </c>
      <c r="AD24" s="2" t="str" cm="1">
        <f t="array" aca="1" ref="AD24" ca="1">CONCATENATE("                   ",Liste(R24:V24),IF(AD25&lt;&gt;"",",",""))</f>
        <v xml:space="preserve">                   (23, 1, '033841', '7191', 1),</v>
      </c>
    </row>
    <row r="25" spans="2:30" x14ac:dyDescent="0.45">
      <c r="B25" s="4">
        <f>Grunddaten!A26</f>
        <v>24</v>
      </c>
      <c r="C25" s="4" t="str">
        <f>CONCATENATE("'",Grunddaten!F26,"'")</f>
        <v>'Keller'</v>
      </c>
      <c r="D25" s="4" t="str">
        <f>CONCATENATE("'",Grunddaten!E26,"'")</f>
        <v>'Michelle'</v>
      </c>
      <c r="E25" s="4">
        <f>VLOOKUP(Grunddaten!D26,FormOfAddress,2,TRUE)</f>
        <v>2</v>
      </c>
      <c r="F25" s="4">
        <f>VLOOKUP(Grunddaten!I26,FamilyStatus,2,FALSE)</f>
        <v>2</v>
      </c>
      <c r="G25" s="4" t="str">
        <f>IF(Grunddaten!J26&lt;&gt;"",CONCATENATE("'",TEXT(Grunddaten!J26,"JJJJ-MM-tt"),"'"),"NULL")</f>
        <v>'1980-02-03'</v>
      </c>
      <c r="H25" s="4" t="str">
        <f>CONCATENATE("'",TEXT(Grunddaten!G26,"JJJJ-MM-tt"),"'")</f>
        <v>'1955-12-28'</v>
      </c>
      <c r="J25" s="14">
        <f>Grunddaten!A26</f>
        <v>24</v>
      </c>
      <c r="K25" s="14">
        <f>Grunddaten!Y26</f>
        <v>1</v>
      </c>
      <c r="L25" s="14" t="str">
        <f ca="1">CONCATENATE("'",Grunddaten!Z26,"'")</f>
        <v>'13597'</v>
      </c>
      <c r="M25" s="14" t="str">
        <f>CONCATENATE("'",Grunddaten!AA26,"'")</f>
        <v>'Berlin'</v>
      </c>
      <c r="N25" s="14" t="str">
        <f>CONCATENATE("'",Grunddaten!AB26,"'")</f>
        <v>'Rosenweg'</v>
      </c>
      <c r="O25" s="14" t="str">
        <f>CONCATENATE("'",Grunddaten!AC26,"'")</f>
        <v>'7'</v>
      </c>
      <c r="P25" s="14">
        <f>Grunddaten!AD26</f>
        <v>1</v>
      </c>
      <c r="R25" s="13">
        <f>Grunddaten!A26</f>
        <v>24</v>
      </c>
      <c r="S25" s="13">
        <f>Grunddaten!AF26</f>
        <v>1</v>
      </c>
      <c r="T25" s="13" t="str">
        <f>CONCATENATE("'",Grunddaten!AG26,"'")</f>
        <v>'030'</v>
      </c>
      <c r="U25" s="13" t="str">
        <f ca="1">CONCATENATE("'",Grunddaten!AH26,"'")</f>
        <v>'57069086'</v>
      </c>
      <c r="V25" s="13">
        <f>Grunddaten!AI26</f>
        <v>1</v>
      </c>
      <c r="Z25" s="2" t="str" cm="1">
        <f t="array" ref="Z25">CONCATENATE("                   ",Liste(B25:H25),IF(Z26&lt;&gt;"",",",""))</f>
        <v xml:space="preserve">                   (24, 'Keller', 'Michelle', 2, 2, '1980-02-03', '1955-12-28'),</v>
      </c>
      <c r="AB25" s="2" t="str" cm="1">
        <f t="array" aca="1" ref="AB25" ca="1">CONCATENATE("                    ",Liste(J25:P25),IF(AB26&lt;&gt;"",",",""))</f>
        <v xml:space="preserve">                    (24, 1, '13597', 'Berlin', 'Rosenweg', '7', 1),</v>
      </c>
      <c r="AD25" s="2" t="str" cm="1">
        <f t="array" aca="1" ref="AD25" ca="1">CONCATENATE("                   ",Liste(R25:V25),IF(AD26&lt;&gt;"",",",""))</f>
        <v xml:space="preserve">                   (24, 1, '030', '57069086', 1),</v>
      </c>
    </row>
    <row r="26" spans="2:30" x14ac:dyDescent="0.45">
      <c r="B26" s="4">
        <f>Grunddaten!A27</f>
        <v>25</v>
      </c>
      <c r="C26" s="4" t="str">
        <f>CONCATENATE("'",Grunddaten!F27,"'")</f>
        <v>'Huber'</v>
      </c>
      <c r="D26" s="4" t="str">
        <f>CONCATENATE("'",Grunddaten!E27,"'")</f>
        <v>'Daniel'</v>
      </c>
      <c r="E26" s="4">
        <f>VLOOKUP(Grunddaten!D27,FormOfAddress,2,TRUE)</f>
        <v>1</v>
      </c>
      <c r="F26" s="4">
        <f>VLOOKUP(Grunddaten!I27,FamilyStatus,2,FALSE)</f>
        <v>1</v>
      </c>
      <c r="G26" s="4" t="str">
        <f>IF(Grunddaten!J27&lt;&gt;"",CONCATENATE("'",TEXT(Grunddaten!J27,"JJJJ-MM-tt"),"'"),"NULL")</f>
        <v>NULL</v>
      </c>
      <c r="H26" s="4" t="str">
        <f>CONCATENATE("'",TEXT(Grunddaten!G27,"JJJJ-MM-tt"),"'")</f>
        <v>'1957-08-15'</v>
      </c>
      <c r="J26" s="14">
        <f>Grunddaten!A27</f>
        <v>25</v>
      </c>
      <c r="K26" s="14">
        <f>Grunddaten!Y27</f>
        <v>1</v>
      </c>
      <c r="L26" s="14" t="str">
        <f ca="1">CONCATENATE("'",Grunddaten!Z27,"'")</f>
        <v>'13125'</v>
      </c>
      <c r="M26" s="14" t="str">
        <f>CONCATENATE("'",Grunddaten!AA27,"'")</f>
        <v>'Berlin'</v>
      </c>
      <c r="N26" s="14" t="str">
        <f>CONCATENATE("'",Grunddaten!AB27,"'")</f>
        <v>'Schloßgasse'</v>
      </c>
      <c r="O26" s="14" t="str">
        <f>CONCATENATE("'",Grunddaten!AC27,"'")</f>
        <v>'45'</v>
      </c>
      <c r="P26" s="14">
        <f>Grunddaten!AD27</f>
        <v>1</v>
      </c>
      <c r="R26" s="13">
        <f>Grunddaten!A27</f>
        <v>25</v>
      </c>
      <c r="S26" s="13">
        <f>Grunddaten!AF27</f>
        <v>1</v>
      </c>
      <c r="T26" s="13" t="str">
        <f>CONCATENATE("'",Grunddaten!AG27,"'")</f>
        <v>'030'</v>
      </c>
      <c r="U26" s="13" t="str">
        <f ca="1">CONCATENATE("'",Grunddaten!AH27,"'")</f>
        <v>'55013003'</v>
      </c>
      <c r="V26" s="13">
        <f>Grunddaten!AI27</f>
        <v>1</v>
      </c>
      <c r="Z26" s="2" t="str" cm="1">
        <f t="array" ref="Z26">CONCATENATE("                   ",Liste(B26:H26),IF(Z27&lt;&gt;"",",",""))</f>
        <v xml:space="preserve">                   (25, 'Huber', 'Daniel', 1, 1, NULL, '1957-08-15'),</v>
      </c>
      <c r="AB26" s="2" t="str" cm="1">
        <f t="array" aca="1" ref="AB26" ca="1">CONCATENATE("                    ",Liste(J26:P26),IF(AB27&lt;&gt;"",",",""))</f>
        <v xml:space="preserve">                    (25, 1, '13125', 'Berlin', 'Schloßgasse', '45', 1),</v>
      </c>
      <c r="AD26" s="2" t="str" cm="1">
        <f t="array" aca="1" ref="AD26" ca="1">CONCATENATE("                   ",Liste(R26:V26),IF(AD27&lt;&gt;"",",",""))</f>
        <v xml:space="preserve">                   (25, 1, '030', '55013003', 1),</v>
      </c>
    </row>
    <row r="27" spans="2:30" x14ac:dyDescent="0.45">
      <c r="B27" s="4">
        <f>Grunddaten!A28</f>
        <v>26</v>
      </c>
      <c r="C27" s="4" t="str">
        <f>CONCATENATE("'",Grunddaten!F28,"'")</f>
        <v>'Schulz'</v>
      </c>
      <c r="D27" s="4" t="str">
        <f>CONCATENATE("'",Grunddaten!E28,"'")</f>
        <v>'Maria'</v>
      </c>
      <c r="E27" s="4">
        <f>VLOOKUP(Grunddaten!D28,FormOfAddress,2,TRUE)</f>
        <v>2</v>
      </c>
      <c r="F27" s="4">
        <f>VLOOKUP(Grunddaten!I28,FamilyStatus,2,FALSE)</f>
        <v>1</v>
      </c>
      <c r="G27" s="4" t="str">
        <f>IF(Grunddaten!J28&lt;&gt;"",CONCATENATE("'",TEXT(Grunddaten!J28,"JJJJ-MM-tt"),"'"),"NULL")</f>
        <v>NULL</v>
      </c>
      <c r="H27" s="4" t="str">
        <f>CONCATENATE("'",TEXT(Grunddaten!G28,"JJJJ-MM-tt"),"'")</f>
        <v>'1950-03-12'</v>
      </c>
      <c r="J27" s="14">
        <f>Grunddaten!A28</f>
        <v>26</v>
      </c>
      <c r="K27" s="14">
        <f>Grunddaten!Y28</f>
        <v>1</v>
      </c>
      <c r="L27" s="14" t="str">
        <f ca="1">CONCATENATE("'",Grunddaten!Z28,"'")</f>
        <v>'12247'</v>
      </c>
      <c r="M27" s="14" t="str">
        <f>CONCATENATE("'",Grunddaten!AA28,"'")</f>
        <v>'Berlin'</v>
      </c>
      <c r="N27" s="14" t="str">
        <f>CONCATENATE("'",Grunddaten!AB28,"'")</f>
        <v>'Georg-Wilhelm-Friedrich-Hegel-Straße'</v>
      </c>
      <c r="O27" s="14" t="str">
        <f>CONCATENATE("'",Grunddaten!AC28,"'")</f>
        <v>'6'</v>
      </c>
      <c r="P27" s="14">
        <f>Grunddaten!AD28</f>
        <v>1</v>
      </c>
      <c r="R27" s="13">
        <f>Grunddaten!A28</f>
        <v>26</v>
      </c>
      <c r="S27" s="13">
        <f>Grunddaten!AF28</f>
        <v>1</v>
      </c>
      <c r="T27" s="13" t="str">
        <f>CONCATENATE("'",Grunddaten!AG28,"'")</f>
        <v>'030'</v>
      </c>
      <c r="U27" s="13" t="str">
        <f ca="1">CONCATENATE("'",Grunddaten!AH28,"'")</f>
        <v>'96665288'</v>
      </c>
      <c r="V27" s="13">
        <f>Grunddaten!AI28</f>
        <v>1</v>
      </c>
      <c r="Z27" s="2" t="str" cm="1">
        <f t="array" ref="Z27">CONCATENATE("                   ",Liste(B27:H27),IF(Z28&lt;&gt;"",",",""))</f>
        <v xml:space="preserve">                   (26, 'Schulz', 'Maria', 2, 1, NULL, '1950-03-12'),</v>
      </c>
      <c r="AB27" s="2" t="str" cm="1">
        <f t="array" aca="1" ref="AB27" ca="1">CONCATENATE("                    ",Liste(J27:P27),IF(AB28&lt;&gt;"",",",""))</f>
        <v xml:space="preserve">                    (26, 1, '12247', 'Berlin', 'Georg-Wilhelm-Friedrich-Hegel-Straße', '6', 1),</v>
      </c>
      <c r="AD27" s="2" t="str" cm="1">
        <f t="array" aca="1" ref="AD27" ca="1">CONCATENATE("                   ",Liste(R27:V27),IF(AD28&lt;&gt;"",",",""))</f>
        <v xml:space="preserve">                   (26, 1, '030', '96665288', 1),</v>
      </c>
    </row>
    <row r="28" spans="2:30" x14ac:dyDescent="0.45">
      <c r="B28" s="4">
        <f>Grunddaten!A29</f>
        <v>27</v>
      </c>
      <c r="C28" s="4" t="str">
        <f>CONCATENATE("'",Grunddaten!F29,"'")</f>
        <v>'Braun'</v>
      </c>
      <c r="D28" s="4" t="str">
        <f>CONCATENATE("'",Grunddaten!E29,"'")</f>
        <v>'Felix'</v>
      </c>
      <c r="E28" s="4">
        <f>VLOOKUP(Grunddaten!D29,FormOfAddress,2,TRUE)</f>
        <v>1</v>
      </c>
      <c r="F28" s="4">
        <f>VLOOKUP(Grunddaten!I29,FamilyStatus,2,FALSE)</f>
        <v>1</v>
      </c>
      <c r="G28" s="4" t="str">
        <f>IF(Grunddaten!J29&lt;&gt;"",CONCATENATE("'",TEXT(Grunddaten!J29,"JJJJ-MM-tt"),"'"),"NULL")</f>
        <v>NULL</v>
      </c>
      <c r="H28" s="4" t="str">
        <f>CONCATENATE("'",TEXT(Grunddaten!G29,"JJJJ-MM-tt"),"'")</f>
        <v>'2001-05-02'</v>
      </c>
      <c r="J28" s="14">
        <f>Grunddaten!A29</f>
        <v>27</v>
      </c>
      <c r="K28" s="14">
        <f>Grunddaten!Y29</f>
        <v>1</v>
      </c>
      <c r="L28" s="14" t="str">
        <f ca="1">CONCATENATE("'",Grunddaten!Z29,"'")</f>
        <v>'14050'</v>
      </c>
      <c r="M28" s="14" t="str">
        <f>CONCATENATE("'",Grunddaten!AA29,"'")</f>
        <v>'Berlin'</v>
      </c>
      <c r="N28" s="14" t="str">
        <f>CONCATENATE("'",Grunddaten!AB29,"'")</f>
        <v>'Einsteinstraße'</v>
      </c>
      <c r="O28" s="14" t="str">
        <f>CONCATENATE("'",Grunddaten!AC29,"'")</f>
        <v>'34'</v>
      </c>
      <c r="P28" s="14">
        <f>Grunddaten!AD29</f>
        <v>1</v>
      </c>
      <c r="R28" s="13">
        <f>Grunddaten!A29</f>
        <v>27</v>
      </c>
      <c r="S28" s="13">
        <f>Grunddaten!AF29</f>
        <v>1</v>
      </c>
      <c r="T28" s="13" t="str">
        <f>CONCATENATE("'",Grunddaten!AG29,"'")</f>
        <v>'030'</v>
      </c>
      <c r="U28" s="13" t="str">
        <f ca="1">CONCATENATE("'",Grunddaten!AH29,"'")</f>
        <v>'89938366'</v>
      </c>
      <c r="V28" s="13">
        <f>Grunddaten!AI29</f>
        <v>1</v>
      </c>
      <c r="Z28" s="2" t="str" cm="1">
        <f t="array" ref="Z28">CONCATENATE("                   ",Liste(B28:H28),IF(Z29&lt;&gt;"",",",""))</f>
        <v xml:space="preserve">                   (27, 'Braun', 'Felix', 1, 1, NULL, '2001-05-02'),</v>
      </c>
      <c r="AB28" s="2" t="str" cm="1">
        <f t="array" aca="1" ref="AB28" ca="1">CONCATENATE("                    ",Liste(J28:P28),IF(AB29&lt;&gt;"",",",""))</f>
        <v xml:space="preserve">                    (27, 1, '14050', 'Berlin', 'Einsteinstraße', '34', 1),</v>
      </c>
      <c r="AD28" s="2" t="str" cm="1">
        <f t="array" aca="1" ref="AD28" ca="1">CONCATENATE("                   ",Liste(R28:V28),IF(AD29&lt;&gt;"",",",""))</f>
        <v xml:space="preserve">                   (27, 1, '030', '89938366', 1),</v>
      </c>
    </row>
    <row r="29" spans="2:30" x14ac:dyDescent="0.45">
      <c r="B29" s="4">
        <f>Grunddaten!A30</f>
        <v>28</v>
      </c>
      <c r="C29" s="4" t="str">
        <f>CONCATENATE("'",Grunddaten!F30,"'")</f>
        <v>'Mayer'</v>
      </c>
      <c r="D29" s="4" t="str">
        <f>CONCATENATE("'",Grunddaten!E30,"'")</f>
        <v>'Sandra'</v>
      </c>
      <c r="E29" s="4">
        <f>VLOOKUP(Grunddaten!D30,FormOfAddress,2,TRUE)</f>
        <v>2</v>
      </c>
      <c r="F29" s="4">
        <f>VLOOKUP(Grunddaten!I30,FamilyStatus,2,FALSE)</f>
        <v>2</v>
      </c>
      <c r="G29" s="4" t="str">
        <f>IF(Grunddaten!J30&lt;&gt;"",CONCATENATE("'",TEXT(Grunddaten!J30,"JJJJ-MM-tt"),"'"),"NULL")</f>
        <v>'2005-08-30'</v>
      </c>
      <c r="H29" s="4" t="str">
        <f>CONCATENATE("'",TEXT(Grunddaten!G30,"JJJJ-MM-tt"),"'")</f>
        <v>'1974-12-31'</v>
      </c>
      <c r="J29" s="14">
        <f>Grunddaten!A30</f>
        <v>28</v>
      </c>
      <c r="K29" s="14">
        <f>Grunddaten!Y30</f>
        <v>1</v>
      </c>
      <c r="L29" s="14" t="str">
        <f ca="1">CONCATENATE("'",Grunddaten!Z30,"'")</f>
        <v>'14052'</v>
      </c>
      <c r="M29" s="14" t="str">
        <f>CONCATENATE("'",Grunddaten!AA30,"'")</f>
        <v>'Berlin'</v>
      </c>
      <c r="N29" s="14" t="str">
        <f>CONCATENATE("'",Grunddaten!AB30,"'")</f>
        <v>'Havannastraße'</v>
      </c>
      <c r="O29" s="14" t="str">
        <f>CONCATENATE("'",Grunddaten!AC30,"'")</f>
        <v>'36'</v>
      </c>
      <c r="P29" s="14">
        <f>Grunddaten!AD30</f>
        <v>1</v>
      </c>
      <c r="R29" s="13">
        <f>Grunddaten!A30</f>
        <v>28</v>
      </c>
      <c r="S29" s="13">
        <f>Grunddaten!AF30</f>
        <v>1</v>
      </c>
      <c r="T29" s="13" t="str">
        <f>CONCATENATE("'",Grunddaten!AG30,"'")</f>
        <v>'030'</v>
      </c>
      <c r="U29" s="13" t="str">
        <f ca="1">CONCATENATE("'",Grunddaten!AH30,"'")</f>
        <v>'82644118'</v>
      </c>
      <c r="V29" s="13">
        <f>Grunddaten!AI30</f>
        <v>1</v>
      </c>
      <c r="Z29" s="2" t="str" cm="1">
        <f t="array" ref="Z29">CONCATENATE("                   ",Liste(B29:H29),IF(Z30&lt;&gt;"",",",""))</f>
        <v xml:space="preserve">                   (28, 'Mayer', 'Sandra', 2, 2, '2005-08-30', '1974-12-31'),</v>
      </c>
      <c r="AB29" s="2" t="str" cm="1">
        <f t="array" aca="1" ref="AB29" ca="1">CONCATENATE("                    ",Liste(J29:P29),IF(AB30&lt;&gt;"",",",""))</f>
        <v xml:space="preserve">                    (28, 1, '14052', 'Berlin', 'Havannastraße', '36', 1),</v>
      </c>
      <c r="AD29" s="2" t="str" cm="1">
        <f t="array" aca="1" ref="AD29" ca="1">CONCATENATE("                   ",Liste(R29:V29),IF(AD30&lt;&gt;"",",",""))</f>
        <v xml:space="preserve">                   (28, 1, '030', '82644118', 1),</v>
      </c>
    </row>
    <row r="30" spans="2:30" x14ac:dyDescent="0.45">
      <c r="B30" s="4">
        <f>Grunddaten!A31</f>
        <v>29</v>
      </c>
      <c r="C30" s="4" t="str">
        <f>CONCATENATE("'",Grunddaten!F31,"'")</f>
        <v>'Hoffmann'</v>
      </c>
      <c r="D30" s="4" t="str">
        <f>CONCATENATE("'",Grunddaten!E31,"'")</f>
        <v>'Marvin'</v>
      </c>
      <c r="E30" s="4">
        <f>VLOOKUP(Grunddaten!D31,FormOfAddress,2,TRUE)</f>
        <v>1</v>
      </c>
      <c r="F30" s="4">
        <f>VLOOKUP(Grunddaten!I31,FamilyStatus,2,FALSE)</f>
        <v>2</v>
      </c>
      <c r="G30" s="4" t="str">
        <f>IF(Grunddaten!J31&lt;&gt;"",CONCATENATE("'",TEXT(Grunddaten!J31,"JJJJ-MM-tt"),"'"),"NULL")</f>
        <v>'2005-08-20'</v>
      </c>
      <c r="H30" s="4" t="str">
        <f>CONCATENATE("'",TEXT(Grunddaten!G31,"JJJJ-MM-tt"),"'")</f>
        <v>'1987-05-09'</v>
      </c>
      <c r="J30" s="14">
        <f>Grunddaten!A31</f>
        <v>29</v>
      </c>
      <c r="K30" s="14">
        <f>Grunddaten!Y31</f>
        <v>1</v>
      </c>
      <c r="L30" s="14" t="str">
        <f ca="1">CONCATENATE("'",Grunddaten!Z31,"'")</f>
        <v>'13407'</v>
      </c>
      <c r="M30" s="14" t="str">
        <f>CONCATENATE("'",Grunddaten!AA31,"'")</f>
        <v>'Berlin'</v>
      </c>
      <c r="N30" s="14" t="str">
        <f>CONCATENATE("'",Grunddaten!AB31,"'")</f>
        <v>'Adlerstraße'</v>
      </c>
      <c r="O30" s="14" t="str">
        <f>CONCATENATE("'",Grunddaten!AC31,"'")</f>
        <v>'29'</v>
      </c>
      <c r="P30" s="14">
        <f>Grunddaten!AD31</f>
        <v>1</v>
      </c>
      <c r="R30" s="13">
        <f>Grunddaten!A31</f>
        <v>29</v>
      </c>
      <c r="S30" s="13">
        <f>Grunddaten!AF31</f>
        <v>1</v>
      </c>
      <c r="T30" s="13" t="str">
        <f>CONCATENATE("'",Grunddaten!AG31,"'")</f>
        <v>'030'</v>
      </c>
      <c r="U30" s="13" t="str">
        <f ca="1">CONCATENATE("'",Grunddaten!AH31,"'")</f>
        <v>'83956234'</v>
      </c>
      <c r="V30" s="13">
        <f>Grunddaten!AI31</f>
        <v>1</v>
      </c>
      <c r="Z30" s="2" t="str" cm="1">
        <f t="array" ref="Z30">CONCATENATE("                   ",Liste(B30:H30),IF(Z31&lt;&gt;"",",",""))</f>
        <v xml:space="preserve">                   (29, 'Hoffmann', 'Marvin', 1, 2, '2005-08-20', '1987-05-09'),</v>
      </c>
      <c r="AB30" s="2" t="str" cm="1">
        <f t="array" aca="1" ref="AB30" ca="1">CONCATENATE("                    ",Liste(J30:P30),IF(AB31&lt;&gt;"",",",""))</f>
        <v xml:space="preserve">                    (29, 1, '13407', 'Berlin', 'Adlerstraße', '29', 1),</v>
      </c>
      <c r="AD30" s="2" t="str" cm="1">
        <f t="array" aca="1" ref="AD30" ca="1">CONCATENATE("                   ",Liste(R30:V30),IF(AD31&lt;&gt;"",",",""))</f>
        <v xml:space="preserve">                   (29, 1, '030', '83956234', 1),</v>
      </c>
    </row>
    <row r="31" spans="2:30" x14ac:dyDescent="0.45">
      <c r="B31" s="4">
        <f>Grunddaten!A32</f>
        <v>30</v>
      </c>
      <c r="C31" s="4" t="str">
        <f>CONCATENATE("'",Grunddaten!F32,"'")</f>
        <v>'Lang'</v>
      </c>
      <c r="D31" s="4" t="str">
        <f>CONCATENATE("'",Grunddaten!E32,"'")</f>
        <v>'Christina'</v>
      </c>
      <c r="E31" s="4">
        <f>VLOOKUP(Grunddaten!D32,FormOfAddress,2,TRUE)</f>
        <v>2</v>
      </c>
      <c r="F31" s="4">
        <f>VLOOKUP(Grunddaten!I32,FamilyStatus,2,FALSE)</f>
        <v>2</v>
      </c>
      <c r="G31" s="4" t="str">
        <f>IF(Grunddaten!J32&lt;&gt;"",CONCATENATE("'",TEXT(Grunddaten!J32,"JJJJ-MM-tt"),"'"),"NULL")</f>
        <v>'1999-07-14'</v>
      </c>
      <c r="H31" s="4" t="str">
        <f>CONCATENATE("'",TEXT(Grunddaten!G32,"JJJJ-MM-tt"),"'")</f>
        <v>'1968-09-16'</v>
      </c>
      <c r="J31" s="14">
        <f>Grunddaten!A32</f>
        <v>30</v>
      </c>
      <c r="K31" s="14">
        <f>Grunddaten!Y32</f>
        <v>1</v>
      </c>
      <c r="L31" s="14" t="str">
        <f ca="1">CONCATENATE("'",Grunddaten!Z32,"'")</f>
        <v>'13581'</v>
      </c>
      <c r="M31" s="14" t="str">
        <f>CONCATENATE("'",Grunddaten!AA32,"'")</f>
        <v>'Berlin'</v>
      </c>
      <c r="N31" s="14" t="str">
        <f>CONCATENATE("'",Grunddaten!AB32,"'")</f>
        <v>'Parkgasse'</v>
      </c>
      <c r="O31" s="14" t="str">
        <f>CONCATENATE("'",Grunddaten!AC32,"'")</f>
        <v>'22'</v>
      </c>
      <c r="P31" s="14">
        <f>Grunddaten!AD32</f>
        <v>1</v>
      </c>
      <c r="R31" s="13">
        <f>Grunddaten!A32</f>
        <v>30</v>
      </c>
      <c r="S31" s="13">
        <f>Grunddaten!AF32</f>
        <v>1</v>
      </c>
      <c r="T31" s="13" t="str">
        <f>CONCATENATE("'",Grunddaten!AG32,"'")</f>
        <v>'030'</v>
      </c>
      <c r="U31" s="13" t="str">
        <f ca="1">CONCATENATE("'",Grunddaten!AH32,"'")</f>
        <v>'96906728'</v>
      </c>
      <c r="V31" s="13">
        <f>Grunddaten!AI32</f>
        <v>1</v>
      </c>
      <c r="Z31" s="2" t="str" cm="1">
        <f t="array" ref="Z31">CONCATENATE("                   ",Liste(B31:H31),IF(Z32&lt;&gt;"",",",""))</f>
        <v xml:space="preserve">                   (30, 'Lang', 'Christina', 2, 2, '1999-07-14', '1968-09-16'),</v>
      </c>
      <c r="AB31" s="2" t="str" cm="1">
        <f t="array" aca="1" ref="AB31" ca="1">CONCATENATE("                    ",Liste(J31:P31),IF(AB32&lt;&gt;"",",",""))</f>
        <v xml:space="preserve">                    (30, 1, '13581', 'Berlin', 'Parkgasse', '22', 1),</v>
      </c>
      <c r="AD31" s="2" t="str" cm="1">
        <f t="array" aca="1" ref="AD31" ca="1">CONCATENATE("                   ",Liste(R31:V31),IF(AD32&lt;&gt;"",",",""))</f>
        <v xml:space="preserve">                   (30, 1, '030', '96906728', 1),</v>
      </c>
    </row>
    <row r="32" spans="2:30" x14ac:dyDescent="0.45">
      <c r="B32" s="4">
        <f>Grunddaten!A33</f>
        <v>31</v>
      </c>
      <c r="C32" s="4" t="str">
        <f>CONCATENATE("'",Grunddaten!F33,"'")</f>
        <v>'Herrmann'</v>
      </c>
      <c r="D32" s="4" t="str">
        <f>CONCATENATE("'",Grunddaten!E33,"'")</f>
        <v>'Jonas'</v>
      </c>
      <c r="E32" s="4">
        <f>VLOOKUP(Grunddaten!D33,FormOfAddress,2,TRUE)</f>
        <v>1</v>
      </c>
      <c r="F32" s="4">
        <f>VLOOKUP(Grunddaten!I33,FamilyStatus,2,FALSE)</f>
        <v>1</v>
      </c>
      <c r="G32" s="4" t="str">
        <f>IF(Grunddaten!J33&lt;&gt;"",CONCATENATE("'",TEXT(Grunddaten!J33,"JJJJ-MM-tt"),"'"),"NULL")</f>
        <v>NULL</v>
      </c>
      <c r="H32" s="4" t="str">
        <f>CONCATENATE("'",TEXT(Grunddaten!G33,"JJJJ-MM-tt"),"'")</f>
        <v>'2002-03-01'</v>
      </c>
      <c r="J32" s="14">
        <f>Grunddaten!A33</f>
        <v>31</v>
      </c>
      <c r="K32" s="14">
        <f>Grunddaten!Y33</f>
        <v>1</v>
      </c>
      <c r="L32" s="14" t="str">
        <f ca="1">CONCATENATE("'",Grunddaten!Z33,"'")</f>
        <v>'10825'</v>
      </c>
      <c r="M32" s="14" t="str">
        <f>CONCATENATE("'",Grunddaten!AA33,"'")</f>
        <v>'Berlin'</v>
      </c>
      <c r="N32" s="14" t="str">
        <f>CONCATENATE("'",Grunddaten!AB33,"'")</f>
        <v>'Veilchenweg'</v>
      </c>
      <c r="O32" s="14" t="str">
        <f>CONCATENATE("'",Grunddaten!AC33,"'")</f>
        <v>'4'</v>
      </c>
      <c r="P32" s="14">
        <f>Grunddaten!AD33</f>
        <v>1</v>
      </c>
      <c r="R32" s="13">
        <f>Grunddaten!A33</f>
        <v>31</v>
      </c>
      <c r="S32" s="13">
        <f>Grunddaten!AF33</f>
        <v>1</v>
      </c>
      <c r="T32" s="13" t="str">
        <f>CONCATENATE("'",Grunddaten!AG33,"'")</f>
        <v>'030'</v>
      </c>
      <c r="U32" s="13" t="str">
        <f ca="1">CONCATENATE("'",Grunddaten!AH33,"'")</f>
        <v>'45328531'</v>
      </c>
      <c r="V32" s="13">
        <f>Grunddaten!AI33</f>
        <v>1</v>
      </c>
      <c r="Z32" s="2" t="str" cm="1">
        <f t="array" ref="Z32">CONCATENATE("                   ",Liste(B32:H32),IF(Z33&lt;&gt;"",",",""))</f>
        <v xml:space="preserve">                   (31, 'Herrmann', 'Jonas', 1, 1, NULL, '2002-03-01'),</v>
      </c>
      <c r="AB32" s="2" t="str" cm="1">
        <f t="array" aca="1" ref="AB32" ca="1">CONCATENATE("                    ",Liste(J32:P32),IF(AB33&lt;&gt;"",",",""))</f>
        <v xml:space="preserve">                    (31, 1, '10825', 'Berlin', 'Veilchenweg', '4', 1),</v>
      </c>
      <c r="AD32" s="2" t="str" cm="1">
        <f t="array" aca="1" ref="AD32" ca="1">CONCATENATE("                   ",Liste(R32:V32),IF(AD33&lt;&gt;"",",",""))</f>
        <v xml:space="preserve">                   (31, 1, '030', '45328531', 1),</v>
      </c>
    </row>
    <row r="33" spans="2:30" x14ac:dyDescent="0.45">
      <c r="B33" s="4">
        <f>Grunddaten!A34</f>
        <v>32</v>
      </c>
      <c r="C33" s="4" t="str">
        <f>CONCATENATE("'",Grunddaten!F34,"'")</f>
        <v>'Wagner'</v>
      </c>
      <c r="D33" s="4" t="str">
        <f>CONCATENATE("'",Grunddaten!E34,"'")</f>
        <v>'Laura'</v>
      </c>
      <c r="E33" s="4">
        <f>VLOOKUP(Grunddaten!D34,FormOfAddress,2,TRUE)</f>
        <v>2</v>
      </c>
      <c r="F33" s="4">
        <f>VLOOKUP(Grunddaten!I34,FamilyStatus,2,FALSE)</f>
        <v>3</v>
      </c>
      <c r="G33" s="4" t="str">
        <f>IF(Grunddaten!J34&lt;&gt;"",CONCATENATE("'",TEXT(Grunddaten!J34,"JJJJ-MM-tt"),"'"),"NULL")</f>
        <v>'2016-02-29'</v>
      </c>
      <c r="H33" s="4" t="str">
        <f>CONCATENATE("'",TEXT(Grunddaten!G34,"JJJJ-MM-tt"),"'")</f>
        <v>'1960-09-26'</v>
      </c>
      <c r="J33" s="14">
        <f>Grunddaten!A34</f>
        <v>32</v>
      </c>
      <c r="K33" s="14">
        <f>Grunddaten!Y34</f>
        <v>1</v>
      </c>
      <c r="L33" s="14" t="str">
        <f ca="1">CONCATENATE("'",Grunddaten!Z34,"'")</f>
        <v>'13156'</v>
      </c>
      <c r="M33" s="14" t="str">
        <f>CONCATENATE("'",Grunddaten!AA34,"'")</f>
        <v>'Berlin'</v>
      </c>
      <c r="N33" s="14" t="str">
        <f>CONCATENATE("'",Grunddaten!AB34,"'")</f>
        <v>'Gerhard-Schröder-Straße'</v>
      </c>
      <c r="O33" s="14" t="str">
        <f>CONCATENATE("'",Grunddaten!AC34,"'")</f>
        <v>'8'</v>
      </c>
      <c r="P33" s="14">
        <f>Grunddaten!AD34</f>
        <v>1</v>
      </c>
      <c r="R33" s="13">
        <f>Grunddaten!A34</f>
        <v>32</v>
      </c>
      <c r="S33" s="13">
        <f>Grunddaten!AF34</f>
        <v>1</v>
      </c>
      <c r="T33" s="13" t="str">
        <f>CONCATENATE("'",Grunddaten!AG34,"'")</f>
        <v>'030'</v>
      </c>
      <c r="U33" s="13" t="str">
        <f ca="1">CONCATENATE("'",Grunddaten!AH34,"'")</f>
        <v>'87125711'</v>
      </c>
      <c r="V33" s="13">
        <f>Grunddaten!AI34</f>
        <v>1</v>
      </c>
      <c r="Z33" s="2" t="str" cm="1">
        <f t="array" ref="Z33">CONCATENATE("                   ",Liste(B33:H33),IF(Z34&lt;&gt;"",",",""))</f>
        <v xml:space="preserve">                   (32, 'Wagner', 'Laura', 2, 3, '2016-02-29', '1960-09-26'),</v>
      </c>
      <c r="AB33" s="2" t="str" cm="1">
        <f t="array" aca="1" ref="AB33" ca="1">CONCATENATE("                    ",Liste(J33:P33),IF(AB34&lt;&gt;"",",",""))</f>
        <v xml:space="preserve">                    (32, 1, '13156', 'Berlin', 'Gerhard-Schröder-Straße', '8', 1),</v>
      </c>
      <c r="AD33" s="2" t="str" cm="1">
        <f t="array" aca="1" ref="AD33" ca="1">CONCATENATE("                   ",Liste(R33:V33),IF(AD34&lt;&gt;"",",",""))</f>
        <v xml:space="preserve">                   (32, 1, '030', '87125711', 1),</v>
      </c>
    </row>
    <row r="34" spans="2:30" x14ac:dyDescent="0.45">
      <c r="B34" s="4">
        <f>Grunddaten!A35</f>
        <v>33</v>
      </c>
      <c r="C34" s="4" t="str">
        <f>CONCATENATE("'",Grunddaten!F35,"'")</f>
        <v>'Keller'</v>
      </c>
      <c r="D34" s="4" t="str">
        <f>CONCATENATE("'",Grunddaten!E35,"'")</f>
        <v>'Matthias'</v>
      </c>
      <c r="E34" s="4">
        <f>VLOOKUP(Grunddaten!D35,FormOfAddress,2,TRUE)</f>
        <v>1</v>
      </c>
      <c r="F34" s="4">
        <f>VLOOKUP(Grunddaten!I35,FamilyStatus,2,FALSE)</f>
        <v>1</v>
      </c>
      <c r="G34" s="4" t="str">
        <f>IF(Grunddaten!J35&lt;&gt;"",CONCATENATE("'",TEXT(Grunddaten!J35,"JJJJ-MM-tt"),"'"),"NULL")</f>
        <v>NULL</v>
      </c>
      <c r="H34" s="4" t="str">
        <f>CONCATENATE("'",TEXT(Grunddaten!G35,"JJJJ-MM-tt"),"'")</f>
        <v>'1993-09-23'</v>
      </c>
      <c r="J34" s="14">
        <f>Grunddaten!A35</f>
        <v>33</v>
      </c>
      <c r="K34" s="14">
        <f>Grunddaten!Y35</f>
        <v>1</v>
      </c>
      <c r="L34" s="14" t="str">
        <f ca="1">CONCATENATE("'",Grunddaten!Z35,"'")</f>
        <v>'10405'</v>
      </c>
      <c r="M34" s="14" t="str">
        <f>CONCATENATE("'",Grunddaten!AA35,"'")</f>
        <v>'Berlin'</v>
      </c>
      <c r="N34" s="14" t="str">
        <f>CONCATENATE("'",Grunddaten!AB35,"'")</f>
        <v>'Tokiostraße'</v>
      </c>
      <c r="O34" s="14" t="str">
        <f>CONCATENATE("'",Grunddaten!AC35,"'")</f>
        <v>'33F'</v>
      </c>
      <c r="P34" s="14">
        <f>Grunddaten!AD35</f>
        <v>1</v>
      </c>
      <c r="R34" s="13">
        <f>Grunddaten!A35</f>
        <v>33</v>
      </c>
      <c r="S34" s="13">
        <f>Grunddaten!AF35</f>
        <v>1</v>
      </c>
      <c r="T34" s="13" t="str">
        <f>CONCATENATE("'",Grunddaten!AG35,"'")</f>
        <v>'030'</v>
      </c>
      <c r="U34" s="13" t="str">
        <f ca="1">CONCATENATE("'",Grunddaten!AH35,"'")</f>
        <v>'45009012'</v>
      </c>
      <c r="V34" s="13">
        <f>Grunddaten!AI35</f>
        <v>1</v>
      </c>
      <c r="Z34" s="2" t="str" cm="1">
        <f t="array" ref="Z34">CONCATENATE("                   ",Liste(B34:H34),IF(Z35&lt;&gt;"",",",""))</f>
        <v xml:space="preserve">                   (33, 'Keller', 'Matthias', 1, 1, NULL, '1993-09-23'),</v>
      </c>
      <c r="AB34" s="2" t="str" cm="1">
        <f t="array" aca="1" ref="AB34" ca="1">CONCATENATE("                    ",Liste(J34:P34),IF(AB35&lt;&gt;"",",",""))</f>
        <v xml:space="preserve">                    (33, 1, '10405', 'Berlin', 'Tokiostraße', '33F', 1),</v>
      </c>
      <c r="AD34" s="2" t="str" cm="1">
        <f t="array" aca="1" ref="AD34" ca="1">CONCATENATE("                   ",Liste(R34:V34),IF(AD35&lt;&gt;"",",",""))</f>
        <v xml:space="preserve">                   (33, 1, '030', '45009012', 1),</v>
      </c>
    </row>
    <row r="35" spans="2:30" x14ac:dyDescent="0.45">
      <c r="B35" s="4">
        <f>Grunddaten!A36</f>
        <v>34</v>
      </c>
      <c r="C35" s="4" t="str">
        <f>CONCATENATE("'",Grunddaten!F36,"'")</f>
        <v>'Müller'</v>
      </c>
      <c r="D35" s="4" t="str">
        <f>CONCATENATE("'",Grunddaten!E36,"'")</f>
        <v>'Carolin'</v>
      </c>
      <c r="E35" s="4">
        <f>VLOOKUP(Grunddaten!D36,FormOfAddress,2,TRUE)</f>
        <v>2</v>
      </c>
      <c r="F35" s="4">
        <f>VLOOKUP(Grunddaten!I36,FamilyStatus,2,FALSE)</f>
        <v>3</v>
      </c>
      <c r="G35" s="4" t="str">
        <f>IF(Grunddaten!J36&lt;&gt;"",CONCATENATE("'",TEXT(Grunddaten!J36,"JJJJ-MM-tt"),"'"),"NULL")</f>
        <v>'2020-10-03'</v>
      </c>
      <c r="H35" s="4" t="str">
        <f>CONCATENATE("'",TEXT(Grunddaten!G36,"JJJJ-MM-tt"),"'")</f>
        <v>'1984-03-02'</v>
      </c>
      <c r="J35" s="14">
        <f>Grunddaten!A36</f>
        <v>34</v>
      </c>
      <c r="K35" s="14">
        <f>Grunddaten!Y36</f>
        <v>1</v>
      </c>
      <c r="L35" s="14" t="str">
        <f ca="1">CONCATENATE("'",Grunddaten!Z36,"'")</f>
        <v>'10365'</v>
      </c>
      <c r="M35" s="14" t="str">
        <f>CONCATENATE("'",Grunddaten!AA36,"'")</f>
        <v>'Berlin'</v>
      </c>
      <c r="N35" s="14" t="str">
        <f>CONCATENATE("'",Grunddaten!AB36,"'")</f>
        <v>'Mozartstraße'</v>
      </c>
      <c r="O35" s="14" t="str">
        <f>CONCATENATE("'",Grunddaten!AC36,"'")</f>
        <v>'3F/G'</v>
      </c>
      <c r="P35" s="14">
        <f>Grunddaten!AD36</f>
        <v>1</v>
      </c>
      <c r="R35" s="13">
        <f>Grunddaten!A36</f>
        <v>34</v>
      </c>
      <c r="S35" s="13">
        <f>Grunddaten!AF36</f>
        <v>1</v>
      </c>
      <c r="T35" s="13" t="str">
        <f>CONCATENATE("'",Grunddaten!AG36,"'")</f>
        <v>'030'</v>
      </c>
      <c r="U35" s="13" t="str">
        <f ca="1">CONCATENATE("'",Grunddaten!AH36,"'")</f>
        <v>'67867586'</v>
      </c>
      <c r="V35" s="13">
        <f>Grunddaten!AI36</f>
        <v>1</v>
      </c>
      <c r="Z35" s="2" t="str" cm="1">
        <f t="array" ref="Z35">CONCATENATE("                   ",Liste(B35:H35),IF(Z36&lt;&gt;"",",",""))</f>
        <v xml:space="preserve">                   (34, 'Müller', 'Carolin', 2, 3, '2020-10-03', '1984-03-02'),</v>
      </c>
      <c r="AB35" s="2" t="str" cm="1">
        <f t="array" aca="1" ref="AB35" ca="1">CONCATENATE("                    ",Liste(J35:P35),IF(AB36&lt;&gt;"",",",""))</f>
        <v xml:space="preserve">                    (34, 1, '10365', 'Berlin', 'Mozartstraße', '3F/G', 1),</v>
      </c>
      <c r="AD35" s="2" t="str" cm="1">
        <f t="array" aca="1" ref="AD35" ca="1">CONCATENATE("                   ",Liste(R35:V35),IF(AD36&lt;&gt;"",",",""))</f>
        <v xml:space="preserve">                   (34, 1, '030', '67867586', 1),</v>
      </c>
    </row>
    <row r="36" spans="2:30" x14ac:dyDescent="0.45">
      <c r="B36" s="4">
        <f>Grunddaten!A37</f>
        <v>35</v>
      </c>
      <c r="C36" s="4" t="str">
        <f>CONCATENATE("'",Grunddaten!F37,"'")</f>
        <v>'Hartmann'</v>
      </c>
      <c r="D36" s="4" t="str">
        <f>CONCATENATE("'",Grunddaten!E37,"'")</f>
        <v>'Michael'</v>
      </c>
      <c r="E36" s="4">
        <f>VLOOKUP(Grunddaten!D37,FormOfAddress,2,TRUE)</f>
        <v>1</v>
      </c>
      <c r="F36" s="4">
        <f>VLOOKUP(Grunddaten!I37,FamilyStatus,2,FALSE)</f>
        <v>2</v>
      </c>
      <c r="G36" s="4" t="str">
        <f>IF(Grunddaten!J37&lt;&gt;"",CONCATENATE("'",TEXT(Grunddaten!J37,"JJJJ-MM-tt"),"'"),"NULL")</f>
        <v>'2008-12-09'</v>
      </c>
      <c r="H36" s="4" t="str">
        <f>CONCATENATE("'",TEXT(Grunddaten!G37,"JJJJ-MM-tt"),"'")</f>
        <v>'1984-03-24'</v>
      </c>
      <c r="J36" s="14">
        <f>Grunddaten!A37</f>
        <v>35</v>
      </c>
      <c r="K36" s="14">
        <f>Grunddaten!Y37</f>
        <v>1</v>
      </c>
      <c r="L36" s="14" t="str">
        <f ca="1">CONCATENATE("'",Grunddaten!Z37,"'")</f>
        <v>'10707'</v>
      </c>
      <c r="M36" s="14" t="str">
        <f>CONCATENATE("'",Grunddaten!AA37,"'")</f>
        <v>'Berlin'</v>
      </c>
      <c r="N36" s="14" t="str">
        <f>CONCATENATE("'",Grunddaten!AB37,"'")</f>
        <v>'Forellenweg'</v>
      </c>
      <c r="O36" s="14" t="str">
        <f>CONCATENATE("'",Grunddaten!AC37,"'")</f>
        <v>'48'</v>
      </c>
      <c r="P36" s="14">
        <f>Grunddaten!AD37</f>
        <v>1</v>
      </c>
      <c r="R36" s="13">
        <f>Grunddaten!A37</f>
        <v>35</v>
      </c>
      <c r="S36" s="13">
        <f>Grunddaten!AF37</f>
        <v>1</v>
      </c>
      <c r="T36" s="13" t="str">
        <f>CONCATENATE("'",Grunddaten!AG37,"'")</f>
        <v>'030'</v>
      </c>
      <c r="U36" s="13" t="str">
        <f ca="1">CONCATENATE("'",Grunddaten!AH37,"'")</f>
        <v>'63207498'</v>
      </c>
      <c r="V36" s="13">
        <f>Grunddaten!AI37</f>
        <v>1</v>
      </c>
      <c r="Z36" s="2" t="str" cm="1">
        <f t="array" ref="Z36">CONCATENATE("                   ",Liste(B36:H36),IF(Z37&lt;&gt;"",",",""))</f>
        <v xml:space="preserve">                   (35, 'Hartmann', 'Michael', 1, 2, '2008-12-09', '1984-03-24'),</v>
      </c>
      <c r="AB36" s="2" t="str" cm="1">
        <f t="array" aca="1" ref="AB36" ca="1">CONCATENATE("                    ",Liste(J36:P36),IF(AB37&lt;&gt;"",",",""))</f>
        <v xml:space="preserve">                    (35, 1, '10707', 'Berlin', 'Forellenweg', '48', 1),</v>
      </c>
      <c r="AD36" s="2" t="str" cm="1">
        <f t="array" aca="1" ref="AD36" ca="1">CONCATENATE("                   ",Liste(R36:V36),IF(AD37&lt;&gt;"",",",""))</f>
        <v xml:space="preserve">                   (35, 1, '030', '63207498', 1),</v>
      </c>
    </row>
    <row r="37" spans="2:30" x14ac:dyDescent="0.45">
      <c r="B37" s="4">
        <f>Grunddaten!A38</f>
        <v>36</v>
      </c>
      <c r="C37" s="4" t="str">
        <f>CONCATENATE("'",Grunddaten!F38,"'")</f>
        <v>'Meier'</v>
      </c>
      <c r="D37" s="4" t="str">
        <f>CONCATENATE("'",Grunddaten!E38,"'")</f>
        <v>'Vanessa'</v>
      </c>
      <c r="E37" s="4">
        <f>VLOOKUP(Grunddaten!D38,FormOfAddress,2,TRUE)</f>
        <v>2</v>
      </c>
      <c r="F37" s="4">
        <f>VLOOKUP(Grunddaten!I38,FamilyStatus,2,FALSE)</f>
        <v>1</v>
      </c>
      <c r="G37" s="4" t="str">
        <f>IF(Grunddaten!J38&lt;&gt;"",CONCATENATE("'",TEXT(Grunddaten!J38,"JJJJ-MM-tt"),"'"),"NULL")</f>
        <v>NULL</v>
      </c>
      <c r="H37" s="4" t="str">
        <f>CONCATENATE("'",TEXT(Grunddaten!G38,"JJJJ-MM-tt"),"'")</f>
        <v>'1990-12-25'</v>
      </c>
      <c r="J37" s="14">
        <f>Grunddaten!A38</f>
        <v>36</v>
      </c>
      <c r="K37" s="14">
        <f>Grunddaten!Y38</f>
        <v>1</v>
      </c>
      <c r="L37" s="14" t="str">
        <f ca="1">CONCATENATE("'",Grunddaten!Z38,"'")</f>
        <v>'14050'</v>
      </c>
      <c r="M37" s="14" t="str">
        <f>CONCATENATE("'",Grunddaten!AA38,"'")</f>
        <v>'Berlin'</v>
      </c>
      <c r="N37" s="14" t="str">
        <f>CONCATENATE("'",Grunddaten!AB38,"'")</f>
        <v>'Bachstraße'</v>
      </c>
      <c r="O37" s="14" t="str">
        <f>CONCATENATE("'",Grunddaten!AC38,"'")</f>
        <v>'13E'</v>
      </c>
      <c r="P37" s="14">
        <f>Grunddaten!AD38</f>
        <v>1</v>
      </c>
      <c r="R37" s="13">
        <f>Grunddaten!A38</f>
        <v>36</v>
      </c>
      <c r="S37" s="13">
        <f>Grunddaten!AF38</f>
        <v>1</v>
      </c>
      <c r="T37" s="13" t="str">
        <f>CONCATENATE("'",Grunddaten!AG38,"'")</f>
        <v>'030'</v>
      </c>
      <c r="U37" s="13" t="str">
        <f ca="1">CONCATENATE("'",Grunddaten!AH38,"'")</f>
        <v>'73322162'</v>
      </c>
      <c r="V37" s="13">
        <f>Grunddaten!AI38</f>
        <v>1</v>
      </c>
      <c r="Z37" s="2" t="str" cm="1">
        <f t="array" ref="Z37">CONCATENATE("                   ",Liste(B37:H37),IF(Z38&lt;&gt;"",",",""))</f>
        <v xml:space="preserve">                   (36, 'Meier', 'Vanessa', 2, 1, NULL, '1990-12-25'),</v>
      </c>
      <c r="AB37" s="2" t="str" cm="1">
        <f t="array" aca="1" ref="AB37" ca="1">CONCATENATE("                    ",Liste(J37:P37),IF(AB38&lt;&gt;"",",",""))</f>
        <v xml:space="preserve">                    (36, 1, '14050', 'Berlin', 'Bachstraße', '13E', 1),</v>
      </c>
      <c r="AD37" s="2" t="str" cm="1">
        <f t="array" aca="1" ref="AD37" ca="1">CONCATENATE("                   ",Liste(R37:V37),IF(AD38&lt;&gt;"",",",""))</f>
        <v xml:space="preserve">                   (36, 1, '030', '73322162', 1),</v>
      </c>
    </row>
    <row r="38" spans="2:30" x14ac:dyDescent="0.45">
      <c r="B38" s="4">
        <f>Grunddaten!A39</f>
        <v>37</v>
      </c>
      <c r="C38" s="4" t="str">
        <f>CONCATENATE("'",Grunddaten!F39,"'")</f>
        <v>'Schuster'</v>
      </c>
      <c r="D38" s="4" t="str">
        <f>CONCATENATE("'",Grunddaten!E39,"'")</f>
        <v>'Tobias'</v>
      </c>
      <c r="E38" s="4">
        <f>VLOOKUP(Grunddaten!D39,FormOfAddress,2,TRUE)</f>
        <v>1</v>
      </c>
      <c r="F38" s="4">
        <f>VLOOKUP(Grunddaten!I39,FamilyStatus,2,FALSE)</f>
        <v>4</v>
      </c>
      <c r="G38" s="4" t="str">
        <f>IF(Grunddaten!J39&lt;&gt;"",CONCATENATE("'",TEXT(Grunddaten!J39,"JJJJ-MM-tt"),"'"),"NULL")</f>
        <v>'2021-06-27'</v>
      </c>
      <c r="H38" s="4" t="str">
        <f>CONCATENATE("'",TEXT(Grunddaten!G39,"JJJJ-MM-tt"),"'")</f>
        <v>'1964-12-23'</v>
      </c>
      <c r="J38" s="14">
        <f>Grunddaten!A39</f>
        <v>37</v>
      </c>
      <c r="K38" s="14">
        <f>Grunddaten!Y39</f>
        <v>1</v>
      </c>
      <c r="L38" s="14" t="str">
        <f ca="1">CONCATENATE("'",Grunddaten!Z39,"'")</f>
        <v>'12157'</v>
      </c>
      <c r="M38" s="14" t="str">
        <f>CONCATENATE("'",Grunddaten!AA39,"'")</f>
        <v>'Berlin'</v>
      </c>
      <c r="N38" s="14" t="str">
        <f>CONCATENATE("'",Grunddaten!AB39,"'")</f>
        <v>'Marktplatz'</v>
      </c>
      <c r="O38" s="14" t="str">
        <f>CONCATENATE("'",Grunddaten!AC39,"'")</f>
        <v>'13C'</v>
      </c>
      <c r="P38" s="14">
        <f>Grunddaten!AD39</f>
        <v>1</v>
      </c>
      <c r="R38" s="13">
        <f>Grunddaten!A39</f>
        <v>37</v>
      </c>
      <c r="S38" s="13">
        <f>Grunddaten!AF39</f>
        <v>1</v>
      </c>
      <c r="T38" s="13" t="str">
        <f>CONCATENATE("'",Grunddaten!AG39,"'")</f>
        <v>'030'</v>
      </c>
      <c r="U38" s="13" t="str">
        <f ca="1">CONCATENATE("'",Grunddaten!AH39,"'")</f>
        <v>'89161160'</v>
      </c>
      <c r="V38" s="13">
        <f>Grunddaten!AI39</f>
        <v>1</v>
      </c>
      <c r="Z38" s="2" t="str" cm="1">
        <f t="array" ref="Z38">CONCATENATE("                   ",Liste(B38:H38),IF(Z39&lt;&gt;"",",",""))</f>
        <v xml:space="preserve">                   (37, 'Schuster', 'Tobias', 1, 4, '2021-06-27', '1964-12-23'),</v>
      </c>
      <c r="AB38" s="2" t="str" cm="1">
        <f t="array" aca="1" ref="AB38" ca="1">CONCATENATE("                    ",Liste(J38:P38),IF(AB39&lt;&gt;"",",",""))</f>
        <v xml:space="preserve">                    (37, 1, '12157', 'Berlin', 'Marktplatz', '13C', 1),</v>
      </c>
      <c r="AD38" s="2" t="str" cm="1">
        <f t="array" aca="1" ref="AD38" ca="1">CONCATENATE("                   ",Liste(R38:V38),IF(AD39&lt;&gt;"",",",""))</f>
        <v xml:space="preserve">                   (37, 1, '030', '89161160', 1),</v>
      </c>
    </row>
    <row r="39" spans="2:30" x14ac:dyDescent="0.45">
      <c r="B39" s="4">
        <f>Grunddaten!A40</f>
        <v>38</v>
      </c>
      <c r="C39" s="4" t="str">
        <f>CONCATENATE("'",Grunddaten!F40,"'")</f>
        <v>'Haas'</v>
      </c>
      <c r="D39" s="4" t="str">
        <f>CONCATENATE("'",Grunddaten!E40,"'")</f>
        <v>'Julia'</v>
      </c>
      <c r="E39" s="4">
        <f>VLOOKUP(Grunddaten!D40,FormOfAddress,2,TRUE)</f>
        <v>2</v>
      </c>
      <c r="F39" s="4">
        <f>VLOOKUP(Grunddaten!I40,FamilyStatus,2,FALSE)</f>
        <v>3</v>
      </c>
      <c r="G39" s="4" t="str">
        <f>IF(Grunddaten!J40&lt;&gt;"",CONCATENATE("'",TEXT(Grunddaten!J40,"JJJJ-MM-tt"),"'"),"NULL")</f>
        <v>'2023-07-18'</v>
      </c>
      <c r="H39" s="4" t="str">
        <f>CONCATENATE("'",TEXT(Grunddaten!G40,"JJJJ-MM-tt"),"'")</f>
        <v>'1986-01-27'</v>
      </c>
      <c r="J39" s="14">
        <f>Grunddaten!A40</f>
        <v>38</v>
      </c>
      <c r="K39" s="14">
        <f>Grunddaten!Y40</f>
        <v>1</v>
      </c>
      <c r="L39" s="14" t="str">
        <f ca="1">CONCATENATE("'",Grunddaten!Z40,"'")</f>
        <v>'10405'</v>
      </c>
      <c r="M39" s="14" t="str">
        <f>CONCATENATE("'",Grunddaten!AA40,"'")</f>
        <v>'Berlin'</v>
      </c>
      <c r="N39" s="14" t="str">
        <f>CONCATENATE("'",Grunddaten!AB40,"'")</f>
        <v>'Jacksonville-Weg'</v>
      </c>
      <c r="O39" s="14" t="str">
        <f>CONCATENATE("'",Grunddaten!AC40,"'")</f>
        <v>'15'</v>
      </c>
      <c r="P39" s="14">
        <f>Grunddaten!AD40</f>
        <v>1</v>
      </c>
      <c r="R39" s="13">
        <f>Grunddaten!A40</f>
        <v>38</v>
      </c>
      <c r="S39" s="13">
        <f>Grunddaten!AF40</f>
        <v>1</v>
      </c>
      <c r="T39" s="13" t="str">
        <f>CONCATENATE("'",Grunddaten!AG40,"'")</f>
        <v>'030'</v>
      </c>
      <c r="U39" s="13" t="str">
        <f ca="1">CONCATENATE("'",Grunddaten!AH40,"'")</f>
        <v>'78826412'</v>
      </c>
      <c r="V39" s="13">
        <f>Grunddaten!AI40</f>
        <v>1</v>
      </c>
      <c r="Z39" s="2" t="str" cm="1">
        <f t="array" ref="Z39">CONCATENATE("                   ",Liste(B39:H39),IF(Z40&lt;&gt;"",",",""))</f>
        <v xml:space="preserve">                   (38, 'Haas', 'Julia', 2, 3, '2023-07-18', '1986-01-27'),</v>
      </c>
      <c r="AB39" s="2" t="str" cm="1">
        <f t="array" aca="1" ref="AB39" ca="1">CONCATENATE("                    ",Liste(J39:P39),IF(AB40&lt;&gt;"",",",""))</f>
        <v xml:space="preserve">                    (38, 1, '10405', 'Berlin', 'Jacksonville-Weg', '15', 1),</v>
      </c>
      <c r="AD39" s="2" t="str" cm="1">
        <f t="array" aca="1" ref="AD39" ca="1">CONCATENATE("                   ",Liste(R39:V39),IF(AD40&lt;&gt;"",",",""))</f>
        <v xml:space="preserve">                   (38, 1, '030', '78826412', 1),</v>
      </c>
    </row>
    <row r="40" spans="2:30" x14ac:dyDescent="0.45">
      <c r="B40" s="4">
        <f>Grunddaten!A41</f>
        <v>39</v>
      </c>
      <c r="C40" s="4" t="str">
        <f>CONCATENATE("'",Grunddaten!F41,"'")</f>
        <v>'Richter'</v>
      </c>
      <c r="D40" s="4" t="str">
        <f>CONCATENATE("'",Grunddaten!E41,"'")</f>
        <v>'Patrick'</v>
      </c>
      <c r="E40" s="4">
        <f>VLOOKUP(Grunddaten!D41,FormOfAddress,2,TRUE)</f>
        <v>1</v>
      </c>
      <c r="F40" s="4">
        <f>VLOOKUP(Grunddaten!I41,FamilyStatus,2,FALSE)</f>
        <v>1</v>
      </c>
      <c r="G40" s="4" t="str">
        <f>IF(Grunddaten!J41&lt;&gt;"",CONCATENATE("'",TEXT(Grunddaten!J41,"JJJJ-MM-tt"),"'"),"NULL")</f>
        <v>NULL</v>
      </c>
      <c r="H40" s="4" t="str">
        <f>CONCATENATE("'",TEXT(Grunddaten!G41,"JJJJ-MM-tt"),"'")</f>
        <v>'1993-06-14'</v>
      </c>
      <c r="J40" s="14">
        <f>Grunddaten!A41</f>
        <v>39</v>
      </c>
      <c r="K40" s="14">
        <f>Grunddaten!Y41</f>
        <v>1</v>
      </c>
      <c r="L40" s="14" t="str">
        <f ca="1">CONCATENATE("'",Grunddaten!Z41,"'")</f>
        <v>'12157'</v>
      </c>
      <c r="M40" s="14" t="str">
        <f>CONCATENATE("'",Grunddaten!AA41,"'")</f>
        <v>'Berlin'</v>
      </c>
      <c r="N40" s="14" t="str">
        <f>CONCATENATE("'",Grunddaten!AB41,"'")</f>
        <v>'Marie-Curie-Straße'</v>
      </c>
      <c r="O40" s="14" t="str">
        <f>CONCATENATE("'",Grunddaten!AC41,"'")</f>
        <v>'1F'</v>
      </c>
      <c r="P40" s="14">
        <f>Grunddaten!AD41</f>
        <v>1</v>
      </c>
      <c r="R40" s="13">
        <f>Grunddaten!A41</f>
        <v>39</v>
      </c>
      <c r="S40" s="13">
        <f>Grunddaten!AF41</f>
        <v>1</v>
      </c>
      <c r="T40" s="13" t="str">
        <f>CONCATENATE("'",Grunddaten!AG41,"'")</f>
        <v>'030'</v>
      </c>
      <c r="U40" s="13" t="str">
        <f ca="1">CONCATENATE("'",Grunddaten!AH41,"'")</f>
        <v>'62859043'</v>
      </c>
      <c r="V40" s="13">
        <f>Grunddaten!AI41</f>
        <v>1</v>
      </c>
      <c r="Z40" s="2" t="str" cm="1">
        <f t="array" ref="Z40">CONCATENATE("                   ",Liste(B40:H40),IF(Z41&lt;&gt;"",",",""))</f>
        <v xml:space="preserve">                   (39, 'Richter', 'Patrick', 1, 1, NULL, '1993-06-14'),</v>
      </c>
      <c r="AB40" s="2" t="str" cm="1">
        <f t="array" aca="1" ref="AB40" ca="1">CONCATENATE("                    ",Liste(J40:P40),IF(AB41&lt;&gt;"",",",""))</f>
        <v xml:space="preserve">                    (39, 1, '12157', 'Berlin', 'Marie-Curie-Straße', '1F', 1),</v>
      </c>
      <c r="AD40" s="2" t="str" cm="1">
        <f t="array" aca="1" ref="AD40" ca="1">CONCATENATE("                   ",Liste(R40:V40),IF(AD41&lt;&gt;"",",",""))</f>
        <v xml:space="preserve">                   (39, 1, '030', '62859043', 1),</v>
      </c>
    </row>
    <row r="41" spans="2:30" x14ac:dyDescent="0.45">
      <c r="B41" s="4">
        <f>Grunddaten!A42</f>
        <v>40</v>
      </c>
      <c r="C41" s="4" t="str">
        <f>CONCATENATE("'",Grunddaten!F42,"'")</f>
        <v>'Günther'</v>
      </c>
      <c r="D41" s="4" t="str">
        <f>CONCATENATE("'",Grunddaten!E42,"'")</f>
        <v>'Laura'</v>
      </c>
      <c r="E41" s="4">
        <f>VLOOKUP(Grunddaten!D42,FormOfAddress,2,TRUE)</f>
        <v>2</v>
      </c>
      <c r="F41" s="4">
        <f>VLOOKUP(Grunddaten!I42,FamilyStatus,2,FALSE)</f>
        <v>1</v>
      </c>
      <c r="G41" s="4" t="str">
        <f>IF(Grunddaten!J42&lt;&gt;"",CONCATENATE("'",TEXT(Grunddaten!J42,"JJJJ-MM-tt"),"'"),"NULL")</f>
        <v>NULL</v>
      </c>
      <c r="H41" s="4" t="str">
        <f>CONCATENATE("'",TEXT(Grunddaten!G42,"JJJJ-MM-tt"),"'")</f>
        <v>'2003-02-03'</v>
      </c>
      <c r="J41" s="14">
        <f>Grunddaten!A42</f>
        <v>40</v>
      </c>
      <c r="K41" s="14">
        <f>Grunddaten!Y42</f>
        <v>1</v>
      </c>
      <c r="L41" s="14" t="str">
        <f ca="1">CONCATENATE("'",Grunddaten!Z42,"'")</f>
        <v>'14550'</v>
      </c>
      <c r="M41" s="14" t="str">
        <f>CONCATENATE("'",Grunddaten!AA42,"'")</f>
        <v>'Groß Kreutz'</v>
      </c>
      <c r="N41" s="14" t="str">
        <f>CONCATENATE("'",Grunddaten!AB42,"'")</f>
        <v>'Kaiserstraße'</v>
      </c>
      <c r="O41" s="14" t="str">
        <f>CONCATENATE("'",Grunddaten!AC42,"'")</f>
        <v>'3'</v>
      </c>
      <c r="P41" s="14">
        <f>Grunddaten!AD42</f>
        <v>1</v>
      </c>
      <c r="R41" s="13">
        <f>Grunddaten!A42</f>
        <v>40</v>
      </c>
      <c r="S41" s="13">
        <f>Grunddaten!AF42</f>
        <v>1</v>
      </c>
      <c r="T41" s="13" t="str">
        <f>CONCATENATE("'",Grunddaten!AG42,"'")</f>
        <v>'033207'</v>
      </c>
      <c r="U41" s="13" t="str">
        <f ca="1">CONCATENATE("'",Grunddaten!AH42,"'")</f>
        <v>'6387'</v>
      </c>
      <c r="V41" s="13">
        <f>Grunddaten!AI42</f>
        <v>1</v>
      </c>
      <c r="Z41" s="2" t="str" cm="1">
        <f t="array" ref="Z41">CONCATENATE("                   ",Liste(B41:H41),IF(Z42&lt;&gt;"",",",""))</f>
        <v xml:space="preserve">                   (40, 'Günther', 'Laura', 2, 1, NULL, '2003-02-03'),</v>
      </c>
      <c r="AB41" s="2" t="str" cm="1">
        <f t="array" aca="1" ref="AB41" ca="1">CONCATENATE("                    ",Liste(J41:P41),IF(AB42&lt;&gt;"",",",""))</f>
        <v xml:space="preserve">                    (40, 1, '14550', 'Groß Kreutz', 'Kaiserstraße', '3', 1),</v>
      </c>
      <c r="AD41" s="2" t="str" cm="1">
        <f t="array" aca="1" ref="AD41" ca="1">CONCATENATE("                   ",Liste(R41:V41),IF(AD42&lt;&gt;"",",",""))</f>
        <v xml:space="preserve">                   (40, 1, '033207', '6387', 1),</v>
      </c>
    </row>
    <row r="42" spans="2:30" x14ac:dyDescent="0.45">
      <c r="B42" s="4">
        <f>Grunddaten!A43</f>
        <v>41</v>
      </c>
      <c r="C42" s="4" t="str">
        <f>CONCATENATE("'",Grunddaten!F43,"'")</f>
        <v>'Vogel'</v>
      </c>
      <c r="D42" s="4" t="str">
        <f>CONCATENATE("'",Grunddaten!E43,"'")</f>
        <v>'Alexander'</v>
      </c>
      <c r="E42" s="4">
        <f>VLOOKUP(Grunddaten!D43,FormOfAddress,2,TRUE)</f>
        <v>1</v>
      </c>
      <c r="F42" s="4">
        <f>VLOOKUP(Grunddaten!I43,FamilyStatus,2,FALSE)</f>
        <v>3</v>
      </c>
      <c r="G42" s="4" t="str">
        <f>IF(Grunddaten!J43&lt;&gt;"",CONCATENATE("'",TEXT(Grunddaten!J43,"JJJJ-MM-tt"),"'"),"NULL")</f>
        <v>'2005-01-23'</v>
      </c>
      <c r="H42" s="4" t="str">
        <f>CONCATENATE("'",TEXT(Grunddaten!G43,"JJJJ-MM-tt"),"'")</f>
        <v>'1967-01-15'</v>
      </c>
      <c r="J42" s="14">
        <f>Grunddaten!A43</f>
        <v>41</v>
      </c>
      <c r="K42" s="14">
        <f>Grunddaten!Y43</f>
        <v>1</v>
      </c>
      <c r="L42" s="14" t="str">
        <f ca="1">CONCATENATE("'",Grunddaten!Z43,"'")</f>
        <v>'10405'</v>
      </c>
      <c r="M42" s="14" t="str">
        <f>CONCATENATE("'",Grunddaten!AA43,"'")</f>
        <v>'Berlin'</v>
      </c>
      <c r="N42" s="14" t="str">
        <f>CONCATENATE("'",Grunddaten!AB43,"'")</f>
        <v>'Berggasse'</v>
      </c>
      <c r="O42" s="14" t="str">
        <f>CONCATENATE("'",Grunddaten!AC43,"'")</f>
        <v>'22A/B'</v>
      </c>
      <c r="P42" s="14">
        <f>Grunddaten!AD43</f>
        <v>1</v>
      </c>
      <c r="R42" s="13">
        <f>Grunddaten!A43</f>
        <v>41</v>
      </c>
      <c r="S42" s="13">
        <f>Grunddaten!AF43</f>
        <v>1</v>
      </c>
      <c r="T42" s="13" t="str">
        <f>CONCATENATE("'",Grunddaten!AG43,"'")</f>
        <v>'030'</v>
      </c>
      <c r="U42" s="13" t="str">
        <f ca="1">CONCATENATE("'",Grunddaten!AH43,"'")</f>
        <v>'59016020'</v>
      </c>
      <c r="V42" s="13">
        <f>Grunddaten!AI43</f>
        <v>1</v>
      </c>
      <c r="Z42" s="2" t="str" cm="1">
        <f t="array" ref="Z42">CONCATENATE("                   ",Liste(B42:H42),IF(Z43&lt;&gt;"",",",""))</f>
        <v xml:space="preserve">                   (41, 'Vogel', 'Alexander', 1, 3, '2005-01-23', '1967-01-15'),</v>
      </c>
      <c r="AB42" s="2" t="str" cm="1">
        <f t="array" aca="1" ref="AB42" ca="1">CONCATENATE("                    ",Liste(J42:P42),IF(AB43&lt;&gt;"",",",""))</f>
        <v xml:space="preserve">                    (41, 1, '10405', 'Berlin', 'Berggasse', '22A/B', 1),</v>
      </c>
      <c r="AD42" s="2" t="str" cm="1">
        <f t="array" aca="1" ref="AD42" ca="1">CONCATENATE("                   ",Liste(R42:V42),IF(AD43&lt;&gt;"",",",""))</f>
        <v xml:space="preserve">                   (41, 1, '030', '59016020', 1),</v>
      </c>
    </row>
    <row r="43" spans="2:30" x14ac:dyDescent="0.45">
      <c r="B43" s="4">
        <f>Grunddaten!A44</f>
        <v>42</v>
      </c>
      <c r="C43" s="4" t="str">
        <f>CONCATENATE("'",Grunddaten!F44,"'")</f>
        <v>'Fuchs'</v>
      </c>
      <c r="D43" s="4" t="str">
        <f>CONCATENATE("'",Grunddaten!E44,"'")</f>
        <v>'Lisa'</v>
      </c>
      <c r="E43" s="4">
        <f>VLOOKUP(Grunddaten!D44,FormOfAddress,2,TRUE)</f>
        <v>2</v>
      </c>
      <c r="F43" s="4">
        <f>VLOOKUP(Grunddaten!I44,FamilyStatus,2,FALSE)</f>
        <v>2</v>
      </c>
      <c r="G43" s="4" t="str">
        <f>IF(Grunddaten!J44&lt;&gt;"",CONCATENATE("'",TEXT(Grunddaten!J44,"JJJJ-MM-tt"),"'"),"NULL")</f>
        <v>'1992-03-07'</v>
      </c>
      <c r="H43" s="4" t="str">
        <f>CONCATENATE("'",TEXT(Grunddaten!G44,"JJJJ-MM-tt"),"'")</f>
        <v>'1956-10-31'</v>
      </c>
      <c r="J43" s="14">
        <f>Grunddaten!A44</f>
        <v>42</v>
      </c>
      <c r="K43" s="14">
        <f>Grunddaten!Y44</f>
        <v>1</v>
      </c>
      <c r="L43" s="14" t="str">
        <f ca="1">CONCATENATE("'",Grunddaten!Z44,"'")</f>
        <v>'13435'</v>
      </c>
      <c r="M43" s="14" t="str">
        <f>CONCATENATE("'",Grunddaten!AA44,"'")</f>
        <v>'Berlin'</v>
      </c>
      <c r="N43" s="14" t="str">
        <f>CONCATENATE("'",Grunddaten!AB44,"'")</f>
        <v>'Theodor-Heuss-Allee'</v>
      </c>
      <c r="O43" s="14" t="str">
        <f>CONCATENATE("'",Grunddaten!AC44,"'")</f>
        <v>'39'</v>
      </c>
      <c r="P43" s="14">
        <f>Grunddaten!AD44</f>
        <v>1</v>
      </c>
      <c r="R43" s="13">
        <f>Grunddaten!A44</f>
        <v>42</v>
      </c>
      <c r="S43" s="13">
        <f>Grunddaten!AF44</f>
        <v>1</v>
      </c>
      <c r="T43" s="13" t="str">
        <f>CONCATENATE("'",Grunddaten!AG44,"'")</f>
        <v>'030'</v>
      </c>
      <c r="U43" s="13" t="str">
        <f ca="1">CONCATENATE("'",Grunddaten!AH44,"'")</f>
        <v>'66339220'</v>
      </c>
      <c r="V43" s="13">
        <f>Grunddaten!AI44</f>
        <v>1</v>
      </c>
      <c r="Z43" s="2" t="str" cm="1">
        <f t="array" ref="Z43">CONCATENATE("                   ",Liste(B43:H43),IF(Z44&lt;&gt;"",",",""))</f>
        <v xml:space="preserve">                   (42, 'Fuchs', 'Lisa', 2, 2, '1992-03-07', '1956-10-31'),</v>
      </c>
      <c r="AB43" s="2" t="str" cm="1">
        <f t="array" aca="1" ref="AB43" ca="1">CONCATENATE("                    ",Liste(J43:P43),IF(AB44&lt;&gt;"",",",""))</f>
        <v xml:space="preserve">                    (42, 1, '13435', 'Berlin', 'Theodor-Heuss-Allee', '39', 1),</v>
      </c>
      <c r="AD43" s="2" t="str" cm="1">
        <f t="array" aca="1" ref="AD43" ca="1">CONCATENATE("                   ",Liste(R43:V43),IF(AD44&lt;&gt;"",",",""))</f>
        <v xml:space="preserve">                   (42, 1, '030', '66339220', 1),</v>
      </c>
    </row>
    <row r="44" spans="2:30" x14ac:dyDescent="0.45">
      <c r="B44" s="4">
        <f>Grunddaten!A45</f>
        <v>43</v>
      </c>
      <c r="C44" s="4" t="str">
        <f>CONCATENATE("'",Grunddaten!F45,"'")</f>
        <v>'Roth'</v>
      </c>
      <c r="D44" s="4" t="str">
        <f>CONCATENATE("'",Grunddaten!E45,"'")</f>
        <v>'Christian'</v>
      </c>
      <c r="E44" s="4">
        <f>VLOOKUP(Grunddaten!D45,FormOfAddress,2,TRUE)</f>
        <v>1</v>
      </c>
      <c r="F44" s="4">
        <f>VLOOKUP(Grunddaten!I45,FamilyStatus,2,FALSE)</f>
        <v>2</v>
      </c>
      <c r="G44" s="4" t="str">
        <f>IF(Grunddaten!J45&lt;&gt;"",CONCATENATE("'",TEXT(Grunddaten!J45,"JJJJ-MM-tt"),"'"),"NULL")</f>
        <v>'1991-07-04'</v>
      </c>
      <c r="H44" s="4" t="str">
        <f>CONCATENATE("'",TEXT(Grunddaten!G45,"JJJJ-MM-tt"),"'")</f>
        <v>'1953-04-17'</v>
      </c>
      <c r="J44" s="14">
        <f>Grunddaten!A45</f>
        <v>43</v>
      </c>
      <c r="K44" s="14">
        <f>Grunddaten!Y45</f>
        <v>1</v>
      </c>
      <c r="L44" s="14" t="str">
        <f ca="1">CONCATENATE("'",Grunddaten!Z45,"'")</f>
        <v>'10243'</v>
      </c>
      <c r="M44" s="14" t="str">
        <f>CONCATENATE("'",Grunddaten!AA45,"'")</f>
        <v>'Berlin'</v>
      </c>
      <c r="N44" s="14" t="str">
        <f>CONCATENATE("'",Grunddaten!AB45,"'")</f>
        <v>'Mozartweg'</v>
      </c>
      <c r="O44" s="14" t="str">
        <f>CONCATENATE("'",Grunddaten!AC45,"'")</f>
        <v>'1E'</v>
      </c>
      <c r="P44" s="14">
        <f>Grunddaten!AD45</f>
        <v>1</v>
      </c>
      <c r="R44" s="13">
        <f>Grunddaten!A45</f>
        <v>43</v>
      </c>
      <c r="S44" s="13">
        <f>Grunddaten!AF45</f>
        <v>1</v>
      </c>
      <c r="T44" s="13" t="str">
        <f>CONCATENATE("'",Grunddaten!AG45,"'")</f>
        <v>'030'</v>
      </c>
      <c r="U44" s="13" t="str">
        <f ca="1">CONCATENATE("'",Grunddaten!AH45,"'")</f>
        <v>'43248725'</v>
      </c>
      <c r="V44" s="13">
        <f>Grunddaten!AI45</f>
        <v>1</v>
      </c>
      <c r="Z44" s="2" t="str" cm="1">
        <f t="array" ref="Z44">CONCATENATE("                   ",Liste(B44:H44),IF(Z45&lt;&gt;"",",",""))</f>
        <v xml:space="preserve">                   (43, 'Roth', 'Christian', 1, 2, '1991-07-04', '1953-04-17'),</v>
      </c>
      <c r="AB44" s="2" t="str" cm="1">
        <f t="array" aca="1" ref="AB44" ca="1">CONCATENATE("                    ",Liste(J44:P44),IF(AB45&lt;&gt;"",",",""))</f>
        <v xml:space="preserve">                    (43, 1, '10243', 'Berlin', 'Mozartweg', '1E', 1),</v>
      </c>
      <c r="AD44" s="2" t="str" cm="1">
        <f t="array" aca="1" ref="AD44" ca="1">CONCATENATE("                   ",Liste(R44:V44),IF(AD45&lt;&gt;"",",",""))</f>
        <v xml:space="preserve">                   (43, 1, '030', '43248725', 1),</v>
      </c>
    </row>
    <row r="45" spans="2:30" x14ac:dyDescent="0.45">
      <c r="B45" s="4">
        <f>Grunddaten!A46</f>
        <v>44</v>
      </c>
      <c r="C45" s="4" t="str">
        <f>CONCATENATE("'",Grunddaten!F46,"'")</f>
        <v>'Berger'</v>
      </c>
      <c r="D45" s="4" t="str">
        <f>CONCATENATE("'",Grunddaten!E46,"'")</f>
        <v>'Stefanie'</v>
      </c>
      <c r="E45" s="4">
        <f>VLOOKUP(Grunddaten!D46,FormOfAddress,2,TRUE)</f>
        <v>2</v>
      </c>
      <c r="F45" s="4">
        <f>VLOOKUP(Grunddaten!I46,FamilyStatus,2,FALSE)</f>
        <v>2</v>
      </c>
      <c r="G45" s="4" t="str">
        <f>IF(Grunddaten!J46&lt;&gt;"",CONCATENATE("'",TEXT(Grunddaten!J46,"JJJJ-MM-tt"),"'"),"NULL")</f>
        <v>'1990-11-06'</v>
      </c>
      <c r="H45" s="4" t="str">
        <f>CONCATENATE("'",TEXT(Grunddaten!G46,"JJJJ-MM-tt"),"'")</f>
        <v>'1963-09-08'</v>
      </c>
      <c r="J45" s="14">
        <f>Grunddaten!A46</f>
        <v>44</v>
      </c>
      <c r="K45" s="14">
        <f>Grunddaten!Y46</f>
        <v>1</v>
      </c>
      <c r="L45" s="14" t="str">
        <f ca="1">CONCATENATE("'",Grunddaten!Z46,"'")</f>
        <v>'13581'</v>
      </c>
      <c r="M45" s="14" t="str">
        <f>CONCATENATE("'",Grunddaten!AA46,"'")</f>
        <v>'Berlin'</v>
      </c>
      <c r="N45" s="14" t="str">
        <f>CONCATENATE("'",Grunddaten!AB46,"'")</f>
        <v>'Robert-Schumann-Straße'</v>
      </c>
      <c r="O45" s="14" t="str">
        <f>CONCATENATE("'",Grunddaten!AC46,"'")</f>
        <v>'37E'</v>
      </c>
      <c r="P45" s="14">
        <f>Grunddaten!AD46</f>
        <v>1</v>
      </c>
      <c r="R45" s="13">
        <f>Grunddaten!A46</f>
        <v>44</v>
      </c>
      <c r="S45" s="13">
        <f>Grunddaten!AF46</f>
        <v>1</v>
      </c>
      <c r="T45" s="13" t="str">
        <f>CONCATENATE("'",Grunddaten!AG46,"'")</f>
        <v>'030'</v>
      </c>
      <c r="U45" s="13" t="str">
        <f ca="1">CONCATENATE("'",Grunddaten!AH46,"'")</f>
        <v>'44585040'</v>
      </c>
      <c r="V45" s="13">
        <f>Grunddaten!AI46</f>
        <v>1</v>
      </c>
      <c r="Z45" s="2" t="str" cm="1">
        <f t="array" ref="Z45">CONCATENATE("                   ",Liste(B45:H45),IF(Z46&lt;&gt;"",",",""))</f>
        <v xml:space="preserve">                   (44, 'Berger', 'Stefanie', 2, 2, '1990-11-06', '1963-09-08'),</v>
      </c>
      <c r="AB45" s="2" t="str" cm="1">
        <f t="array" aca="1" ref="AB45" ca="1">CONCATENATE("                    ",Liste(J45:P45),IF(AB46&lt;&gt;"",",",""))</f>
        <v xml:space="preserve">                    (44, 1, '13581', 'Berlin', 'Robert-Schumann-Straße', '37E', 1),</v>
      </c>
      <c r="AD45" s="2" t="str" cm="1">
        <f t="array" aca="1" ref="AD45" ca="1">CONCATENATE("                   ",Liste(R45:V45),IF(AD46&lt;&gt;"",",",""))</f>
        <v xml:space="preserve">                   (44, 1, '030', '44585040', 1),</v>
      </c>
    </row>
    <row r="46" spans="2:30" x14ac:dyDescent="0.45">
      <c r="B46" s="4">
        <f>Grunddaten!A47</f>
        <v>45</v>
      </c>
      <c r="C46" s="4" t="str">
        <f>CONCATENATE("'",Grunddaten!F47,"'")</f>
        <v>'Friedrich'</v>
      </c>
      <c r="D46" s="4" t="str">
        <f>CONCATENATE("'",Grunddaten!E47,"'")</f>
        <v>'Sebastian'</v>
      </c>
      <c r="E46" s="4">
        <f>VLOOKUP(Grunddaten!D47,FormOfAddress,2,TRUE)</f>
        <v>1</v>
      </c>
      <c r="F46" s="4">
        <f>VLOOKUP(Grunddaten!I47,FamilyStatus,2,FALSE)</f>
        <v>2</v>
      </c>
      <c r="G46" s="4" t="str">
        <f>IF(Grunddaten!J47&lt;&gt;"",CONCATENATE("'",TEXT(Grunddaten!J47,"JJJJ-MM-tt"),"'"),"NULL")</f>
        <v>'2016-03-29'</v>
      </c>
      <c r="H46" s="4" t="str">
        <f>CONCATENATE("'",TEXT(Grunddaten!G47,"JJJJ-MM-tt"),"'")</f>
        <v>'1981-07-01'</v>
      </c>
      <c r="J46" s="14">
        <f>Grunddaten!A47</f>
        <v>45</v>
      </c>
      <c r="K46" s="14">
        <f>Grunddaten!Y47</f>
        <v>1</v>
      </c>
      <c r="L46" s="14" t="str">
        <f ca="1">CONCATENATE("'",Grunddaten!Z47,"'")</f>
        <v>'14542'</v>
      </c>
      <c r="M46" s="14" t="str">
        <f>CONCATENATE("'",Grunddaten!AA47,"'")</f>
        <v>'Werder (Havel)'</v>
      </c>
      <c r="N46" s="14" t="str">
        <f>CONCATENATE("'",Grunddaten!AB47,"'")</f>
        <v>'Mexikostraße'</v>
      </c>
      <c r="O46" s="14" t="str">
        <f>CONCATENATE("'",Grunddaten!AC47,"'")</f>
        <v>'19'</v>
      </c>
      <c r="P46" s="14">
        <f>Grunddaten!AD47</f>
        <v>1</v>
      </c>
      <c r="R46" s="13">
        <f>Grunddaten!A47</f>
        <v>45</v>
      </c>
      <c r="S46" s="13">
        <f>Grunddaten!AF47</f>
        <v>1</v>
      </c>
      <c r="T46" s="13" t="str">
        <f>CONCATENATE("'",Grunddaten!AG47,"'")</f>
        <v>'03327'</v>
      </c>
      <c r="U46" s="13" t="str">
        <f ca="1">CONCATENATE("'",Grunddaten!AH47,"'")</f>
        <v>'86584'</v>
      </c>
      <c r="V46" s="13">
        <f>Grunddaten!AI47</f>
        <v>1</v>
      </c>
      <c r="Z46" s="2" t="str" cm="1">
        <f t="array" ref="Z46">CONCATENATE("                   ",Liste(B46:H46),IF(Z47&lt;&gt;"",",",""))</f>
        <v xml:space="preserve">                   (45, 'Friedrich', 'Sebastian', 1, 2, '2016-03-29', '1981-07-01'),</v>
      </c>
      <c r="AB46" s="2" t="str" cm="1">
        <f t="array" aca="1" ref="AB46" ca="1">CONCATENATE("                    ",Liste(J46:P46),IF(AB47&lt;&gt;"",",",""))</f>
        <v xml:space="preserve">                    (45, 1, '14542', 'Werder (Havel)', 'Mexikostraße', '19', 1),</v>
      </c>
      <c r="AD46" s="2" t="str" cm="1">
        <f t="array" aca="1" ref="AD46" ca="1">CONCATENATE("                   ",Liste(R46:V46),IF(AD47&lt;&gt;"",",",""))</f>
        <v xml:space="preserve">                   (45, 1, '03327', '86584', 1),</v>
      </c>
    </row>
    <row r="47" spans="2:30" x14ac:dyDescent="0.45">
      <c r="B47" s="4">
        <f>Grunddaten!A48</f>
        <v>46</v>
      </c>
      <c r="C47" s="4" t="str">
        <f>CONCATENATE("'",Grunddaten!F48,"'")</f>
        <v>'Keller'</v>
      </c>
      <c r="D47" s="4" t="str">
        <f>CONCATENATE("'",Grunddaten!E48,"'")</f>
        <v>'Katharina'</v>
      </c>
      <c r="E47" s="4">
        <f>VLOOKUP(Grunddaten!D48,FormOfAddress,2,TRUE)</f>
        <v>2</v>
      </c>
      <c r="F47" s="4">
        <f>VLOOKUP(Grunddaten!I48,FamilyStatus,2,FALSE)</f>
        <v>1</v>
      </c>
      <c r="G47" s="4" t="str">
        <f>IF(Grunddaten!J48&lt;&gt;"",CONCATENATE("'",TEXT(Grunddaten!J48,"JJJJ-MM-tt"),"'"),"NULL")</f>
        <v>NULL</v>
      </c>
      <c r="H47" s="4" t="str">
        <f>CONCATENATE("'",TEXT(Grunddaten!G48,"JJJJ-MM-tt"),"'")</f>
        <v>'2002-08-04'</v>
      </c>
      <c r="J47" s="14">
        <f>Grunddaten!A48</f>
        <v>46</v>
      </c>
      <c r="K47" s="14">
        <f>Grunddaten!Y48</f>
        <v>1</v>
      </c>
      <c r="L47" s="14" t="str">
        <f ca="1">CONCATENATE("'",Grunddaten!Z48,"'")</f>
        <v>'14548'</v>
      </c>
      <c r="M47" s="14" t="str">
        <f>CONCATENATE("'",Grunddaten!AA48,"'")</f>
        <v>'Schwielowsee'</v>
      </c>
      <c r="N47" s="14" t="str">
        <f>CONCATENATE("'",Grunddaten!AB48,"'")</f>
        <v>'Goetheplatz'</v>
      </c>
      <c r="O47" s="14" t="str">
        <f>CONCATENATE("'",Grunddaten!AC48,"'")</f>
        <v>'4'</v>
      </c>
      <c r="P47" s="14">
        <f>Grunddaten!AD48</f>
        <v>1</v>
      </c>
      <c r="R47" s="13">
        <f>Grunddaten!A48</f>
        <v>46</v>
      </c>
      <c r="S47" s="13">
        <f>Grunddaten!AF48</f>
        <v>1</v>
      </c>
      <c r="T47" s="13" t="str">
        <f>CONCATENATE("'",Grunddaten!AG48,"'")</f>
        <v>'03327'</v>
      </c>
      <c r="U47" s="13" t="str">
        <f ca="1">CONCATENATE("'",Grunddaten!AH48,"'")</f>
        <v>'73053'</v>
      </c>
      <c r="V47" s="13">
        <f>Grunddaten!AI48</f>
        <v>1</v>
      </c>
      <c r="Z47" s="2" t="str" cm="1">
        <f t="array" ref="Z47">CONCATENATE("                   ",Liste(B47:H47),IF(Z48&lt;&gt;"",",",""))</f>
        <v xml:space="preserve">                   (46, 'Keller', 'Katharina', 2, 1, NULL, '2002-08-04'),</v>
      </c>
      <c r="AB47" s="2" t="str" cm="1">
        <f t="array" aca="1" ref="AB47" ca="1">CONCATENATE("                    ",Liste(J47:P47),IF(AB48&lt;&gt;"",",",""))</f>
        <v xml:space="preserve">                    (46, 1, '14548', 'Schwielowsee', 'Goetheplatz', '4', 1),</v>
      </c>
      <c r="AD47" s="2" t="str" cm="1">
        <f t="array" aca="1" ref="AD47" ca="1">CONCATENATE("                   ",Liste(R47:V47),IF(AD48&lt;&gt;"",",",""))</f>
        <v xml:space="preserve">                   (46, 1, '03327', '73053', 1),</v>
      </c>
    </row>
    <row r="48" spans="2:30" x14ac:dyDescent="0.45">
      <c r="B48" s="4">
        <f>Grunddaten!A49</f>
        <v>47</v>
      </c>
      <c r="C48" s="4" t="str">
        <f>CONCATENATE("'",Grunddaten!F49,"'")</f>
        <v>'Huber'</v>
      </c>
      <c r="D48" s="4" t="str">
        <f>CONCATENATE("'",Grunddaten!E49,"'")</f>
        <v>'Manuel'</v>
      </c>
      <c r="E48" s="4">
        <f>VLOOKUP(Grunddaten!D49,FormOfAddress,2,TRUE)</f>
        <v>1</v>
      </c>
      <c r="F48" s="4">
        <f>VLOOKUP(Grunddaten!I49,FamilyStatus,2,FALSE)</f>
        <v>2</v>
      </c>
      <c r="G48" s="4" t="str">
        <f>IF(Grunddaten!J49&lt;&gt;"",CONCATENATE("'",TEXT(Grunddaten!J49,"JJJJ-MM-tt"),"'"),"NULL")</f>
        <v>'1994-08-31'</v>
      </c>
      <c r="H48" s="4" t="str">
        <f>CONCATENATE("'",TEXT(Grunddaten!G49,"JJJJ-MM-tt"),"'")</f>
        <v>'1959-07-19'</v>
      </c>
      <c r="J48" s="14">
        <f>Grunddaten!A49</f>
        <v>47</v>
      </c>
      <c r="K48" s="14">
        <f>Grunddaten!Y49</f>
        <v>1</v>
      </c>
      <c r="L48" s="14" t="str">
        <f ca="1">CONCATENATE("'",Grunddaten!Z49,"'")</f>
        <v>'14797'</v>
      </c>
      <c r="M48" s="14" t="str">
        <f>CONCATENATE("'",Grunddaten!AA49,"'")</f>
        <v>'Kloster Lehnin'</v>
      </c>
      <c r="N48" s="14" t="str">
        <f>CONCATENATE("'",Grunddaten!AB49,"'")</f>
        <v>'Postplatz'</v>
      </c>
      <c r="O48" s="14" t="str">
        <f>CONCATENATE("'",Grunddaten!AC49,"'")</f>
        <v>'83'</v>
      </c>
      <c r="P48" s="14">
        <f>Grunddaten!AD49</f>
        <v>1</v>
      </c>
      <c r="R48" s="13">
        <f>Grunddaten!A49</f>
        <v>47</v>
      </c>
      <c r="S48" s="13">
        <f>Grunddaten!AF49</f>
        <v>1</v>
      </c>
      <c r="T48" s="13" t="str">
        <f>CONCATENATE("'",Grunddaten!AG49,"'")</f>
        <v>'033835'</v>
      </c>
      <c r="U48" s="13" t="str">
        <f ca="1">CONCATENATE("'",Grunddaten!AH49,"'")</f>
        <v>'6925'</v>
      </c>
      <c r="V48" s="13">
        <f>Grunddaten!AI49</f>
        <v>1</v>
      </c>
      <c r="Z48" s="2" t="str" cm="1">
        <f t="array" ref="Z48">CONCATENATE("                   ",Liste(B48:H48),IF(Z49&lt;&gt;"",",",""))</f>
        <v xml:space="preserve">                   (47, 'Huber', 'Manuel', 1, 2, '1994-08-31', '1959-07-19'),</v>
      </c>
      <c r="AB48" s="2" t="str" cm="1">
        <f t="array" aca="1" ref="AB48" ca="1">CONCATENATE("                    ",Liste(J48:P48),IF(AB49&lt;&gt;"",",",""))</f>
        <v xml:space="preserve">                    (47, 1, '14797', 'Kloster Lehnin', 'Postplatz', '83', 1),</v>
      </c>
      <c r="AD48" s="2" t="str" cm="1">
        <f t="array" aca="1" ref="AD48" ca="1">CONCATENATE("                   ",Liste(R48:V48),IF(AD49&lt;&gt;"",",",""))</f>
        <v xml:space="preserve">                   (47, 1, '033835', '6925', 1),</v>
      </c>
    </row>
    <row r="49" spans="2:30" x14ac:dyDescent="0.45">
      <c r="B49" s="4">
        <f>Grunddaten!A50</f>
        <v>48</v>
      </c>
      <c r="C49" s="4" t="str">
        <f>CONCATENATE("'",Grunddaten!F50,"'")</f>
        <v>'Schulz'</v>
      </c>
      <c r="D49" s="4" t="str">
        <f>CONCATENATE("'",Grunddaten!E50,"'")</f>
        <v>'Andrea'</v>
      </c>
      <c r="E49" s="4">
        <f>VLOOKUP(Grunddaten!D50,FormOfAddress,2,TRUE)</f>
        <v>2</v>
      </c>
      <c r="F49" s="4">
        <f>VLOOKUP(Grunddaten!I50,FamilyStatus,2,FALSE)</f>
        <v>1</v>
      </c>
      <c r="G49" s="4" t="str">
        <f>IF(Grunddaten!J50&lt;&gt;"",CONCATENATE("'",TEXT(Grunddaten!J50,"JJJJ-MM-tt"),"'"),"NULL")</f>
        <v>NULL</v>
      </c>
      <c r="H49" s="4" t="str">
        <f>CONCATENATE("'",TEXT(Grunddaten!G50,"JJJJ-MM-tt"),"'")</f>
        <v>'1997-06-04'</v>
      </c>
      <c r="J49" s="14">
        <f>Grunddaten!A50</f>
        <v>48</v>
      </c>
      <c r="K49" s="14">
        <f>Grunddaten!Y50</f>
        <v>1</v>
      </c>
      <c r="L49" s="14" t="str">
        <f ca="1">CONCATENATE("'",Grunddaten!Z50,"'")</f>
        <v>'14052'</v>
      </c>
      <c r="M49" s="14" t="str">
        <f>CONCATENATE("'",Grunddaten!AA50,"'")</f>
        <v>'Berlin'</v>
      </c>
      <c r="N49" s="14" t="str">
        <f>CONCATENATE("'",Grunddaten!AB50,"'")</f>
        <v>'Mühlenweg'</v>
      </c>
      <c r="O49" s="14" t="str">
        <f>CONCATENATE("'",Grunddaten!AC50,"'")</f>
        <v>'13'</v>
      </c>
      <c r="P49" s="14">
        <f>Grunddaten!AD50</f>
        <v>1</v>
      </c>
      <c r="R49" s="13">
        <f>Grunddaten!A50</f>
        <v>48</v>
      </c>
      <c r="S49" s="13">
        <f>Grunddaten!AF50</f>
        <v>1</v>
      </c>
      <c r="T49" s="13" t="str">
        <f>CONCATENATE("'",Grunddaten!AG50,"'")</f>
        <v>'030'</v>
      </c>
      <c r="U49" s="13" t="str">
        <f ca="1">CONCATENATE("'",Grunddaten!AH50,"'")</f>
        <v>'49389974'</v>
      </c>
      <c r="V49" s="13">
        <f>Grunddaten!AI50</f>
        <v>1</v>
      </c>
      <c r="Z49" s="2" t="str" cm="1">
        <f t="array" ref="Z49">CONCATENATE("                   ",Liste(B49:H49),IF(Z50&lt;&gt;"",",",""))</f>
        <v xml:space="preserve">                   (48, 'Schulz', 'Andrea', 2, 1, NULL, '1997-06-04'),</v>
      </c>
      <c r="AB49" s="2" t="str" cm="1">
        <f t="array" aca="1" ref="AB49" ca="1">CONCATENATE("                    ",Liste(J49:P49),IF(AB50&lt;&gt;"",",",""))</f>
        <v xml:space="preserve">                    (48, 1, '14052', 'Berlin', 'Mühlenweg', '13', 1),</v>
      </c>
      <c r="AD49" s="2" t="str" cm="1">
        <f t="array" aca="1" ref="AD49" ca="1">CONCATENATE("                   ",Liste(R49:V49),IF(AD50&lt;&gt;"",",",""))</f>
        <v xml:space="preserve">                   (48, 1, '030', '49389974', 1),</v>
      </c>
    </row>
    <row r="50" spans="2:30" x14ac:dyDescent="0.45">
      <c r="B50" s="4">
        <f>Grunddaten!A51</f>
        <v>49</v>
      </c>
      <c r="C50" s="4" t="str">
        <f>CONCATENATE("'",Grunddaten!F51,"'")</f>
        <v>'Braun'</v>
      </c>
      <c r="D50" s="4" t="str">
        <f>CONCATENATE("'",Grunddaten!E51,"'")</f>
        <v>'Simon'</v>
      </c>
      <c r="E50" s="4">
        <f>VLOOKUP(Grunddaten!D51,FormOfAddress,2,TRUE)</f>
        <v>1</v>
      </c>
      <c r="F50" s="4">
        <f>VLOOKUP(Grunddaten!I51,FamilyStatus,2,FALSE)</f>
        <v>4</v>
      </c>
      <c r="G50" s="4" t="str">
        <f>IF(Grunddaten!J51&lt;&gt;"",CONCATENATE("'",TEXT(Grunddaten!J51,"JJJJ-MM-tt"),"'"),"NULL")</f>
        <v>'2011-08-14'</v>
      </c>
      <c r="H50" s="4" t="str">
        <f>CONCATENATE("'",TEXT(Grunddaten!G51,"JJJJ-MM-tt"),"'")</f>
        <v>'1954-03-12'</v>
      </c>
      <c r="J50" s="14">
        <f>Grunddaten!A51</f>
        <v>49</v>
      </c>
      <c r="K50" s="14">
        <f>Grunddaten!Y51</f>
        <v>1</v>
      </c>
      <c r="L50" s="14" t="str">
        <f ca="1">CONCATENATE("'",Grunddaten!Z51,"'")</f>
        <v>'14542'</v>
      </c>
      <c r="M50" s="14" t="str">
        <f>CONCATENATE("'",Grunddaten!AA51,"'")</f>
        <v>'Werder (Havel)'</v>
      </c>
      <c r="N50" s="14" t="str">
        <f>CONCATENATE("'",Grunddaten!AB51,"'")</f>
        <v>'Sonnenweg'</v>
      </c>
      <c r="O50" s="14" t="str">
        <f>CONCATENATE("'",Grunddaten!AC51,"'")</f>
        <v>'7C'</v>
      </c>
      <c r="P50" s="14">
        <f>Grunddaten!AD51</f>
        <v>1</v>
      </c>
      <c r="R50" s="13">
        <f>Grunddaten!A51</f>
        <v>49</v>
      </c>
      <c r="S50" s="13">
        <f>Grunddaten!AF51</f>
        <v>1</v>
      </c>
      <c r="T50" s="13" t="str">
        <f>CONCATENATE("'",Grunddaten!AG51,"'")</f>
        <v>'03327'</v>
      </c>
      <c r="U50" s="13" t="str">
        <f ca="1">CONCATENATE("'",Grunddaten!AH51,"'")</f>
        <v>'71304'</v>
      </c>
      <c r="V50" s="13">
        <f>Grunddaten!AI51</f>
        <v>1</v>
      </c>
      <c r="Z50" s="2" t="str" cm="1">
        <f t="array" ref="Z50">CONCATENATE("                   ",Liste(B50:H50),IF(Z51&lt;&gt;"",",",""))</f>
        <v xml:space="preserve">                   (49, 'Braun', 'Simon', 1, 4, '2011-08-14', '1954-03-12'),</v>
      </c>
      <c r="AB50" s="2" t="str" cm="1">
        <f t="array" aca="1" ref="AB50" ca="1">CONCATENATE("                    ",Liste(J50:P50),IF(AB51&lt;&gt;"",",",""))</f>
        <v xml:space="preserve">                    (49, 1, '14542', 'Werder (Havel)', 'Sonnenweg', '7C', 1),</v>
      </c>
      <c r="AD50" s="2" t="str" cm="1">
        <f t="array" aca="1" ref="AD50" ca="1">CONCATENATE("                   ",Liste(R50:V50),IF(AD51&lt;&gt;"",",",""))</f>
        <v xml:space="preserve">                   (49, 1, '03327', '71304', 1),</v>
      </c>
    </row>
    <row r="51" spans="2:30" x14ac:dyDescent="0.45">
      <c r="B51" s="4">
        <f>Grunddaten!A52</f>
        <v>50</v>
      </c>
      <c r="C51" s="4" t="str">
        <f>CONCATENATE("'",Grunddaten!F52,"'")</f>
        <v>'Mayer'</v>
      </c>
      <c r="D51" s="4" t="str">
        <f>CONCATENATE("'",Grunddaten!E52,"'")</f>
        <v>'Nadine'</v>
      </c>
      <c r="E51" s="4">
        <f>VLOOKUP(Grunddaten!D52,FormOfAddress,2,TRUE)</f>
        <v>2</v>
      </c>
      <c r="F51" s="4">
        <f>VLOOKUP(Grunddaten!I52,FamilyStatus,2,FALSE)</f>
        <v>1</v>
      </c>
      <c r="G51" s="4" t="str">
        <f>IF(Grunddaten!J52&lt;&gt;"",CONCATENATE("'",TEXT(Grunddaten!J52,"JJJJ-MM-tt"),"'"),"NULL")</f>
        <v>NULL</v>
      </c>
      <c r="H51" s="4" t="str">
        <f>CONCATENATE("'",TEXT(Grunddaten!G52,"JJJJ-MM-tt"),"'")</f>
        <v>'2003-07-26'</v>
      </c>
      <c r="J51" s="14">
        <f>Grunddaten!A52</f>
        <v>50</v>
      </c>
      <c r="K51" s="14">
        <f>Grunddaten!Y52</f>
        <v>1</v>
      </c>
      <c r="L51" s="14" t="str">
        <f ca="1">CONCATENATE("'",Grunddaten!Z52,"'")</f>
        <v>'10115'</v>
      </c>
      <c r="M51" s="14" t="str">
        <f>CONCATENATE("'",Grunddaten!AA52,"'")</f>
        <v>'Berlin'</v>
      </c>
      <c r="N51" s="14" t="str">
        <f>CONCATENATE("'",Grunddaten!AB52,"'")</f>
        <v>'Elsternweg'</v>
      </c>
      <c r="O51" s="14" t="str">
        <f>CONCATENATE("'",Grunddaten!AC52,"'")</f>
        <v>'24A'</v>
      </c>
      <c r="P51" s="14">
        <f>Grunddaten!AD52</f>
        <v>1</v>
      </c>
      <c r="R51" s="13">
        <f>Grunddaten!A52</f>
        <v>50</v>
      </c>
      <c r="S51" s="13">
        <f>Grunddaten!AF52</f>
        <v>1</v>
      </c>
      <c r="T51" s="13" t="str">
        <f>CONCATENATE("'",Grunddaten!AG52,"'")</f>
        <v>'030'</v>
      </c>
      <c r="U51" s="13" t="str">
        <f ca="1">CONCATENATE("'",Grunddaten!AH52,"'")</f>
        <v>'96559380'</v>
      </c>
      <c r="V51" s="13">
        <f>Grunddaten!AI52</f>
        <v>1</v>
      </c>
      <c r="Z51" s="2" t="str" cm="1">
        <f t="array" ref="Z51">CONCATENATE("                   ",Liste(B51:H51),IF(Z52&lt;&gt;"",",",""))</f>
        <v xml:space="preserve">                   (50, 'Mayer', 'Nadine', 2, 1, NULL, '2003-07-26')</v>
      </c>
      <c r="AB51" s="2" t="str" cm="1">
        <f t="array" aca="1" ref="AB51" ca="1">CONCATENATE("                    ",Liste(J51:P51),IF(AB52&lt;&gt;"",",",""))</f>
        <v xml:space="preserve">                    (50, 1, '10115', 'Berlin', 'Elsternweg', '24A', 1)</v>
      </c>
      <c r="AD51" s="2" t="str" cm="1">
        <f t="array" aca="1" ref="AD51" ca="1">CONCATENATE("                   ",Liste(R51:V51),IF(AD52&lt;&gt;"",",",""))</f>
        <v xml:space="preserve">                   (50, 1, '030', '96559380', 1)</v>
      </c>
    </row>
    <row r="52" spans="2:30" x14ac:dyDescent="0.45">
      <c r="Z52" s="2"/>
      <c r="AD52" s="2"/>
    </row>
    <row r="53" spans="2:30" x14ac:dyDescent="0.45">
      <c r="Z53" s="2" t="str" cm="1">
        <f t="array" ref="Z53">CONCATENATE("INSERT INTO ",A$1," ",Liste(B$1:H$1)," VALUES")</f>
        <v>INSERT INTO Person (ID, Name, FirstName, FormOfAddress, FamilyStatus, FamilyStatusSince, Birthday) VALUES</v>
      </c>
      <c r="AB53" s="2" t="str" cm="1">
        <f t="array" ref="AB53">CONCATENATE("INSERT INTO ",I$1," ",Liste(J$1:P$1)," VALUES")</f>
        <v>INSERT INTO Address (ID, AddressType, Zipcode, City, Street, StreetNumber, Country) VALUES</v>
      </c>
      <c r="AD53" s="2" t="str" cm="1">
        <f t="array" ref="AD53">CONCATENATE("INSERT INTO ",Q$1," ",Liste(R$1:V$1)," VALUES")</f>
        <v>INSERT INTO Phone (ID, PhoneType, AreaCode, CallNumber, Country) VALUES</v>
      </c>
    </row>
    <row r="54" spans="2:30" x14ac:dyDescent="0.45">
      <c r="B54" s="4">
        <f>Grunddaten!A53</f>
        <v>51</v>
      </c>
      <c r="C54" s="4" t="str">
        <f>CONCATENATE("'",Grunddaten!F53,"'")</f>
        <v>'Hoffmann'</v>
      </c>
      <c r="D54" s="4" t="str">
        <f>CONCATENATE("'",Grunddaten!E53,"'")</f>
        <v>'Stefan'</v>
      </c>
      <c r="E54" s="4">
        <f>VLOOKUP(Grunddaten!D53,FormOfAddress,2,TRUE)</f>
        <v>1</v>
      </c>
      <c r="F54" s="4">
        <f>VLOOKUP(Grunddaten!I53,FamilyStatus,2,FALSE)</f>
        <v>3</v>
      </c>
      <c r="G54" s="4" t="str">
        <f>IF(Grunddaten!J53&lt;&gt;"",CONCATENATE("'",TEXT(Grunddaten!J53,"JJJJ-MM-tt"),"'"),"NULL")</f>
        <v>'2012-09-06'</v>
      </c>
      <c r="H54" s="4" t="str">
        <f>CONCATENATE("'",TEXT(Grunddaten!G53,"JJJJ-MM-tt"),"'")</f>
        <v>'1952-08-14'</v>
      </c>
      <c r="J54" s="14">
        <f>Grunddaten!A53</f>
        <v>51</v>
      </c>
      <c r="K54" s="14">
        <f>Grunddaten!Y53</f>
        <v>1</v>
      </c>
      <c r="L54" s="14" t="str">
        <f ca="1">CONCATENATE("'",Grunddaten!Z53,"'")</f>
        <v>'14052'</v>
      </c>
      <c r="M54" s="14" t="str">
        <f>CONCATENATE("'",Grunddaten!AA53,"'")</f>
        <v>'Berlin'</v>
      </c>
      <c r="N54" s="14" t="str">
        <f>CONCATENATE("'",Grunddaten!AB53,"'")</f>
        <v>'Bismarckstraße'</v>
      </c>
      <c r="O54" s="14" t="str">
        <f>CONCATENATE("'",Grunddaten!AC53,"'")</f>
        <v>'10A/B'</v>
      </c>
      <c r="P54" s="14">
        <f>Grunddaten!AD53</f>
        <v>1</v>
      </c>
      <c r="R54" s="13">
        <f>Grunddaten!A53</f>
        <v>51</v>
      </c>
      <c r="S54" s="13">
        <f>Grunddaten!AF53</f>
        <v>1</v>
      </c>
      <c r="T54" s="13" t="str">
        <f>CONCATENATE("'",Grunddaten!AG53,"'")</f>
        <v>'030'</v>
      </c>
      <c r="U54" s="13" t="str">
        <f ca="1">CONCATENATE("'",Grunddaten!AH53,"'")</f>
        <v>'85434485'</v>
      </c>
      <c r="V54" s="13">
        <f>Grunddaten!AI53</f>
        <v>1</v>
      </c>
      <c r="Z54" s="2" t="str" cm="1">
        <f t="array" ref="Z54">CONCATENATE("                   ",Liste(B54:H54),IF(Z55&lt;&gt;"",",",""))</f>
        <v xml:space="preserve">                   (51, 'Hoffmann', 'Stefan', 1, 3, '2012-09-06', '1952-08-14'),</v>
      </c>
      <c r="AB54" s="2" t="str" cm="1">
        <f t="array" aca="1" ref="AB54" ca="1">CONCATENATE("                    ",Liste(J54:P54),IF(AB55&lt;&gt;"",",",""))</f>
        <v xml:space="preserve">                    (51, 1, '14052', 'Berlin', 'Bismarckstraße', '10A/B', 1),</v>
      </c>
      <c r="AD54" s="2" t="str" cm="1">
        <f t="array" aca="1" ref="AD54" ca="1">CONCATENATE("                   ",Liste(R54:V54),IF(AD55&lt;&gt;"",",",""))</f>
        <v xml:space="preserve">                   (51, 1, '030', '85434485', 1),</v>
      </c>
    </row>
    <row r="55" spans="2:30" x14ac:dyDescent="0.45">
      <c r="B55" s="4">
        <f>Grunddaten!A54</f>
        <v>52</v>
      </c>
      <c r="C55" s="4" t="str">
        <f>CONCATENATE("'",Grunddaten!F54,"'")</f>
        <v>'Lang'</v>
      </c>
      <c r="D55" s="4" t="str">
        <f>CONCATENATE("'",Grunddaten!E54,"'")</f>
        <v>'Tanja'</v>
      </c>
      <c r="E55" s="4">
        <f>VLOOKUP(Grunddaten!D54,FormOfAddress,2,TRUE)</f>
        <v>2</v>
      </c>
      <c r="F55" s="4">
        <f>VLOOKUP(Grunddaten!I54,FamilyStatus,2,FALSE)</f>
        <v>3</v>
      </c>
      <c r="G55" s="4" t="str">
        <f>IF(Grunddaten!J54&lt;&gt;"",CONCATENATE("'",TEXT(Grunddaten!J54,"JJJJ-MM-tt"),"'"),"NULL")</f>
        <v>'2008-07-04'</v>
      </c>
      <c r="H55" s="4" t="str">
        <f>CONCATENATE("'",TEXT(Grunddaten!G54,"JJJJ-MM-tt"),"'")</f>
        <v>'1952-09-26'</v>
      </c>
      <c r="J55" s="14">
        <f>Grunddaten!A54</f>
        <v>52</v>
      </c>
      <c r="K55" s="14">
        <f>Grunddaten!Y54</f>
        <v>1</v>
      </c>
      <c r="L55" s="14" t="str">
        <f ca="1">CONCATENATE("'",Grunddaten!Z54,"'")</f>
        <v>'14554'</v>
      </c>
      <c r="M55" s="14" t="str">
        <f>CONCATENATE("'",Grunddaten!AA54,"'")</f>
        <v>'Seddiner See'</v>
      </c>
      <c r="N55" s="14" t="str">
        <f>CONCATENATE("'",Grunddaten!AB54,"'")</f>
        <v>'Quittenweg'</v>
      </c>
      <c r="O55" s="14" t="str">
        <f>CONCATENATE("'",Grunddaten!AC54,"'")</f>
        <v>'20'</v>
      </c>
      <c r="P55" s="14">
        <f>Grunddaten!AD54</f>
        <v>1</v>
      </c>
      <c r="R55" s="13">
        <f>Grunddaten!A54</f>
        <v>52</v>
      </c>
      <c r="S55" s="13">
        <f>Grunddaten!AF54</f>
        <v>1</v>
      </c>
      <c r="T55" s="13" t="str">
        <f>CONCATENATE("'",Grunddaten!AG54,"'")</f>
        <v>'033205'</v>
      </c>
      <c r="U55" s="13" t="str">
        <f ca="1">CONCATENATE("'",Grunddaten!AH54,"'")</f>
        <v>'6620'</v>
      </c>
      <c r="V55" s="13">
        <f>Grunddaten!AI54</f>
        <v>1</v>
      </c>
      <c r="Z55" s="2" t="str" cm="1">
        <f t="array" ref="Z55">CONCATENATE("                   ",Liste(B55:H55),IF(Z56&lt;&gt;"",",",""))</f>
        <v xml:space="preserve">                   (52, 'Lang', 'Tanja', 2, 3, '2008-07-04', '1952-09-26'),</v>
      </c>
      <c r="AB55" s="2" t="str" cm="1">
        <f t="array" aca="1" ref="AB55" ca="1">CONCATENATE("                    ",Liste(J55:P55),IF(AB56&lt;&gt;"",",",""))</f>
        <v xml:space="preserve">                    (52, 1, '14554', 'Seddiner See', 'Quittenweg', '20', 1),</v>
      </c>
      <c r="AD55" s="2" t="str" cm="1">
        <f t="array" aca="1" ref="AD55" ca="1">CONCATENATE("                   ",Liste(R55:V55),IF(AD56&lt;&gt;"",",",""))</f>
        <v xml:space="preserve">                   (52, 1, '033205', '6620', 1),</v>
      </c>
    </row>
    <row r="56" spans="2:30" x14ac:dyDescent="0.45">
      <c r="B56" s="4">
        <f>Grunddaten!A55</f>
        <v>53</v>
      </c>
      <c r="C56" s="4" t="str">
        <f>CONCATENATE("'",Grunddaten!F55,"'")</f>
        <v>'Herrmann'</v>
      </c>
      <c r="D56" s="4" t="str">
        <f>CONCATENATE("'",Grunddaten!E55,"'")</f>
        <v>'Florian'</v>
      </c>
      <c r="E56" s="4">
        <f>VLOOKUP(Grunddaten!D55,FormOfAddress,2,TRUE)</f>
        <v>1</v>
      </c>
      <c r="F56" s="4">
        <f>VLOOKUP(Grunddaten!I55,FamilyStatus,2,FALSE)</f>
        <v>2</v>
      </c>
      <c r="G56" s="4" t="str">
        <f>IF(Grunddaten!J55&lt;&gt;"",CONCATENATE("'",TEXT(Grunddaten!J55,"JJJJ-MM-tt"),"'"),"NULL")</f>
        <v>'1993-07-10'</v>
      </c>
      <c r="H56" s="4" t="str">
        <f>CONCATENATE("'",TEXT(Grunddaten!G55,"JJJJ-MM-tt"),"'")</f>
        <v>'1954-02-17'</v>
      </c>
      <c r="J56" s="14">
        <f>Grunddaten!A55</f>
        <v>53</v>
      </c>
      <c r="K56" s="14">
        <f>Grunddaten!Y55</f>
        <v>1</v>
      </c>
      <c r="L56" s="14" t="str">
        <f ca="1">CONCATENATE("'",Grunddaten!Z55,"'")</f>
        <v>'14542'</v>
      </c>
      <c r="M56" s="14" t="str">
        <f>CONCATENATE("'",Grunddaten!AA55,"'")</f>
        <v>'Werder (Havel)'</v>
      </c>
      <c r="N56" s="14" t="str">
        <f>CONCATENATE("'",Grunddaten!AB55,"'")</f>
        <v>'Tannenweg'</v>
      </c>
      <c r="O56" s="14" t="str">
        <f>CONCATENATE("'",Grunddaten!AC55,"'")</f>
        <v>'4D'</v>
      </c>
      <c r="P56" s="14">
        <f>Grunddaten!AD55</f>
        <v>1</v>
      </c>
      <c r="R56" s="13">
        <f>Grunddaten!A55</f>
        <v>53</v>
      </c>
      <c r="S56" s="13">
        <f>Grunddaten!AF55</f>
        <v>1</v>
      </c>
      <c r="T56" s="13" t="str">
        <f>CONCATENATE("'",Grunddaten!AG55,"'")</f>
        <v>'03327'</v>
      </c>
      <c r="U56" s="13" t="str">
        <f ca="1">CONCATENATE("'",Grunddaten!AH55,"'")</f>
        <v>'78936'</v>
      </c>
      <c r="V56" s="13">
        <f>Grunddaten!AI55</f>
        <v>1</v>
      </c>
      <c r="Z56" s="2" t="str" cm="1">
        <f t="array" ref="Z56">CONCATENATE("                   ",Liste(B56:H56),IF(Z57&lt;&gt;"",",",""))</f>
        <v xml:space="preserve">                   (53, 'Herrmann', 'Florian', 1, 2, '1993-07-10', '1954-02-17'),</v>
      </c>
      <c r="AB56" s="2" t="str" cm="1">
        <f t="array" aca="1" ref="AB56" ca="1">CONCATENATE("                    ",Liste(J56:P56),IF(AB57&lt;&gt;"",",",""))</f>
        <v xml:space="preserve">                    (53, 1, '14542', 'Werder (Havel)', 'Tannenweg', '4D', 1),</v>
      </c>
      <c r="AD56" s="2" t="str" cm="1">
        <f t="array" aca="1" ref="AD56" ca="1">CONCATENATE("                   ",Liste(R56:V56),IF(AD57&lt;&gt;"",",",""))</f>
        <v xml:space="preserve">                   (53, 1, '03327', '78936', 1),</v>
      </c>
    </row>
    <row r="57" spans="2:30" x14ac:dyDescent="0.45">
      <c r="B57" s="4">
        <f>Grunddaten!A56</f>
        <v>54</v>
      </c>
      <c r="C57" s="4" t="str">
        <f>CONCATENATE("'",Grunddaten!F56,"'")</f>
        <v>'Wagner'</v>
      </c>
      <c r="D57" s="4" t="str">
        <f>CONCATENATE("'",Grunddaten!E56,"'")</f>
        <v>'Lena'</v>
      </c>
      <c r="E57" s="4">
        <f>VLOOKUP(Grunddaten!D56,FormOfAddress,2,TRUE)</f>
        <v>2</v>
      </c>
      <c r="F57" s="4">
        <f>VLOOKUP(Grunddaten!I56,FamilyStatus,2,FALSE)</f>
        <v>2</v>
      </c>
      <c r="G57" s="4" t="str">
        <f>IF(Grunddaten!J56&lt;&gt;"",CONCATENATE("'",TEXT(Grunddaten!J56,"JJJJ-MM-tt"),"'"),"NULL")</f>
        <v>'2015-09-06'</v>
      </c>
      <c r="H57" s="4" t="str">
        <f>CONCATENATE("'",TEXT(Grunddaten!G56,"JJJJ-MM-tt"),"'")</f>
        <v>'1987-07-15'</v>
      </c>
      <c r="J57" s="14">
        <f>Grunddaten!A56</f>
        <v>54</v>
      </c>
      <c r="K57" s="14">
        <f>Grunddaten!Y56</f>
        <v>1</v>
      </c>
      <c r="L57" s="14" t="str">
        <f ca="1">CONCATENATE("'",Grunddaten!Z56,"'")</f>
        <v>'14547'</v>
      </c>
      <c r="M57" s="14" t="str">
        <f>CONCATENATE("'",Grunddaten!AA56,"'")</f>
        <v>'Klosterdorf'</v>
      </c>
      <c r="N57" s="14" t="str">
        <f>CONCATENATE("'",Grunddaten!AB56,"'")</f>
        <v>'Mozartgasse'</v>
      </c>
      <c r="O57" s="14" t="str">
        <f>CONCATENATE("'",Grunddaten!AC56,"'")</f>
        <v>'25'</v>
      </c>
      <c r="P57" s="14">
        <f>Grunddaten!AD56</f>
        <v>1</v>
      </c>
      <c r="R57" s="13">
        <f>Grunddaten!A56</f>
        <v>54</v>
      </c>
      <c r="S57" s="13">
        <f>Grunddaten!AF56</f>
        <v>1</v>
      </c>
      <c r="T57" s="13" t="str">
        <f>CONCATENATE("'",Grunddaten!AG56,"'")</f>
        <v>'033206'</v>
      </c>
      <c r="U57" s="13" t="str">
        <f ca="1">CONCATENATE("'",Grunddaten!AH56,"'")</f>
        <v>'7520'</v>
      </c>
      <c r="V57" s="13">
        <f>Grunddaten!AI56</f>
        <v>1</v>
      </c>
      <c r="Z57" s="2" t="str" cm="1">
        <f t="array" ref="Z57">CONCATENATE("                   ",Liste(B57:H57),IF(Z58&lt;&gt;"",",",""))</f>
        <v xml:space="preserve">                   (54, 'Wagner', 'Lena', 2, 2, '2015-09-06', '1987-07-15'),</v>
      </c>
      <c r="AB57" s="2" t="str" cm="1">
        <f t="array" aca="1" ref="AB57" ca="1">CONCATENATE("                    ",Liste(J57:P57),IF(AB58&lt;&gt;"",",",""))</f>
        <v xml:space="preserve">                    (54, 1, '14547', 'Klosterdorf', 'Mozartgasse', '25', 1),</v>
      </c>
      <c r="AD57" s="2" t="str" cm="1">
        <f t="array" aca="1" ref="AD57" ca="1">CONCATENATE("                   ",Liste(R57:V57),IF(AD58&lt;&gt;"",",",""))</f>
        <v xml:space="preserve">                   (54, 1, '033206', '7520', 1),</v>
      </c>
    </row>
    <row r="58" spans="2:30" x14ac:dyDescent="0.45">
      <c r="B58" s="4">
        <f>Grunddaten!A57</f>
        <v>55</v>
      </c>
      <c r="C58" s="4" t="str">
        <f>CONCATENATE("'",Grunddaten!F57,"'")</f>
        <v>'Keller'</v>
      </c>
      <c r="D58" s="4" t="str">
        <f>CONCATENATE("'",Grunddaten!E57,"'")</f>
        <v>'David'</v>
      </c>
      <c r="E58" s="4">
        <f>VLOOKUP(Grunddaten!D57,FormOfAddress,2,TRUE)</f>
        <v>1</v>
      </c>
      <c r="F58" s="4">
        <f>VLOOKUP(Grunddaten!I57,FamilyStatus,2,FALSE)</f>
        <v>2</v>
      </c>
      <c r="G58" s="4" t="str">
        <f>IF(Grunddaten!J57&lt;&gt;"",CONCATENATE("'",TEXT(Grunddaten!J57,"JJJJ-MM-tt"),"'"),"NULL")</f>
        <v>'2001-04-22'</v>
      </c>
      <c r="H58" s="4" t="str">
        <f>CONCATENATE("'",TEXT(Grunddaten!G57,"JJJJ-MM-tt"),"'")</f>
        <v>'1962-05-21'</v>
      </c>
      <c r="J58" s="14">
        <f>Grunddaten!A57</f>
        <v>55</v>
      </c>
      <c r="K58" s="14">
        <f>Grunddaten!Y57</f>
        <v>1</v>
      </c>
      <c r="L58" s="14" t="str">
        <f ca="1">CONCATENATE("'",Grunddaten!Z57,"'")</f>
        <v>'14542'</v>
      </c>
      <c r="M58" s="14" t="str">
        <f>CONCATENATE("'",Grunddaten!AA57,"'")</f>
        <v>'Werder (Havel)'</v>
      </c>
      <c r="N58" s="14" t="str">
        <f>CONCATENATE("'",Grunddaten!AB57,"'")</f>
        <v>'Bachgasse'</v>
      </c>
      <c r="O58" s="14" t="str">
        <f>CONCATENATE("'",Grunddaten!AC57,"'")</f>
        <v>'5'</v>
      </c>
      <c r="P58" s="14">
        <f>Grunddaten!AD57</f>
        <v>1</v>
      </c>
      <c r="R58" s="13">
        <f>Grunddaten!A57</f>
        <v>55</v>
      </c>
      <c r="S58" s="13">
        <f>Grunddaten!AF57</f>
        <v>1</v>
      </c>
      <c r="T58" s="13" t="str">
        <f>CONCATENATE("'",Grunddaten!AG57,"'")</f>
        <v>'03327'</v>
      </c>
      <c r="U58" s="13" t="str">
        <f ca="1">CONCATENATE("'",Grunddaten!AH57,"'")</f>
        <v>'73615'</v>
      </c>
      <c r="V58" s="13">
        <f>Grunddaten!AI57</f>
        <v>1</v>
      </c>
      <c r="Z58" s="2" t="str" cm="1">
        <f t="array" ref="Z58">CONCATENATE("                   ",Liste(B58:H58),IF(Z59&lt;&gt;"",",",""))</f>
        <v xml:space="preserve">                   (55, 'Keller', 'David', 1, 2, '2001-04-22', '1962-05-21'),</v>
      </c>
      <c r="AB58" s="2" t="str" cm="1">
        <f t="array" aca="1" ref="AB58" ca="1">CONCATENATE("                    ",Liste(J58:P58),IF(AB59&lt;&gt;"",",",""))</f>
        <v xml:space="preserve">                    (55, 1, '14542', 'Werder (Havel)', 'Bachgasse', '5', 1),</v>
      </c>
      <c r="AD58" s="2" t="str" cm="1">
        <f t="array" aca="1" ref="AD58" ca="1">CONCATENATE("                   ",Liste(R58:V58),IF(AD59&lt;&gt;"",",",""))</f>
        <v xml:space="preserve">                   (55, 1, '03327', '73615', 1),</v>
      </c>
    </row>
    <row r="59" spans="2:30" x14ac:dyDescent="0.45">
      <c r="B59" s="4">
        <f>Grunddaten!A58</f>
        <v>56</v>
      </c>
      <c r="C59" s="4" t="str">
        <f>CONCATENATE("'",Grunddaten!F58,"'")</f>
        <v>'Müller'</v>
      </c>
      <c r="D59" s="4" t="str">
        <f>CONCATENATE("'",Grunddaten!E58,"'")</f>
        <v>'Nicole'</v>
      </c>
      <c r="E59" s="4">
        <f>VLOOKUP(Grunddaten!D58,FormOfAddress,2,TRUE)</f>
        <v>2</v>
      </c>
      <c r="F59" s="4">
        <f>VLOOKUP(Grunddaten!I58,FamilyStatus,2,FALSE)</f>
        <v>2</v>
      </c>
      <c r="G59" s="4" t="str">
        <f>IF(Grunddaten!J58&lt;&gt;"",CONCATENATE("'",TEXT(Grunddaten!J58,"JJJJ-MM-tt"),"'"),"NULL")</f>
        <v>'1982-05-05'</v>
      </c>
      <c r="H59" s="4" t="str">
        <f>CONCATENATE("'",TEXT(Grunddaten!G58,"JJJJ-MM-tt"),"'")</f>
        <v>'1951-02-12'</v>
      </c>
      <c r="J59" s="14">
        <f>Grunddaten!A58</f>
        <v>56</v>
      </c>
      <c r="K59" s="14">
        <f>Grunddaten!Y58</f>
        <v>1</v>
      </c>
      <c r="L59" s="14" t="str">
        <f ca="1">CONCATENATE("'",Grunddaten!Z58,"'")</f>
        <v>'14542'</v>
      </c>
      <c r="M59" s="14" t="str">
        <f>CONCATENATE("'",Grunddaten!AA58,"'")</f>
        <v>'Werder (Havel)'</v>
      </c>
      <c r="N59" s="14" t="str">
        <f>CONCATENATE("'",Grunddaten!AB58,"'")</f>
        <v>'Martin-Luther-Straße'</v>
      </c>
      <c r="O59" s="14" t="str">
        <f>CONCATENATE("'",Grunddaten!AC58,"'")</f>
        <v>'72B'</v>
      </c>
      <c r="P59" s="14">
        <f>Grunddaten!AD58</f>
        <v>1</v>
      </c>
      <c r="R59" s="13">
        <f>Grunddaten!A58</f>
        <v>56</v>
      </c>
      <c r="S59" s="13">
        <f>Grunddaten!AF58</f>
        <v>1</v>
      </c>
      <c r="T59" s="13" t="str">
        <f>CONCATENATE("'",Grunddaten!AG58,"'")</f>
        <v>'03327'</v>
      </c>
      <c r="U59" s="13" t="str">
        <f ca="1">CONCATENATE("'",Grunddaten!AH58,"'")</f>
        <v>'72020'</v>
      </c>
      <c r="V59" s="13">
        <f>Grunddaten!AI58</f>
        <v>1</v>
      </c>
      <c r="Z59" s="2" t="str" cm="1">
        <f t="array" ref="Z59">CONCATENATE("                   ",Liste(B59:H59),IF(Z60&lt;&gt;"",",",""))</f>
        <v xml:space="preserve">                   (56, 'Müller', 'Nicole', 2, 2, '1982-05-05', '1951-02-12'),</v>
      </c>
      <c r="AB59" s="2" t="str" cm="1">
        <f t="array" aca="1" ref="AB59" ca="1">CONCATENATE("                    ",Liste(J59:P59),IF(AB60&lt;&gt;"",",",""))</f>
        <v xml:space="preserve">                    (56, 1, '14542', 'Werder (Havel)', 'Martin-Luther-Straße', '72B', 1),</v>
      </c>
      <c r="AD59" s="2" t="str" cm="1">
        <f t="array" aca="1" ref="AD59" ca="1">CONCATENATE("                   ",Liste(R59:V59),IF(AD60&lt;&gt;"",",",""))</f>
        <v xml:space="preserve">                   (56, 1, '03327', '72020', 1),</v>
      </c>
    </row>
    <row r="60" spans="2:30" x14ac:dyDescent="0.45">
      <c r="B60" s="4">
        <f>Grunddaten!A59</f>
        <v>57</v>
      </c>
      <c r="C60" s="4" t="str">
        <f>CONCATENATE("'",Grunddaten!F59,"'")</f>
        <v>'Schmidt'</v>
      </c>
      <c r="D60" s="4" t="str">
        <f>CONCATENATE("'",Grunddaten!E59,"'")</f>
        <v>'Alexander'</v>
      </c>
      <c r="E60" s="4">
        <f>VLOOKUP(Grunddaten!D59,FormOfAddress,2,TRUE)</f>
        <v>1</v>
      </c>
      <c r="F60" s="4">
        <f>VLOOKUP(Grunddaten!I59,FamilyStatus,2,FALSE)</f>
        <v>2</v>
      </c>
      <c r="G60" s="4" t="str">
        <f>IF(Grunddaten!J59&lt;&gt;"",CONCATENATE("'",TEXT(Grunddaten!J59,"JJJJ-MM-tt"),"'"),"NULL")</f>
        <v>'1988-08-21'</v>
      </c>
      <c r="H60" s="4" t="str">
        <f>CONCATENATE("'",TEXT(Grunddaten!G59,"JJJJ-MM-tt"),"'")</f>
        <v>'1955-10-17'</v>
      </c>
      <c r="J60" s="14">
        <f>Grunddaten!A59</f>
        <v>57</v>
      </c>
      <c r="K60" s="14">
        <f>Grunddaten!Y59</f>
        <v>1</v>
      </c>
      <c r="L60" s="14" t="str">
        <f ca="1">CONCATENATE("'",Grunddaten!Z59,"'")</f>
        <v>'14621'</v>
      </c>
      <c r="M60" s="14" t="str">
        <f>CONCATENATE("'",Grunddaten!AA59,"'")</f>
        <v>'Paaren im Glien'</v>
      </c>
      <c r="N60" s="14" t="str">
        <f>CONCATENATE("'",Grunddaten!AB59,"'")</f>
        <v>'Gartenstraße'</v>
      </c>
      <c r="O60" s="14" t="str">
        <f>CONCATENATE("'",Grunddaten!AC59,"'")</f>
        <v>'47F'</v>
      </c>
      <c r="P60" s="14">
        <f>Grunddaten!AD59</f>
        <v>1</v>
      </c>
      <c r="R60" s="13">
        <f>Grunddaten!A59</f>
        <v>57</v>
      </c>
      <c r="S60" s="13">
        <f>Grunddaten!AF59</f>
        <v>1</v>
      </c>
      <c r="T60" s="13" t="str">
        <f>CONCATENATE("'",Grunddaten!AG59,"'")</f>
        <v>'033230'</v>
      </c>
      <c r="U60" s="13" t="str">
        <f ca="1">CONCATENATE("'",Grunddaten!AH59,"'")</f>
        <v>'6691'</v>
      </c>
      <c r="V60" s="13">
        <f>Grunddaten!AI59</f>
        <v>1</v>
      </c>
      <c r="Z60" s="2" t="str" cm="1">
        <f t="array" ref="Z60">CONCATENATE("                   ",Liste(B60:H60),IF(Z61&lt;&gt;"",",",""))</f>
        <v xml:space="preserve">                   (57, 'Schmidt', 'Alexander', 1, 2, '1988-08-21', '1955-10-17'),</v>
      </c>
      <c r="AB60" s="2" t="str" cm="1">
        <f t="array" aca="1" ref="AB60" ca="1">CONCATENATE("                    ",Liste(J60:P60),IF(AB61&lt;&gt;"",",",""))</f>
        <v xml:space="preserve">                    (57, 1, '14621', 'Paaren im Glien', 'Gartenstraße', '47F', 1),</v>
      </c>
      <c r="AD60" s="2" t="str" cm="1">
        <f t="array" aca="1" ref="AD60" ca="1">CONCATENATE("                   ",Liste(R60:V60),IF(AD61&lt;&gt;"",",",""))</f>
        <v xml:space="preserve">                   (57, 1, '033230', '6691', 1),</v>
      </c>
    </row>
    <row r="61" spans="2:30" x14ac:dyDescent="0.45">
      <c r="B61" s="4">
        <f>Grunddaten!A60</f>
        <v>58</v>
      </c>
      <c r="C61" s="4" t="str">
        <f>CONCATENATE("'",Grunddaten!F60,"'")</f>
        <v>'Becker'</v>
      </c>
      <c r="D61" s="4" t="str">
        <f>CONCATENATE("'",Grunddaten!E60,"'")</f>
        <v>'Sophia'</v>
      </c>
      <c r="E61" s="4">
        <f>VLOOKUP(Grunddaten!D60,FormOfAddress,2,TRUE)</f>
        <v>2</v>
      </c>
      <c r="F61" s="4">
        <f>VLOOKUP(Grunddaten!I60,FamilyStatus,2,FALSE)</f>
        <v>2</v>
      </c>
      <c r="G61" s="4" t="str">
        <f>IF(Grunddaten!J60&lt;&gt;"",CONCATENATE("'",TEXT(Grunddaten!J60,"JJJJ-MM-tt"),"'"),"NULL")</f>
        <v>'2024-11-12'</v>
      </c>
      <c r="H61" s="4" t="str">
        <f>CONCATENATE("'",TEXT(Grunddaten!G60,"JJJJ-MM-tt"),"'")</f>
        <v>'1991-11-02'</v>
      </c>
      <c r="J61" s="14">
        <f>Grunddaten!A60</f>
        <v>58</v>
      </c>
      <c r="K61" s="14">
        <f>Grunddaten!Y60</f>
        <v>1</v>
      </c>
      <c r="L61" s="14" t="str">
        <f ca="1">CONCATENATE("'",Grunddaten!Z60,"'")</f>
        <v>'14822'</v>
      </c>
      <c r="M61" s="14" t="str">
        <f>CONCATENATE("'",Grunddaten!AA60,"'")</f>
        <v>'Brück'</v>
      </c>
      <c r="N61" s="14" t="str">
        <f>CONCATENATE("'",Grunddaten!AB60,"'")</f>
        <v>'Kurt-Tucholsky-Straße'</v>
      </c>
      <c r="O61" s="14" t="str">
        <f>CONCATENATE("'",Grunddaten!AC60,"'")</f>
        <v>'1'</v>
      </c>
      <c r="P61" s="14">
        <f>Grunddaten!AD60</f>
        <v>1</v>
      </c>
      <c r="R61" s="13">
        <f>Grunddaten!A60</f>
        <v>58</v>
      </c>
      <c r="S61" s="13">
        <f>Grunddaten!AF60</f>
        <v>1</v>
      </c>
      <c r="T61" s="13" t="str">
        <f>CONCATENATE("'",Grunddaten!AG60,"'")</f>
        <v>'033844'</v>
      </c>
      <c r="U61" s="13" t="str">
        <f ca="1">CONCATENATE("'",Grunddaten!AH60,"'")</f>
        <v>'7537'</v>
      </c>
      <c r="V61" s="13">
        <f>Grunddaten!AI60</f>
        <v>1</v>
      </c>
      <c r="Z61" s="2" t="str" cm="1">
        <f t="array" ref="Z61">CONCATENATE("                   ",Liste(B61:H61),IF(Z62&lt;&gt;"",",",""))</f>
        <v xml:space="preserve">                   (58, 'Becker', 'Sophia', 2, 2, '2024-11-12', '1991-11-02'),</v>
      </c>
      <c r="AB61" s="2" t="str" cm="1">
        <f t="array" aca="1" ref="AB61" ca="1">CONCATENATE("                    ",Liste(J61:P61),IF(AB62&lt;&gt;"",",",""))</f>
        <v xml:space="preserve">                    (58, 1, '14822', 'Brück', 'Kurt-Tucholsky-Straße', '1', 1),</v>
      </c>
      <c r="AD61" s="2" t="str" cm="1">
        <f t="array" aca="1" ref="AD61" ca="1">CONCATENATE("                   ",Liste(R61:V61),IF(AD62&lt;&gt;"",",",""))</f>
        <v xml:space="preserve">                   (58, 1, '033844', '7537', 1),</v>
      </c>
    </row>
    <row r="62" spans="2:30" x14ac:dyDescent="0.45">
      <c r="B62" s="4">
        <f>Grunddaten!A61</f>
        <v>59</v>
      </c>
      <c r="C62" s="4" t="str">
        <f>CONCATENATE("'",Grunddaten!F61,"'")</f>
        <v>'Richter'</v>
      </c>
      <c r="D62" s="4" t="str">
        <f>CONCATENATE("'",Grunddaten!E61,"'")</f>
        <v>'Fabian'</v>
      </c>
      <c r="E62" s="4">
        <f>VLOOKUP(Grunddaten!D61,FormOfAddress,2,TRUE)</f>
        <v>1</v>
      </c>
      <c r="F62" s="4">
        <f>VLOOKUP(Grunddaten!I61,FamilyStatus,2,FALSE)</f>
        <v>1</v>
      </c>
      <c r="G62" s="4" t="str">
        <f>IF(Grunddaten!J61&lt;&gt;"",CONCATENATE("'",TEXT(Grunddaten!J61,"JJJJ-MM-tt"),"'"),"NULL")</f>
        <v>NULL</v>
      </c>
      <c r="H62" s="4" t="str">
        <f>CONCATENATE("'",TEXT(Grunddaten!G61,"JJJJ-MM-tt"),"'")</f>
        <v>'2004-10-27'</v>
      </c>
      <c r="J62" s="14">
        <f>Grunddaten!A61</f>
        <v>59</v>
      </c>
      <c r="K62" s="14">
        <f>Grunddaten!Y61</f>
        <v>1</v>
      </c>
      <c r="L62" s="14" t="str">
        <f ca="1">CONCATENATE("'",Grunddaten!Z61,"'")</f>
        <v>'14624'</v>
      </c>
      <c r="M62" s="14" t="str">
        <f>CONCATENATE("'",Grunddaten!AA61,"'")</f>
        <v>'Dallgow'</v>
      </c>
      <c r="N62" s="14" t="str">
        <f>CONCATENATE("'",Grunddaten!AB61,"'")</f>
        <v>'Richard-Wagner-Straße'</v>
      </c>
      <c r="O62" s="14" t="str">
        <f>CONCATENATE("'",Grunddaten!AC61,"'")</f>
        <v>'12'</v>
      </c>
      <c r="P62" s="14">
        <f>Grunddaten!AD61</f>
        <v>1</v>
      </c>
      <c r="R62" s="13">
        <f>Grunddaten!A61</f>
        <v>59</v>
      </c>
      <c r="S62" s="13">
        <f>Grunddaten!AF61</f>
        <v>1</v>
      </c>
      <c r="T62" s="13" t="str">
        <f>CONCATENATE("'",Grunddaten!AG61,"'")</f>
        <v>'03322'</v>
      </c>
      <c r="U62" s="13" t="str">
        <f ca="1">CONCATENATE("'",Grunddaten!AH61,"'")</f>
        <v>'81498'</v>
      </c>
      <c r="V62" s="13">
        <f>Grunddaten!AI61</f>
        <v>1</v>
      </c>
      <c r="Z62" s="2" t="str" cm="1">
        <f t="array" ref="Z62">CONCATENATE("                   ",Liste(B62:H62),IF(Z63&lt;&gt;"",",",""))</f>
        <v xml:space="preserve">                   (59, 'Richter', 'Fabian', 1, 1, NULL, '2004-10-27'),</v>
      </c>
      <c r="AB62" s="2" t="str" cm="1">
        <f t="array" aca="1" ref="AB62" ca="1">CONCATENATE("                    ",Liste(J62:P62),IF(AB63&lt;&gt;"",",",""))</f>
        <v xml:space="preserve">                    (59, 1, '14624', 'Dallgow', 'Richard-Wagner-Straße', '12', 1),</v>
      </c>
      <c r="AD62" s="2" t="str" cm="1">
        <f t="array" aca="1" ref="AD62" ca="1">CONCATENATE("                   ",Liste(R62:V62),IF(AD63&lt;&gt;"",",",""))</f>
        <v xml:space="preserve">                   (59, 1, '03322', '81498', 1),</v>
      </c>
    </row>
    <row r="63" spans="2:30" x14ac:dyDescent="0.45">
      <c r="B63" s="4">
        <f>Grunddaten!A62</f>
        <v>60</v>
      </c>
      <c r="C63" s="4" t="str">
        <f>CONCATENATE("'",Grunddaten!F62,"'")</f>
        <v>'Schneider'</v>
      </c>
      <c r="D63" s="4" t="str">
        <f>CONCATENATE("'",Grunddaten!E62,"'")</f>
        <v>'Mia'</v>
      </c>
      <c r="E63" s="4">
        <f>VLOOKUP(Grunddaten!D62,FormOfAddress,2,TRUE)</f>
        <v>2</v>
      </c>
      <c r="F63" s="4">
        <f>VLOOKUP(Grunddaten!I62,FamilyStatus,2,FALSE)</f>
        <v>2</v>
      </c>
      <c r="G63" s="4" t="str">
        <f>IF(Grunddaten!J62&lt;&gt;"",CONCATENATE("'",TEXT(Grunddaten!J62,"JJJJ-MM-tt"),"'"),"NULL")</f>
        <v>'1984-03-19'</v>
      </c>
      <c r="H63" s="4" t="str">
        <f>CONCATENATE("'",TEXT(Grunddaten!G62,"JJJJ-MM-tt"),"'")</f>
        <v>'1953-12-06'</v>
      </c>
      <c r="J63" s="14">
        <f>Grunddaten!A62</f>
        <v>60</v>
      </c>
      <c r="K63" s="14">
        <f>Grunddaten!Y62</f>
        <v>1</v>
      </c>
      <c r="L63" s="14" t="str">
        <f ca="1">CONCATENATE("'",Grunddaten!Z62,"'")</f>
        <v>'14641'</v>
      </c>
      <c r="M63" s="14" t="str">
        <f>CONCATENATE("'",Grunddaten!AA62,"'")</f>
        <v>'Wustermark'</v>
      </c>
      <c r="N63" s="14" t="str">
        <f>CONCATENATE("'",Grunddaten!AB62,"'")</f>
        <v>'Athenstraße'</v>
      </c>
      <c r="O63" s="14" t="str">
        <f>CONCATENATE("'",Grunddaten!AC62,"'")</f>
        <v>'79'</v>
      </c>
      <c r="P63" s="14">
        <f>Grunddaten!AD62</f>
        <v>1</v>
      </c>
      <c r="R63" s="13">
        <f>Grunddaten!A62</f>
        <v>60</v>
      </c>
      <c r="S63" s="13">
        <f>Grunddaten!AF62</f>
        <v>1</v>
      </c>
      <c r="T63" s="13" t="str">
        <f>CONCATENATE("'",Grunddaten!AG62,"'")</f>
        <v>'033234'</v>
      </c>
      <c r="U63" s="13" t="str">
        <f ca="1">CONCATENATE("'",Grunddaten!AH62,"'")</f>
        <v>'6652'</v>
      </c>
      <c r="V63" s="13">
        <f>Grunddaten!AI62</f>
        <v>1</v>
      </c>
      <c r="Z63" s="2" t="str" cm="1">
        <f t="array" ref="Z63">CONCATENATE("                   ",Liste(B63:H63),IF(Z64&lt;&gt;"",",",""))</f>
        <v xml:space="preserve">                   (60, 'Schneider', 'Mia', 2, 2, '1984-03-19', '1953-12-06'),</v>
      </c>
      <c r="AB63" s="2" t="str" cm="1">
        <f t="array" aca="1" ref="AB63" ca="1">CONCATENATE("                    ",Liste(J63:P63),IF(AB64&lt;&gt;"",",",""))</f>
        <v xml:space="preserve">                    (60, 1, '14641', 'Wustermark', 'Athenstraße', '79', 1),</v>
      </c>
      <c r="AD63" s="2" t="str" cm="1">
        <f t="array" aca="1" ref="AD63" ca="1">CONCATENATE("                   ",Liste(R63:V63),IF(AD64&lt;&gt;"",",",""))</f>
        <v xml:space="preserve">                   (60, 1, '033234', '6652', 1),</v>
      </c>
    </row>
    <row r="64" spans="2:30" x14ac:dyDescent="0.45">
      <c r="B64" s="4">
        <f>Grunddaten!A63</f>
        <v>61</v>
      </c>
      <c r="C64" s="4" t="str">
        <f>CONCATENATE("'",Grunddaten!F63,"'")</f>
        <v>'Müller'</v>
      </c>
      <c r="D64" s="4" t="str">
        <f>CONCATENATE("'",Grunddaten!E63,"'")</f>
        <v>'Leo'</v>
      </c>
      <c r="E64" s="4">
        <f>VLOOKUP(Grunddaten!D63,FormOfAddress,2,TRUE)</f>
        <v>1</v>
      </c>
      <c r="F64" s="4">
        <f>VLOOKUP(Grunddaten!I63,FamilyStatus,2,FALSE)</f>
        <v>2</v>
      </c>
      <c r="G64" s="4" t="str">
        <f>IF(Grunddaten!J63&lt;&gt;"",CONCATENATE("'",TEXT(Grunddaten!J63,"JJJJ-MM-tt"),"'"),"NULL")</f>
        <v>'2011-11-26'</v>
      </c>
      <c r="H64" s="4" t="str">
        <f>CONCATENATE("'",TEXT(Grunddaten!G63,"JJJJ-MM-tt"),"'")</f>
        <v>'1977-10-25'</v>
      </c>
      <c r="J64" s="14">
        <f>Grunddaten!A63</f>
        <v>61</v>
      </c>
      <c r="K64" s="14">
        <f>Grunddaten!Y63</f>
        <v>1</v>
      </c>
      <c r="L64" s="14" t="str">
        <f ca="1">CONCATENATE("'",Grunddaten!Z63,"'")</f>
        <v>'14050'</v>
      </c>
      <c r="M64" s="14" t="str">
        <f>CONCATENATE("'",Grunddaten!AA63,"'")</f>
        <v>'Berlin'</v>
      </c>
      <c r="N64" s="14" t="str">
        <f>CONCATENATE("'",Grunddaten!AB63,"'")</f>
        <v>'Austinstraße'</v>
      </c>
      <c r="O64" s="14" t="str">
        <f>CONCATENATE("'",Grunddaten!AC63,"'")</f>
        <v>'29D/E'</v>
      </c>
      <c r="P64" s="14">
        <f>Grunddaten!AD63</f>
        <v>1</v>
      </c>
      <c r="R64" s="13">
        <f>Grunddaten!A63</f>
        <v>61</v>
      </c>
      <c r="S64" s="13">
        <f>Grunddaten!AF63</f>
        <v>1</v>
      </c>
      <c r="T64" s="13" t="str">
        <f>CONCATENATE("'",Grunddaten!AG63,"'")</f>
        <v>'030'</v>
      </c>
      <c r="U64" s="13" t="str">
        <f ca="1">CONCATENATE("'",Grunddaten!AH63,"'")</f>
        <v>'78757411'</v>
      </c>
      <c r="V64" s="13">
        <f>Grunddaten!AI63</f>
        <v>1</v>
      </c>
      <c r="Z64" s="2" t="str" cm="1">
        <f t="array" ref="Z64">CONCATENATE("                   ",Liste(B64:H64),IF(Z65&lt;&gt;"",",",""))</f>
        <v xml:space="preserve">                   (61, 'Müller', 'Leo', 1, 2, '2011-11-26', '1977-10-25'),</v>
      </c>
      <c r="AB64" s="2" t="str" cm="1">
        <f t="array" aca="1" ref="AB64" ca="1">CONCATENATE("                    ",Liste(J64:P64),IF(AB65&lt;&gt;"",",",""))</f>
        <v xml:space="preserve">                    (61, 1, '14050', 'Berlin', 'Austinstraße', '29D/E', 1),</v>
      </c>
      <c r="AD64" s="2" t="str" cm="1">
        <f t="array" aca="1" ref="AD64" ca="1">CONCATENATE("                   ",Liste(R64:V64),IF(AD65&lt;&gt;"",",",""))</f>
        <v xml:space="preserve">                   (61, 1, '030', '78757411', 1),</v>
      </c>
    </row>
    <row r="65" spans="2:30" x14ac:dyDescent="0.45">
      <c r="B65" s="4">
        <f>Grunddaten!A64</f>
        <v>62</v>
      </c>
      <c r="C65" s="4" t="str">
        <f>CONCATENATE("'",Grunddaten!F64,"'")</f>
        <v>'Weber'</v>
      </c>
      <c r="D65" s="4" t="str">
        <f>CONCATENATE("'",Grunddaten!E64,"'")</f>
        <v>'Emilia'</v>
      </c>
      <c r="E65" s="4">
        <f>VLOOKUP(Grunddaten!D64,FormOfAddress,2,TRUE)</f>
        <v>2</v>
      </c>
      <c r="F65" s="4">
        <f>VLOOKUP(Grunddaten!I64,FamilyStatus,2,FALSE)</f>
        <v>1</v>
      </c>
      <c r="G65" s="4" t="str">
        <f>IF(Grunddaten!J64&lt;&gt;"",CONCATENATE("'",TEXT(Grunddaten!J64,"JJJJ-MM-tt"),"'"),"NULL")</f>
        <v>NULL</v>
      </c>
      <c r="H65" s="4" t="str">
        <f>CONCATENATE("'",TEXT(Grunddaten!G64,"JJJJ-MM-tt"),"'")</f>
        <v>'1999-11-17'</v>
      </c>
      <c r="J65" s="14">
        <f>Grunddaten!A64</f>
        <v>62</v>
      </c>
      <c r="K65" s="14">
        <f>Grunddaten!Y64</f>
        <v>1</v>
      </c>
      <c r="L65" s="14" t="str">
        <f ca="1">CONCATENATE("'",Grunddaten!Z64,"'")</f>
        <v>'10115'</v>
      </c>
      <c r="M65" s="14" t="str">
        <f>CONCATENATE("'",Grunddaten!AA64,"'")</f>
        <v>'Berlin'</v>
      </c>
      <c r="N65" s="14" t="str">
        <f>CONCATENATE("'",Grunddaten!AB64,"'")</f>
        <v>'Cleveland-Allee'</v>
      </c>
      <c r="O65" s="14" t="str">
        <f>CONCATENATE("'",Grunddaten!AC64,"'")</f>
        <v>'44F/G'</v>
      </c>
      <c r="P65" s="14">
        <f>Grunddaten!AD64</f>
        <v>1</v>
      </c>
      <c r="R65" s="13">
        <f>Grunddaten!A64</f>
        <v>62</v>
      </c>
      <c r="S65" s="13">
        <f>Grunddaten!AF64</f>
        <v>1</v>
      </c>
      <c r="T65" s="13" t="str">
        <f>CONCATENATE("'",Grunddaten!AG64,"'")</f>
        <v>'030'</v>
      </c>
      <c r="U65" s="13" t="str">
        <f ca="1">CONCATENATE("'",Grunddaten!AH64,"'")</f>
        <v>'83969382'</v>
      </c>
      <c r="V65" s="13">
        <f>Grunddaten!AI64</f>
        <v>1</v>
      </c>
      <c r="Z65" s="2" t="str" cm="1">
        <f t="array" ref="Z65">CONCATENATE("                   ",Liste(B65:H65),IF(Z66&lt;&gt;"",",",""))</f>
        <v xml:space="preserve">                   (62, 'Weber', 'Emilia', 2, 1, NULL, '1999-11-17'),</v>
      </c>
      <c r="AB65" s="2" t="str" cm="1">
        <f t="array" aca="1" ref="AB65" ca="1">CONCATENATE("                    ",Liste(J65:P65),IF(AB66&lt;&gt;"",",",""))</f>
        <v xml:space="preserve">                    (62, 1, '10115', 'Berlin', 'Cleveland-Allee', '44F/G', 1),</v>
      </c>
      <c r="AD65" s="2" t="str" cm="1">
        <f t="array" aca="1" ref="AD65" ca="1">CONCATENATE("                   ",Liste(R65:V65),IF(AD66&lt;&gt;"",",",""))</f>
        <v xml:space="preserve">                   (62, 1, '030', '83969382', 1),</v>
      </c>
    </row>
    <row r="66" spans="2:30" x14ac:dyDescent="0.45">
      <c r="B66" s="4">
        <f>Grunddaten!A65</f>
        <v>63</v>
      </c>
      <c r="C66" s="4" t="str">
        <f>CONCATENATE("'",Grunddaten!F65,"'")</f>
        <v>'Wagner'</v>
      </c>
      <c r="D66" s="4" t="str">
        <f>CONCATENATE("'",Grunddaten!E65,"'")</f>
        <v>'Maximilian'</v>
      </c>
      <c r="E66" s="4">
        <f>VLOOKUP(Grunddaten!D65,FormOfAddress,2,TRUE)</f>
        <v>1</v>
      </c>
      <c r="F66" s="4">
        <f>VLOOKUP(Grunddaten!I65,FamilyStatus,2,FALSE)</f>
        <v>2</v>
      </c>
      <c r="G66" s="4" t="str">
        <f>IF(Grunddaten!J65&lt;&gt;"",CONCATENATE("'",TEXT(Grunddaten!J65,"JJJJ-MM-tt"),"'"),"NULL")</f>
        <v>'2004-05-25'</v>
      </c>
      <c r="H66" s="4" t="str">
        <f>CONCATENATE("'",TEXT(Grunddaten!G65,"JJJJ-MM-tt"),"'")</f>
        <v>'1975-08-17'</v>
      </c>
      <c r="J66" s="14">
        <f>Grunddaten!A65</f>
        <v>63</v>
      </c>
      <c r="K66" s="14">
        <f>Grunddaten!Y65</f>
        <v>1</v>
      </c>
      <c r="L66" s="14" t="str">
        <f ca="1">CONCATENATE("'",Grunddaten!Z65,"'")</f>
        <v>'14050'</v>
      </c>
      <c r="M66" s="14" t="str">
        <f>CONCATENATE("'",Grunddaten!AA65,"'")</f>
        <v>'Berlin'</v>
      </c>
      <c r="N66" s="14" t="str">
        <f>CONCATENATE("'",Grunddaten!AB65,"'")</f>
        <v>'Wilhelmstraße'</v>
      </c>
      <c r="O66" s="14" t="str">
        <f>CONCATENATE("'",Grunddaten!AC65,"'")</f>
        <v>'14D'</v>
      </c>
      <c r="P66" s="14">
        <f>Grunddaten!AD65</f>
        <v>1</v>
      </c>
      <c r="R66" s="13">
        <f>Grunddaten!A65</f>
        <v>63</v>
      </c>
      <c r="S66" s="13">
        <f>Grunddaten!AF65</f>
        <v>1</v>
      </c>
      <c r="T66" s="13" t="str">
        <f>CONCATENATE("'",Grunddaten!AG65,"'")</f>
        <v>'030'</v>
      </c>
      <c r="U66" s="13" t="str">
        <f ca="1">CONCATENATE("'",Grunddaten!AH65,"'")</f>
        <v>'56240943'</v>
      </c>
      <c r="V66" s="13">
        <f>Grunddaten!AI65</f>
        <v>1</v>
      </c>
      <c r="Z66" s="2" t="str" cm="1">
        <f t="array" ref="Z66">CONCATENATE("                   ",Liste(B66:H66),IF(Z67&lt;&gt;"",",",""))</f>
        <v xml:space="preserve">                   (63, 'Wagner', 'Maximilian', 1, 2, '2004-05-25', '1975-08-17'),</v>
      </c>
      <c r="AB66" s="2" t="str" cm="1">
        <f t="array" aca="1" ref="AB66" ca="1">CONCATENATE("                    ",Liste(J66:P66),IF(AB67&lt;&gt;"",",",""))</f>
        <v xml:space="preserve">                    (63, 1, '14050', 'Berlin', 'Wilhelmstraße', '14D', 1),</v>
      </c>
      <c r="AD66" s="2" t="str" cm="1">
        <f t="array" aca="1" ref="AD66" ca="1">CONCATENATE("                   ",Liste(R66:V66),IF(AD67&lt;&gt;"",",",""))</f>
        <v xml:space="preserve">                   (63, 1, '030', '56240943', 1),</v>
      </c>
    </row>
    <row r="67" spans="2:30" x14ac:dyDescent="0.45">
      <c r="B67" s="4">
        <f>Grunddaten!A66</f>
        <v>64</v>
      </c>
      <c r="C67" s="4" t="str">
        <f>CONCATENATE("'",Grunddaten!F66,"'")</f>
        <v>'Schwarz'</v>
      </c>
      <c r="D67" s="4" t="str">
        <f>CONCATENATE("'",Grunddaten!E66,"'")</f>
        <v>'Johanna'</v>
      </c>
      <c r="E67" s="4">
        <f>VLOOKUP(Grunddaten!D66,FormOfAddress,2,TRUE)</f>
        <v>2</v>
      </c>
      <c r="F67" s="4">
        <f>VLOOKUP(Grunddaten!I66,FamilyStatus,2,FALSE)</f>
        <v>2</v>
      </c>
      <c r="G67" s="4" t="str">
        <f>IF(Grunddaten!J66&lt;&gt;"",CONCATENATE("'",TEXT(Grunddaten!J66,"JJJJ-MM-tt"),"'"),"NULL")</f>
        <v>'2006-03-25'</v>
      </c>
      <c r="H67" s="4" t="str">
        <f>CONCATENATE("'",TEXT(Grunddaten!G66,"JJJJ-MM-tt"),"'")</f>
        <v>'1982-08-15'</v>
      </c>
      <c r="J67" s="14">
        <f>Grunddaten!A66</f>
        <v>64</v>
      </c>
      <c r="K67" s="14">
        <f>Grunddaten!Y66</f>
        <v>1</v>
      </c>
      <c r="L67" s="14" t="str">
        <f ca="1">CONCATENATE("'",Grunddaten!Z66,"'")</f>
        <v>'10585'</v>
      </c>
      <c r="M67" s="14" t="str">
        <f>CONCATENATE("'",Grunddaten!AA66,"'")</f>
        <v>'Berlin'</v>
      </c>
      <c r="N67" s="14" t="str">
        <f>CONCATENATE("'",Grunddaten!AB66,"'")</f>
        <v>'Bahnhofplatz'</v>
      </c>
      <c r="O67" s="14" t="str">
        <f>CONCATENATE("'",Grunddaten!AC66,"'")</f>
        <v>'3'</v>
      </c>
      <c r="P67" s="14">
        <f>Grunddaten!AD66</f>
        <v>1</v>
      </c>
      <c r="R67" s="13">
        <f>Grunddaten!A66</f>
        <v>64</v>
      </c>
      <c r="S67" s="13">
        <f>Grunddaten!AF66</f>
        <v>1</v>
      </c>
      <c r="T67" s="13" t="str">
        <f>CONCATENATE("'",Grunddaten!AG66,"'")</f>
        <v>'030'</v>
      </c>
      <c r="U67" s="13" t="str">
        <f ca="1">CONCATENATE("'",Grunddaten!AH66,"'")</f>
        <v>'94423935'</v>
      </c>
      <c r="V67" s="13">
        <f>Grunddaten!AI66</f>
        <v>1</v>
      </c>
      <c r="Z67" s="2" t="str" cm="1">
        <f t="array" ref="Z67">CONCATENATE("                   ",Liste(B67:H67),IF(Z68&lt;&gt;"",",",""))</f>
        <v xml:space="preserve">                   (64, 'Schwarz', 'Johanna', 2, 2, '2006-03-25', '1982-08-15'),</v>
      </c>
      <c r="AB67" s="2" t="str" cm="1">
        <f t="array" aca="1" ref="AB67" ca="1">CONCATENATE("                    ",Liste(J67:P67),IF(AB68&lt;&gt;"",",",""))</f>
        <v xml:space="preserve">                    (64, 1, '10585', 'Berlin', 'Bahnhofplatz', '3', 1),</v>
      </c>
      <c r="AD67" s="2" t="str" cm="1">
        <f t="array" aca="1" ref="AD67" ca="1">CONCATENATE("                   ",Liste(R67:V67),IF(AD68&lt;&gt;"",",",""))</f>
        <v xml:space="preserve">                   (64, 1, '030', '94423935', 1),</v>
      </c>
    </row>
    <row r="68" spans="2:30" x14ac:dyDescent="0.45">
      <c r="B68" s="4">
        <f>Grunddaten!A67</f>
        <v>65</v>
      </c>
      <c r="C68" s="4" t="str">
        <f>CONCATENATE("'",Grunddaten!F67,"'")</f>
        <v>'Fischer'</v>
      </c>
      <c r="D68" s="4" t="str">
        <f>CONCATENATE("'",Grunddaten!E67,"'")</f>
        <v>'Finn'</v>
      </c>
      <c r="E68" s="4">
        <f>VLOOKUP(Grunddaten!D67,FormOfAddress,2,TRUE)</f>
        <v>1</v>
      </c>
      <c r="F68" s="4">
        <f>VLOOKUP(Grunddaten!I67,FamilyStatus,2,FALSE)</f>
        <v>1</v>
      </c>
      <c r="G68" s="4" t="str">
        <f>IF(Grunddaten!J67&lt;&gt;"",CONCATENATE("'",TEXT(Grunddaten!J67,"JJJJ-MM-tt"),"'"),"NULL")</f>
        <v>NULL</v>
      </c>
      <c r="H68" s="4" t="str">
        <f>CONCATENATE("'",TEXT(Grunddaten!G67,"JJJJ-MM-tt"),"'")</f>
        <v>'1991-11-01'</v>
      </c>
      <c r="J68" s="14">
        <f>Grunddaten!A67</f>
        <v>65</v>
      </c>
      <c r="K68" s="14">
        <f>Grunddaten!Y67</f>
        <v>1</v>
      </c>
      <c r="L68" s="14" t="str">
        <f ca="1">CONCATENATE("'",Grunddaten!Z67,"'")</f>
        <v>'14542'</v>
      </c>
      <c r="M68" s="14" t="str">
        <f>CONCATENATE("'",Grunddaten!AA67,"'")</f>
        <v>'Werder (Havel)'</v>
      </c>
      <c r="N68" s="14" t="str">
        <f>CONCATENATE("'",Grunddaten!AB67,"'")</f>
        <v>'Eichenweg'</v>
      </c>
      <c r="O68" s="14" t="str">
        <f>CONCATENATE("'",Grunddaten!AC67,"'")</f>
        <v>'28'</v>
      </c>
      <c r="P68" s="14">
        <f>Grunddaten!AD67</f>
        <v>1</v>
      </c>
      <c r="R68" s="13">
        <f>Grunddaten!A67</f>
        <v>65</v>
      </c>
      <c r="S68" s="13">
        <f>Grunddaten!AF67</f>
        <v>1</v>
      </c>
      <c r="T68" s="13" t="str">
        <f>CONCATENATE("'",Grunddaten!AG67,"'")</f>
        <v>'03327'</v>
      </c>
      <c r="U68" s="13" t="str">
        <f ca="1">CONCATENATE("'",Grunddaten!AH67,"'")</f>
        <v>'85744'</v>
      </c>
      <c r="V68" s="13">
        <f>Grunddaten!AI67</f>
        <v>1</v>
      </c>
      <c r="Z68" s="2" t="str" cm="1">
        <f t="array" ref="Z68">CONCATENATE("                   ",Liste(B68:H68),IF(Z69&lt;&gt;"",",",""))</f>
        <v xml:space="preserve">                   (65, 'Fischer', 'Finn', 1, 1, NULL, '1991-11-01'),</v>
      </c>
      <c r="AB68" s="2" t="str" cm="1">
        <f t="array" aca="1" ref="AB68" ca="1">CONCATENATE("                    ",Liste(J68:P68),IF(AB69&lt;&gt;"",",",""))</f>
        <v xml:space="preserve">                    (65, 1, '14542', 'Werder (Havel)', 'Eichenweg', '28', 1),</v>
      </c>
      <c r="AD68" s="2" t="str" cm="1">
        <f t="array" aca="1" ref="AD68" ca="1">CONCATENATE("                   ",Liste(R68:V68),IF(AD69&lt;&gt;"",",",""))</f>
        <v xml:space="preserve">                   (65, 1, '03327', '85744', 1),</v>
      </c>
    </row>
    <row r="69" spans="2:30" x14ac:dyDescent="0.45">
      <c r="B69" s="4">
        <f>Grunddaten!A68</f>
        <v>66</v>
      </c>
      <c r="C69" s="4" t="str">
        <f>CONCATENATE("'",Grunddaten!F68,"'")</f>
        <v>'Hofmann'</v>
      </c>
      <c r="D69" s="4" t="str">
        <f>CONCATENATE("'",Grunddaten!E68,"'")</f>
        <v>'Leonie'</v>
      </c>
      <c r="E69" s="4">
        <f>VLOOKUP(Grunddaten!D68,FormOfAddress,2,TRUE)</f>
        <v>2</v>
      </c>
      <c r="F69" s="4">
        <f>VLOOKUP(Grunddaten!I68,FamilyStatus,2,FALSE)</f>
        <v>4</v>
      </c>
      <c r="G69" s="4" t="str">
        <f>IF(Grunddaten!J68&lt;&gt;"",CONCATENATE("'",TEXT(Grunddaten!J68,"JJJJ-MM-tt"),"'"),"NULL")</f>
        <v>'2021-03-25'</v>
      </c>
      <c r="H69" s="4" t="str">
        <f>CONCATENATE("'",TEXT(Grunddaten!G68,"JJJJ-MM-tt"),"'")</f>
        <v>'1973-11-24'</v>
      </c>
      <c r="J69" s="14">
        <f>Grunddaten!A68</f>
        <v>66</v>
      </c>
      <c r="K69" s="14">
        <f>Grunddaten!Y68</f>
        <v>1</v>
      </c>
      <c r="L69" s="14" t="str">
        <f ca="1">CONCATENATE("'",Grunddaten!Z68,"'")</f>
        <v>'10961'</v>
      </c>
      <c r="M69" s="14" t="str">
        <f>CONCATENATE("'",Grunddaten!AA68,"'")</f>
        <v>'Berlin'</v>
      </c>
      <c r="N69" s="14" t="str">
        <f>CONCATENATE("'",Grunddaten!AB68,"'")</f>
        <v>'San-Antonio-Weg'</v>
      </c>
      <c r="O69" s="14" t="str">
        <f>CONCATENATE("'",Grunddaten!AC68,"'")</f>
        <v>'4A'</v>
      </c>
      <c r="P69" s="14">
        <f>Grunddaten!AD68</f>
        <v>1</v>
      </c>
      <c r="R69" s="13">
        <f>Grunddaten!A68</f>
        <v>66</v>
      </c>
      <c r="S69" s="13">
        <f>Grunddaten!AF68</f>
        <v>1</v>
      </c>
      <c r="T69" s="13" t="str">
        <f>CONCATENATE("'",Grunddaten!AG68,"'")</f>
        <v>'030'</v>
      </c>
      <c r="U69" s="13" t="str">
        <f ca="1">CONCATENATE("'",Grunddaten!AH68,"'")</f>
        <v>'79709240'</v>
      </c>
      <c r="V69" s="13">
        <f>Grunddaten!AI68</f>
        <v>1</v>
      </c>
      <c r="Z69" s="2" t="str" cm="1">
        <f t="array" ref="Z69">CONCATENATE("                   ",Liste(B69:H69),IF(Z70&lt;&gt;"",",",""))</f>
        <v xml:space="preserve">                   (66, 'Hofmann', 'Leonie', 2, 4, '2021-03-25', '1973-11-24'),</v>
      </c>
      <c r="AB69" s="2" t="str" cm="1">
        <f t="array" aca="1" ref="AB69" ca="1">CONCATENATE("                    ",Liste(J69:P69),IF(AB70&lt;&gt;"",",",""))</f>
        <v xml:space="preserve">                    (66, 1, '10961', 'Berlin', 'San-Antonio-Weg', '4A', 1),</v>
      </c>
      <c r="AD69" s="2" t="str" cm="1">
        <f t="array" aca="1" ref="AD69" ca="1">CONCATENATE("                   ",Liste(R69:V69),IF(AD70&lt;&gt;"",",",""))</f>
        <v xml:space="preserve">                   (66, 1, '030', '79709240', 1),</v>
      </c>
    </row>
    <row r="70" spans="2:30" x14ac:dyDescent="0.45">
      <c r="B70" s="4">
        <f>Grunddaten!A69</f>
        <v>67</v>
      </c>
      <c r="C70" s="4" t="str">
        <f>CONCATENATE("'",Grunddaten!F69,"'")</f>
        <v>'Wolf'</v>
      </c>
      <c r="D70" s="4" t="str">
        <f>CONCATENATE("'",Grunddaten!E69,"'")</f>
        <v>'Maximilian'</v>
      </c>
      <c r="E70" s="4">
        <f>VLOOKUP(Grunddaten!D69,FormOfAddress,2,TRUE)</f>
        <v>1</v>
      </c>
      <c r="F70" s="4">
        <f>VLOOKUP(Grunddaten!I69,FamilyStatus,2,FALSE)</f>
        <v>2</v>
      </c>
      <c r="G70" s="4" t="str">
        <f>IF(Grunddaten!J69&lt;&gt;"",CONCATENATE("'",TEXT(Grunddaten!J69,"JJJJ-MM-tt"),"'"),"NULL")</f>
        <v>'2016-07-23'</v>
      </c>
      <c r="H70" s="4" t="str">
        <f>CONCATENATE("'",TEXT(Grunddaten!G69,"JJJJ-MM-tt"),"'")</f>
        <v>'1988-10-13'</v>
      </c>
      <c r="J70" s="14">
        <f>Grunddaten!A69</f>
        <v>67</v>
      </c>
      <c r="K70" s="14">
        <f>Grunddaten!Y69</f>
        <v>1</v>
      </c>
      <c r="L70" s="14" t="str">
        <f ca="1">CONCATENATE("'",Grunddaten!Z69,"'")</f>
        <v>'14050'</v>
      </c>
      <c r="M70" s="14" t="str">
        <f>CONCATENATE("'",Grunddaten!AA69,"'")</f>
        <v>'Berlin'</v>
      </c>
      <c r="N70" s="14" t="str">
        <f>CONCATENATE("'",Grunddaten!AB69,"'")</f>
        <v>'Romstraße'</v>
      </c>
      <c r="O70" s="14" t="str">
        <f>CONCATENATE("'",Grunddaten!AC69,"'")</f>
        <v>'10'</v>
      </c>
      <c r="P70" s="14">
        <f>Grunddaten!AD69</f>
        <v>1</v>
      </c>
      <c r="R70" s="13">
        <f>Grunddaten!A69</f>
        <v>67</v>
      </c>
      <c r="S70" s="13">
        <f>Grunddaten!AF69</f>
        <v>1</v>
      </c>
      <c r="T70" s="13" t="str">
        <f>CONCATENATE("'",Grunddaten!AG69,"'")</f>
        <v>'030'</v>
      </c>
      <c r="U70" s="13" t="str">
        <f ca="1">CONCATENATE("'",Grunddaten!AH69,"'")</f>
        <v>'62714552'</v>
      </c>
      <c r="V70" s="13">
        <f>Grunddaten!AI69</f>
        <v>1</v>
      </c>
      <c r="Z70" s="2" t="str" cm="1">
        <f t="array" ref="Z70">CONCATENATE("                   ",Liste(B70:H70),IF(Z71&lt;&gt;"",",",""))</f>
        <v xml:space="preserve">                   (67, 'Wolf', 'Maximilian', 1, 2, '2016-07-23', '1988-10-13'),</v>
      </c>
      <c r="AB70" s="2" t="str" cm="1">
        <f t="array" aca="1" ref="AB70" ca="1">CONCATENATE("                    ",Liste(J70:P70),IF(AB71&lt;&gt;"",",",""))</f>
        <v xml:space="preserve">                    (67, 1, '14050', 'Berlin', 'Romstraße', '10', 1),</v>
      </c>
      <c r="AD70" s="2" t="str" cm="1">
        <f t="array" aca="1" ref="AD70" ca="1">CONCATENATE("                   ",Liste(R70:V70),IF(AD71&lt;&gt;"",",",""))</f>
        <v xml:space="preserve">                   (67, 1, '030', '62714552', 1),</v>
      </c>
    </row>
    <row r="71" spans="2:30" x14ac:dyDescent="0.45">
      <c r="B71" s="4">
        <f>Grunddaten!A70</f>
        <v>68</v>
      </c>
      <c r="C71" s="4" t="str">
        <f>CONCATENATE("'",Grunddaten!F70,"'")</f>
        <v>'Herrmann'</v>
      </c>
      <c r="D71" s="4" t="str">
        <f>CONCATENATE("'",Grunddaten!E70,"'")</f>
        <v>'Charlotte'</v>
      </c>
      <c r="E71" s="4">
        <f>VLOOKUP(Grunddaten!D70,FormOfAddress,2,TRUE)</f>
        <v>2</v>
      </c>
      <c r="F71" s="4">
        <f>VLOOKUP(Grunddaten!I70,FamilyStatus,2,FALSE)</f>
        <v>1</v>
      </c>
      <c r="G71" s="4" t="str">
        <f>IF(Grunddaten!J70&lt;&gt;"",CONCATENATE("'",TEXT(Grunddaten!J70,"JJJJ-MM-tt"),"'"),"NULL")</f>
        <v>NULL</v>
      </c>
      <c r="H71" s="4" t="str">
        <f>CONCATENATE("'",TEXT(Grunddaten!G70,"JJJJ-MM-tt"),"'")</f>
        <v>'1980-12-17'</v>
      </c>
      <c r="J71" s="14">
        <f>Grunddaten!A70</f>
        <v>68</v>
      </c>
      <c r="K71" s="14">
        <f>Grunddaten!Y70</f>
        <v>1</v>
      </c>
      <c r="L71" s="14" t="str">
        <f ca="1">CONCATENATE("'",Grunddaten!Z70,"'")</f>
        <v>'14641'</v>
      </c>
      <c r="M71" s="14" t="str">
        <f>CONCATENATE("'",Grunddaten!AA70,"'")</f>
        <v>'Nauen'</v>
      </c>
      <c r="N71" s="14" t="str">
        <f>CONCATENATE("'",Grunddaten!AB70,"'")</f>
        <v>'San-Antonio-Allee'</v>
      </c>
      <c r="O71" s="14" t="str">
        <f>CONCATENATE("'",Grunddaten!AC70,"'")</f>
        <v>'15D/E'</v>
      </c>
      <c r="P71" s="14">
        <f>Grunddaten!AD70</f>
        <v>1</v>
      </c>
      <c r="R71" s="13">
        <f>Grunddaten!A70</f>
        <v>68</v>
      </c>
      <c r="S71" s="13">
        <f>Grunddaten!AF70</f>
        <v>1</v>
      </c>
      <c r="T71" s="13" t="str">
        <f>CONCATENATE("'",Grunddaten!AG70,"'")</f>
        <v>'03321'</v>
      </c>
      <c r="U71" s="13" t="str">
        <f ca="1">CONCATENATE("'",Grunddaten!AH70,"'")</f>
        <v>'65810'</v>
      </c>
      <c r="V71" s="13">
        <f>Grunddaten!AI70</f>
        <v>1</v>
      </c>
      <c r="Z71" s="2" t="str" cm="1">
        <f t="array" ref="Z71">CONCATENATE("                   ",Liste(B71:H71),IF(Z72&lt;&gt;"",",",""))</f>
        <v xml:space="preserve">                   (68, 'Herrmann', 'Charlotte', 2, 1, NULL, '1980-12-17'),</v>
      </c>
      <c r="AB71" s="2" t="str" cm="1">
        <f t="array" aca="1" ref="AB71" ca="1">CONCATENATE("                    ",Liste(J71:P71),IF(AB72&lt;&gt;"",",",""))</f>
        <v xml:space="preserve">                    (68, 1, '14641', 'Nauen', 'San-Antonio-Allee', '15D/E', 1),</v>
      </c>
      <c r="AD71" s="2" t="str" cm="1">
        <f t="array" aca="1" ref="AD71" ca="1">CONCATENATE("                   ",Liste(R71:V71),IF(AD72&lt;&gt;"",",",""))</f>
        <v xml:space="preserve">                   (68, 1, '03321', '65810', 1),</v>
      </c>
    </row>
    <row r="72" spans="2:30" x14ac:dyDescent="0.45">
      <c r="B72" s="4">
        <f>Grunddaten!A71</f>
        <v>69</v>
      </c>
      <c r="C72" s="4" t="str">
        <f>CONCATENATE("'",Grunddaten!F71,"'")</f>
        <v>'Sommer'</v>
      </c>
      <c r="D72" s="4" t="str">
        <f>CONCATENATE("'",Grunddaten!E71,"'")</f>
        <v>'Samuel'</v>
      </c>
      <c r="E72" s="4">
        <f>VLOOKUP(Grunddaten!D71,FormOfAddress,2,TRUE)</f>
        <v>1</v>
      </c>
      <c r="F72" s="4">
        <f>VLOOKUP(Grunddaten!I71,FamilyStatus,2,FALSE)</f>
        <v>1</v>
      </c>
      <c r="G72" s="4" t="str">
        <f>IF(Grunddaten!J71&lt;&gt;"",CONCATENATE("'",TEXT(Grunddaten!J71,"JJJJ-MM-tt"),"'"),"NULL")</f>
        <v>NULL</v>
      </c>
      <c r="H72" s="4" t="str">
        <f>CONCATENATE("'",TEXT(Grunddaten!G71,"JJJJ-MM-tt"),"'")</f>
        <v>'1959-06-04'</v>
      </c>
      <c r="J72" s="14">
        <f>Grunddaten!A71</f>
        <v>69</v>
      </c>
      <c r="K72" s="14">
        <f>Grunddaten!Y71</f>
        <v>1</v>
      </c>
      <c r="L72" s="14" t="str">
        <f ca="1">CONCATENATE("'",Grunddaten!Z71,"'")</f>
        <v>'12247'</v>
      </c>
      <c r="M72" s="14" t="str">
        <f>CONCATENATE("'",Grunddaten!AA71,"'")</f>
        <v>'Berlin'</v>
      </c>
      <c r="N72" s="14" t="str">
        <f>CONCATENATE("'",Grunddaten!AB71,"'")</f>
        <v>'Karl-Valentin-Straße'</v>
      </c>
      <c r="O72" s="14" t="str">
        <f>CONCATENATE("'",Grunddaten!AC71,"'")</f>
        <v>'5E'</v>
      </c>
      <c r="P72" s="14">
        <f>Grunddaten!AD71</f>
        <v>1</v>
      </c>
      <c r="R72" s="13">
        <f>Grunddaten!A71</f>
        <v>69</v>
      </c>
      <c r="S72" s="13">
        <f>Grunddaten!AF71</f>
        <v>1</v>
      </c>
      <c r="T72" s="13" t="str">
        <f>CONCATENATE("'",Grunddaten!AG71,"'")</f>
        <v>'030'</v>
      </c>
      <c r="U72" s="13" t="str">
        <f ca="1">CONCATENATE("'",Grunddaten!AH71,"'")</f>
        <v>'42627305'</v>
      </c>
      <c r="V72" s="13">
        <f>Grunddaten!AI71</f>
        <v>1</v>
      </c>
      <c r="Z72" s="2" t="str" cm="1">
        <f t="array" ref="Z72">CONCATENATE("                   ",Liste(B72:H72),IF(Z73&lt;&gt;"",",",""))</f>
        <v xml:space="preserve">                   (69, 'Sommer', 'Samuel', 1, 1, NULL, '1959-06-04'),</v>
      </c>
      <c r="AB72" s="2" t="str" cm="1">
        <f t="array" aca="1" ref="AB72" ca="1">CONCATENATE("                    ",Liste(J72:P72),IF(AB73&lt;&gt;"",",",""))</f>
        <v xml:space="preserve">                    (69, 1, '12247', 'Berlin', 'Karl-Valentin-Straße', '5E', 1),</v>
      </c>
      <c r="AD72" s="2" t="str" cm="1">
        <f t="array" aca="1" ref="AD72" ca="1">CONCATENATE("                   ",Liste(R72:V72),IF(AD73&lt;&gt;"",",",""))</f>
        <v xml:space="preserve">                   (69, 1, '030', '42627305', 1),</v>
      </c>
    </row>
    <row r="73" spans="2:30" x14ac:dyDescent="0.45">
      <c r="B73" s="4">
        <f>Grunddaten!A72</f>
        <v>70</v>
      </c>
      <c r="C73" s="4" t="str">
        <f>CONCATENATE("'",Grunddaten!F72,"'")</f>
        <v>'Vogt'</v>
      </c>
      <c r="D73" s="4" t="str">
        <f>CONCATENATE("'",Grunddaten!E72,"'")</f>
        <v>'Lina'</v>
      </c>
      <c r="E73" s="4">
        <f>VLOOKUP(Grunddaten!D72,FormOfAddress,2,TRUE)</f>
        <v>2</v>
      </c>
      <c r="F73" s="4">
        <f>VLOOKUP(Grunddaten!I72,FamilyStatus,2,FALSE)</f>
        <v>2</v>
      </c>
      <c r="G73" s="4" t="str">
        <f>IF(Grunddaten!J72&lt;&gt;"",CONCATENATE("'",TEXT(Grunddaten!J72,"JJJJ-MM-tt"),"'"),"NULL")</f>
        <v>'2006-10-05'</v>
      </c>
      <c r="H73" s="4" t="str">
        <f>CONCATENATE("'",TEXT(Grunddaten!G72,"JJJJ-MM-tt"),"'")</f>
        <v>'1974-01-11'</v>
      </c>
      <c r="J73" s="14">
        <f>Grunddaten!A72</f>
        <v>70</v>
      </c>
      <c r="K73" s="14">
        <f>Grunddaten!Y72</f>
        <v>1</v>
      </c>
      <c r="L73" s="14" t="str">
        <f ca="1">CONCATENATE("'",Grunddaten!Z72,"'")</f>
        <v>'13581'</v>
      </c>
      <c r="M73" s="14" t="str">
        <f>CONCATENATE("'",Grunddaten!AA72,"'")</f>
        <v>'Berlin'</v>
      </c>
      <c r="N73" s="14" t="str">
        <f>CONCATENATE("'",Grunddaten!AB72,"'")</f>
        <v>'Weidengasse'</v>
      </c>
      <c r="O73" s="14" t="str">
        <f>CONCATENATE("'",Grunddaten!AC72,"'")</f>
        <v>'17E/F'</v>
      </c>
      <c r="P73" s="14">
        <f>Grunddaten!AD72</f>
        <v>1</v>
      </c>
      <c r="R73" s="13">
        <f>Grunddaten!A72</f>
        <v>70</v>
      </c>
      <c r="S73" s="13">
        <f>Grunddaten!AF72</f>
        <v>1</v>
      </c>
      <c r="T73" s="13" t="str">
        <f>CONCATENATE("'",Grunddaten!AG72,"'")</f>
        <v>'030'</v>
      </c>
      <c r="U73" s="13" t="str">
        <f ca="1">CONCATENATE("'",Grunddaten!AH72,"'")</f>
        <v>'43102441'</v>
      </c>
      <c r="V73" s="13">
        <f>Grunddaten!AI72</f>
        <v>1</v>
      </c>
      <c r="Z73" s="2" t="str" cm="1">
        <f t="array" ref="Z73">CONCATENATE("                   ",Liste(B73:H73),IF(Z74&lt;&gt;"",",",""))</f>
        <v xml:space="preserve">                   (70, 'Vogt', 'Lina', 2, 2, '2006-10-05', '1974-01-11'),</v>
      </c>
      <c r="AB73" s="2" t="str" cm="1">
        <f t="array" aca="1" ref="AB73" ca="1">CONCATENATE("                    ",Liste(J73:P73),IF(AB74&lt;&gt;"",",",""))</f>
        <v xml:space="preserve">                    (70, 1, '13581', 'Berlin', 'Weidengasse', '17E/F', 1),</v>
      </c>
      <c r="AD73" s="2" t="str" cm="1">
        <f t="array" aca="1" ref="AD73" ca="1">CONCATENATE("                   ",Liste(R73:V73),IF(AD74&lt;&gt;"",",",""))</f>
        <v xml:space="preserve">                   (70, 1, '030', '43102441', 1),</v>
      </c>
    </row>
    <row r="74" spans="2:30" x14ac:dyDescent="0.45">
      <c r="B74" s="4">
        <f>Grunddaten!A73</f>
        <v>71</v>
      </c>
      <c r="C74" s="4" t="str">
        <f>CONCATENATE("'",Grunddaten!F73,"'")</f>
        <v>'Lehmann'</v>
      </c>
      <c r="D74" s="4" t="str">
        <f>CONCATENATE("'",Grunddaten!E73,"'")</f>
        <v>'Emil'</v>
      </c>
      <c r="E74" s="4">
        <f>VLOOKUP(Grunddaten!D73,FormOfAddress,2,TRUE)</f>
        <v>1</v>
      </c>
      <c r="F74" s="4">
        <f>VLOOKUP(Grunddaten!I73,FamilyStatus,2,FALSE)</f>
        <v>2</v>
      </c>
      <c r="G74" s="4" t="str">
        <f>IF(Grunddaten!J73&lt;&gt;"",CONCATENATE("'",TEXT(Grunddaten!J73,"JJJJ-MM-tt"),"'"),"NULL")</f>
        <v>'1999-05-18'</v>
      </c>
      <c r="H74" s="4" t="str">
        <f>CONCATENATE("'",TEXT(Grunddaten!G73,"JJJJ-MM-tt"),"'")</f>
        <v>'1964-01-03'</v>
      </c>
      <c r="J74" s="14">
        <f>Grunddaten!A73</f>
        <v>71</v>
      </c>
      <c r="K74" s="14">
        <f>Grunddaten!Y73</f>
        <v>1</v>
      </c>
      <c r="L74" s="14" t="str">
        <f ca="1">CONCATENATE("'",Grunddaten!Z73,"'")</f>
        <v>'10623'</v>
      </c>
      <c r="M74" s="14" t="str">
        <f>CONCATENATE("'",Grunddaten!AA73,"'")</f>
        <v>'Berlin'</v>
      </c>
      <c r="N74" s="14" t="str">
        <f>CONCATENATE("'",Grunddaten!AB73,"'")</f>
        <v>'Richmondstraße'</v>
      </c>
      <c r="O74" s="14" t="str">
        <f>CONCATENATE("'",Grunddaten!AC73,"'")</f>
        <v>'50'</v>
      </c>
      <c r="P74" s="14">
        <f>Grunddaten!AD73</f>
        <v>1</v>
      </c>
      <c r="R74" s="13">
        <f>Grunddaten!A73</f>
        <v>71</v>
      </c>
      <c r="S74" s="13">
        <f>Grunddaten!AF73</f>
        <v>1</v>
      </c>
      <c r="T74" s="13" t="str">
        <f>CONCATENATE("'",Grunddaten!AG73,"'")</f>
        <v>'030'</v>
      </c>
      <c r="U74" s="13" t="str">
        <f ca="1">CONCATENATE("'",Grunddaten!AH73,"'")</f>
        <v>'94087071'</v>
      </c>
      <c r="V74" s="13">
        <f>Grunddaten!AI73</f>
        <v>1</v>
      </c>
      <c r="Z74" s="2" t="str" cm="1">
        <f t="array" ref="Z74">CONCATENATE("                   ",Liste(B74:H74),IF(Z75&lt;&gt;"",",",""))</f>
        <v xml:space="preserve">                   (71, 'Lehmann', 'Emil', 1, 2, '1999-05-18', '1964-01-03'),</v>
      </c>
      <c r="AB74" s="2" t="str" cm="1">
        <f t="array" aca="1" ref="AB74" ca="1">CONCATENATE("                    ",Liste(J74:P74),IF(AB75&lt;&gt;"",",",""))</f>
        <v xml:space="preserve">                    (71, 1, '10623', 'Berlin', 'Richmondstraße', '50', 1),</v>
      </c>
      <c r="AD74" s="2" t="str" cm="1">
        <f t="array" aca="1" ref="AD74" ca="1">CONCATENATE("                   ",Liste(R74:V74),IF(AD75&lt;&gt;"",",",""))</f>
        <v xml:space="preserve">                   (71, 1, '030', '94087071', 1),</v>
      </c>
    </row>
    <row r="75" spans="2:30" x14ac:dyDescent="0.45">
      <c r="B75" s="4">
        <f>Grunddaten!A74</f>
        <v>72</v>
      </c>
      <c r="C75" s="4" t="str">
        <f>CONCATENATE("'",Grunddaten!F74,"'")</f>
        <v>'Schumacher'</v>
      </c>
      <c r="D75" s="4" t="str">
        <f>CONCATENATE("'",Grunddaten!E74,"'")</f>
        <v>'Amelie'</v>
      </c>
      <c r="E75" s="4">
        <f>VLOOKUP(Grunddaten!D74,FormOfAddress,2,TRUE)</f>
        <v>2</v>
      </c>
      <c r="F75" s="4">
        <f>VLOOKUP(Grunddaten!I74,FamilyStatus,2,FALSE)</f>
        <v>2</v>
      </c>
      <c r="G75" s="4" t="str">
        <f>IF(Grunddaten!J74&lt;&gt;"",CONCATENATE("'",TEXT(Grunddaten!J74,"JJJJ-MM-tt"),"'"),"NULL")</f>
        <v>'1995-11-27'</v>
      </c>
      <c r="H75" s="4" t="str">
        <f>CONCATENATE("'",TEXT(Grunddaten!G74,"JJJJ-MM-tt"),"'")</f>
        <v>'1957-09-19'</v>
      </c>
      <c r="J75" s="14">
        <f>Grunddaten!A74</f>
        <v>72</v>
      </c>
      <c r="K75" s="14">
        <f>Grunddaten!Y74</f>
        <v>1</v>
      </c>
      <c r="L75" s="14" t="str">
        <f ca="1">CONCATENATE("'",Grunddaten!Z74,"'")</f>
        <v>'14554'</v>
      </c>
      <c r="M75" s="14" t="str">
        <f>CONCATENATE("'",Grunddaten!AA74,"'")</f>
        <v>'Seddin'</v>
      </c>
      <c r="N75" s="14" t="str">
        <f>CONCATENATE("'",Grunddaten!AB74,"'")</f>
        <v>'Athenstraße'</v>
      </c>
      <c r="O75" s="14" t="str">
        <f>CONCATENATE("'",Grunddaten!AC74,"'")</f>
        <v>'23'</v>
      </c>
      <c r="P75" s="14">
        <f>Grunddaten!AD74</f>
        <v>1</v>
      </c>
      <c r="R75" s="13">
        <f>Grunddaten!A74</f>
        <v>72</v>
      </c>
      <c r="S75" s="13">
        <f>Grunddaten!AF74</f>
        <v>1</v>
      </c>
      <c r="T75" s="13" t="str">
        <f>CONCATENATE("'",Grunddaten!AG74,"'")</f>
        <v>'033206'</v>
      </c>
      <c r="U75" s="13" t="str">
        <f ca="1">CONCATENATE("'",Grunddaten!AH74,"'")</f>
        <v>'9901'</v>
      </c>
      <c r="V75" s="13">
        <f>Grunddaten!AI74</f>
        <v>1</v>
      </c>
      <c r="Z75" s="2" t="str" cm="1">
        <f t="array" ref="Z75">CONCATENATE("                   ",Liste(B75:H75),IF(Z76&lt;&gt;"",",",""))</f>
        <v xml:space="preserve">                   (72, 'Schumacher', 'Amelie', 2, 2, '1995-11-27', '1957-09-19'),</v>
      </c>
      <c r="AB75" s="2" t="str" cm="1">
        <f t="array" aca="1" ref="AB75" ca="1">CONCATENATE("                    ",Liste(J75:P75),IF(AB76&lt;&gt;"",",",""))</f>
        <v xml:space="preserve">                    (72, 1, '14554', 'Seddin', 'Athenstraße', '23', 1),</v>
      </c>
      <c r="AD75" s="2" t="str" cm="1">
        <f t="array" aca="1" ref="AD75" ca="1">CONCATENATE("                   ",Liste(R75:V75),IF(AD76&lt;&gt;"",",",""))</f>
        <v xml:space="preserve">                   (72, 1, '033206', '9901', 1),</v>
      </c>
    </row>
    <row r="76" spans="2:30" x14ac:dyDescent="0.45">
      <c r="B76" s="4">
        <f>Grunddaten!A75</f>
        <v>73</v>
      </c>
      <c r="C76" s="4" t="str">
        <f>CONCATENATE("'",Grunddaten!F75,"'")</f>
        <v>'Schuster'</v>
      </c>
      <c r="D76" s="4" t="str">
        <f>CONCATENATE("'",Grunddaten!E75,"'")</f>
        <v>'Anton'</v>
      </c>
      <c r="E76" s="4">
        <f>VLOOKUP(Grunddaten!D75,FormOfAddress,2,TRUE)</f>
        <v>1</v>
      </c>
      <c r="F76" s="4">
        <f>VLOOKUP(Grunddaten!I75,FamilyStatus,2,FALSE)</f>
        <v>2</v>
      </c>
      <c r="G76" s="4" t="str">
        <f>IF(Grunddaten!J75&lt;&gt;"",CONCATENATE("'",TEXT(Grunddaten!J75,"JJJJ-MM-tt"),"'"),"NULL")</f>
        <v>'2000-09-16'</v>
      </c>
      <c r="H76" s="4" t="str">
        <f>CONCATENATE("'",TEXT(Grunddaten!G75,"JJJJ-MM-tt"),"'")</f>
        <v>'1968-04-17'</v>
      </c>
      <c r="J76" s="14">
        <f>Grunddaten!A75</f>
        <v>73</v>
      </c>
      <c r="K76" s="14">
        <f>Grunddaten!Y75</f>
        <v>1</v>
      </c>
      <c r="L76" s="14" t="str">
        <f ca="1">CONCATENATE("'",Grunddaten!Z75,"'")</f>
        <v>'10317'</v>
      </c>
      <c r="M76" s="14" t="str">
        <f>CONCATENATE("'",Grunddaten!AA75,"'")</f>
        <v>'Berlin'</v>
      </c>
      <c r="N76" s="14" t="str">
        <f>CONCATENATE("'",Grunddaten!AB75,"'")</f>
        <v>'Dallasstraße'</v>
      </c>
      <c r="O76" s="14" t="str">
        <f>CONCATENATE("'",Grunddaten!AC75,"'")</f>
        <v>'11'</v>
      </c>
      <c r="P76" s="14">
        <f>Grunddaten!AD75</f>
        <v>1</v>
      </c>
      <c r="R76" s="13">
        <f>Grunddaten!A75</f>
        <v>73</v>
      </c>
      <c r="S76" s="13">
        <f>Grunddaten!AF75</f>
        <v>1</v>
      </c>
      <c r="T76" s="13" t="str">
        <f>CONCATENATE("'",Grunddaten!AG75,"'")</f>
        <v>'030'</v>
      </c>
      <c r="U76" s="13" t="str">
        <f ca="1">CONCATENATE("'",Grunddaten!AH75,"'")</f>
        <v>'66071167'</v>
      </c>
      <c r="V76" s="13">
        <f>Grunddaten!AI75</f>
        <v>1</v>
      </c>
      <c r="Z76" s="2" t="str" cm="1">
        <f t="array" ref="Z76">CONCATENATE("                   ",Liste(B76:H76),IF(Z77&lt;&gt;"",",",""))</f>
        <v xml:space="preserve">                   (73, 'Schuster', 'Anton', 1, 2, '2000-09-16', '1968-04-17'),</v>
      </c>
      <c r="AB76" s="2" t="str" cm="1">
        <f t="array" aca="1" ref="AB76" ca="1">CONCATENATE("                    ",Liste(J76:P76),IF(AB77&lt;&gt;"",",",""))</f>
        <v xml:space="preserve">                    (73, 1, '10317', 'Berlin', 'Dallasstraße', '11', 1),</v>
      </c>
      <c r="AD76" s="2" t="str" cm="1">
        <f t="array" aca="1" ref="AD76" ca="1">CONCATENATE("                   ",Liste(R76:V76),IF(AD77&lt;&gt;"",",",""))</f>
        <v xml:space="preserve">                   (73, 1, '030', '66071167', 1),</v>
      </c>
    </row>
    <row r="77" spans="2:30" x14ac:dyDescent="0.45">
      <c r="B77" s="4">
        <f>Grunddaten!A76</f>
        <v>74</v>
      </c>
      <c r="C77" s="4" t="str">
        <f>CONCATENATE("'",Grunddaten!F76,"'")</f>
        <v>'Zimmermann'</v>
      </c>
      <c r="D77" s="4" t="str">
        <f>CONCATENATE("'",Grunddaten!E76,"'")</f>
        <v>'Elisa'</v>
      </c>
      <c r="E77" s="4">
        <f>VLOOKUP(Grunddaten!D76,FormOfAddress,2,TRUE)</f>
        <v>2</v>
      </c>
      <c r="F77" s="4">
        <f>VLOOKUP(Grunddaten!I76,FamilyStatus,2,FALSE)</f>
        <v>2</v>
      </c>
      <c r="G77" s="4" t="str">
        <f>IF(Grunddaten!J76&lt;&gt;"",CONCATENATE("'",TEXT(Grunddaten!J76,"JJJJ-MM-tt"),"'"),"NULL")</f>
        <v>'2002-08-23'</v>
      </c>
      <c r="H77" s="4" t="str">
        <f>CONCATENATE("'",TEXT(Grunddaten!G76,"JJJJ-MM-tt"),"'")</f>
        <v>'1965-02-17'</v>
      </c>
      <c r="J77" s="14">
        <f>Grunddaten!A76</f>
        <v>74</v>
      </c>
      <c r="K77" s="14">
        <f>Grunddaten!Y76</f>
        <v>1</v>
      </c>
      <c r="L77" s="14" t="str">
        <f ca="1">CONCATENATE("'",Grunddaten!Z76,"'")</f>
        <v>'13407'</v>
      </c>
      <c r="M77" s="14" t="str">
        <f>CONCATENATE("'",Grunddaten!AA76,"'")</f>
        <v>'Berlin'</v>
      </c>
      <c r="N77" s="14" t="str">
        <f>CONCATENATE("'",Grunddaten!AB76,"'")</f>
        <v>'Tampa-Straße'</v>
      </c>
      <c r="O77" s="14" t="str">
        <f>CONCATENATE("'",Grunddaten!AC76,"'")</f>
        <v>'5D/E'</v>
      </c>
      <c r="P77" s="14">
        <f>Grunddaten!AD76</f>
        <v>1</v>
      </c>
      <c r="R77" s="13">
        <f>Grunddaten!A76</f>
        <v>74</v>
      </c>
      <c r="S77" s="13">
        <f>Grunddaten!AF76</f>
        <v>1</v>
      </c>
      <c r="T77" s="13" t="str">
        <f>CONCATENATE("'",Grunddaten!AG76,"'")</f>
        <v>'030'</v>
      </c>
      <c r="U77" s="13" t="str">
        <f ca="1">CONCATENATE("'",Grunddaten!AH76,"'")</f>
        <v>'93912809'</v>
      </c>
      <c r="V77" s="13">
        <f>Grunddaten!AI76</f>
        <v>1</v>
      </c>
      <c r="Z77" s="2" t="str" cm="1">
        <f t="array" ref="Z77">CONCATENATE("                   ",Liste(B77:H77),IF(Z78&lt;&gt;"",",",""))</f>
        <v xml:space="preserve">                   (74, 'Zimmermann', 'Elisa', 2, 2, '2002-08-23', '1965-02-17'),</v>
      </c>
      <c r="AB77" s="2" t="str" cm="1">
        <f t="array" aca="1" ref="AB77" ca="1">CONCATENATE("                    ",Liste(J77:P77),IF(AB78&lt;&gt;"",",",""))</f>
        <v xml:space="preserve">                    (74, 1, '13407', 'Berlin', 'Tampa-Straße', '5D/E', 1),</v>
      </c>
      <c r="AD77" s="2" t="str" cm="1">
        <f t="array" aca="1" ref="AD77" ca="1">CONCATENATE("                   ",Liste(R77:V77),IF(AD78&lt;&gt;"",",",""))</f>
        <v xml:space="preserve">                   (74, 1, '030', '93912809', 1),</v>
      </c>
    </row>
    <row r="78" spans="2:30" x14ac:dyDescent="0.45">
      <c r="B78" s="4">
        <f>Grunddaten!A77</f>
        <v>75</v>
      </c>
      <c r="C78" s="4" t="str">
        <f>CONCATENATE("'",Grunddaten!F77,"'")</f>
        <v>'Günther'</v>
      </c>
      <c r="D78" s="4" t="str">
        <f>CONCATENATE("'",Grunddaten!E77,"'")</f>
        <v>'Vincent'</v>
      </c>
      <c r="E78" s="4">
        <f>VLOOKUP(Grunddaten!D77,FormOfAddress,2,TRUE)</f>
        <v>1</v>
      </c>
      <c r="F78" s="4">
        <f>VLOOKUP(Grunddaten!I77,FamilyStatus,2,FALSE)</f>
        <v>1</v>
      </c>
      <c r="G78" s="4" t="str">
        <f>IF(Grunddaten!J77&lt;&gt;"",CONCATENATE("'",TEXT(Grunddaten!J77,"JJJJ-MM-tt"),"'"),"NULL")</f>
        <v>NULL</v>
      </c>
      <c r="H78" s="4" t="str">
        <f>CONCATENATE("'",TEXT(Grunddaten!G77,"JJJJ-MM-tt"),"'")</f>
        <v>'2002-02-01'</v>
      </c>
      <c r="J78" s="14">
        <f>Grunddaten!A77</f>
        <v>75</v>
      </c>
      <c r="K78" s="14">
        <f>Grunddaten!Y77</f>
        <v>1</v>
      </c>
      <c r="L78" s="14" t="str">
        <f ca="1">CONCATENATE("'",Grunddaten!Z77,"'")</f>
        <v>'13581'</v>
      </c>
      <c r="M78" s="14" t="str">
        <f>CONCATENATE("'",Grunddaten!AA77,"'")</f>
        <v>'Berlin'</v>
      </c>
      <c r="N78" s="14" t="str">
        <f>CONCATENATE("'",Grunddaten!AB77,"'")</f>
        <v>'Alte Straße'</v>
      </c>
      <c r="O78" s="14" t="str">
        <f>CONCATENATE("'",Grunddaten!AC77,"'")</f>
        <v>'10'</v>
      </c>
      <c r="P78" s="14">
        <f>Grunddaten!AD77</f>
        <v>1</v>
      </c>
      <c r="R78" s="13">
        <f>Grunddaten!A77</f>
        <v>75</v>
      </c>
      <c r="S78" s="13">
        <f>Grunddaten!AF77</f>
        <v>1</v>
      </c>
      <c r="T78" s="13" t="str">
        <f>CONCATENATE("'",Grunddaten!AG77,"'")</f>
        <v>'030'</v>
      </c>
      <c r="U78" s="13" t="str">
        <f ca="1">CONCATENATE("'",Grunddaten!AH77,"'")</f>
        <v>'61772081'</v>
      </c>
      <c r="V78" s="13">
        <f>Grunddaten!AI77</f>
        <v>1</v>
      </c>
      <c r="Z78" s="2" t="str" cm="1">
        <f t="array" ref="Z78">CONCATENATE("                   ",Liste(B78:H78),IF(Z79&lt;&gt;"",",",""))</f>
        <v xml:space="preserve">                   (75, 'Günther', 'Vincent', 1, 1, NULL, '2002-02-01'),</v>
      </c>
      <c r="AB78" s="2" t="str" cm="1">
        <f t="array" aca="1" ref="AB78" ca="1">CONCATENATE("                    ",Liste(J78:P78),IF(AB79&lt;&gt;"",",",""))</f>
        <v xml:space="preserve">                    (75, 1, '13581', 'Berlin', 'Alte Straße', '10', 1),</v>
      </c>
      <c r="AD78" s="2" t="str" cm="1">
        <f t="array" aca="1" ref="AD78" ca="1">CONCATENATE("                   ",Liste(R78:V78),IF(AD79&lt;&gt;"",",",""))</f>
        <v xml:space="preserve">                   (75, 1, '030', '61772081', 1),</v>
      </c>
    </row>
    <row r="79" spans="2:30" x14ac:dyDescent="0.45">
      <c r="B79" s="4">
        <f>Grunddaten!A78</f>
        <v>76</v>
      </c>
      <c r="C79" s="4" t="str">
        <f>CONCATENATE("'",Grunddaten!F78,"'")</f>
        <v>'Meier'</v>
      </c>
      <c r="D79" s="4" t="str">
        <f>CONCATENATE("'",Grunddaten!E78,"'")</f>
        <v>'Clara'</v>
      </c>
      <c r="E79" s="4">
        <f>VLOOKUP(Grunddaten!D78,FormOfAddress,2,TRUE)</f>
        <v>2</v>
      </c>
      <c r="F79" s="4">
        <f>VLOOKUP(Grunddaten!I78,FamilyStatus,2,FALSE)</f>
        <v>2</v>
      </c>
      <c r="G79" s="4" t="str">
        <f>IF(Grunddaten!J78&lt;&gt;"",CONCATENATE("'",TEXT(Grunddaten!J78,"JJJJ-MM-tt"),"'"),"NULL")</f>
        <v>'2011-10-06'</v>
      </c>
      <c r="H79" s="4" t="str">
        <f>CONCATENATE("'",TEXT(Grunddaten!G78,"JJJJ-MM-tt"),"'")</f>
        <v>'1980-12-27'</v>
      </c>
      <c r="J79" s="14">
        <f>Grunddaten!A78</f>
        <v>76</v>
      </c>
      <c r="K79" s="14">
        <f>Grunddaten!Y78</f>
        <v>1</v>
      </c>
      <c r="L79" s="14" t="str">
        <f ca="1">CONCATENATE("'",Grunddaten!Z78,"'")</f>
        <v>'13597'</v>
      </c>
      <c r="M79" s="14" t="str">
        <f>CONCATENATE("'",Grunddaten!AA78,"'")</f>
        <v>'Berlin'</v>
      </c>
      <c r="N79" s="14" t="str">
        <f>CONCATENATE("'",Grunddaten!AB78,"'")</f>
        <v>'Ludwig-van-Beethoven-Straße'</v>
      </c>
      <c r="O79" s="14" t="str">
        <f>CONCATENATE("'",Grunddaten!AC78,"'")</f>
        <v>'28'</v>
      </c>
      <c r="P79" s="14">
        <f>Grunddaten!AD78</f>
        <v>1</v>
      </c>
      <c r="R79" s="13">
        <f>Grunddaten!A78</f>
        <v>76</v>
      </c>
      <c r="S79" s="13">
        <f>Grunddaten!AF78</f>
        <v>1</v>
      </c>
      <c r="T79" s="13" t="str">
        <f>CONCATENATE("'",Grunddaten!AG78,"'")</f>
        <v>'030'</v>
      </c>
      <c r="U79" s="13" t="str">
        <f ca="1">CONCATENATE("'",Grunddaten!AH78,"'")</f>
        <v>'68908723'</v>
      </c>
      <c r="V79" s="13">
        <f>Grunddaten!AI78</f>
        <v>1</v>
      </c>
      <c r="Z79" s="2" t="str" cm="1">
        <f t="array" ref="Z79">CONCATENATE("                   ",Liste(B79:H79),IF(Z80&lt;&gt;"",",",""))</f>
        <v xml:space="preserve">                   (76, 'Meier', 'Clara', 2, 2, '2011-10-06', '1980-12-27'),</v>
      </c>
      <c r="AB79" s="2" t="str" cm="1">
        <f t="array" aca="1" ref="AB79" ca="1">CONCATENATE("                    ",Liste(J79:P79),IF(AB80&lt;&gt;"",",",""))</f>
        <v xml:space="preserve">                    (76, 1, '13597', 'Berlin', 'Ludwig-van-Beethoven-Straße', '28', 1),</v>
      </c>
      <c r="AD79" s="2" t="str" cm="1">
        <f t="array" aca="1" ref="AD79" ca="1">CONCATENATE("                   ",Liste(R79:V79),IF(AD80&lt;&gt;"",",",""))</f>
        <v xml:space="preserve">                   (76, 1, '030', '68908723', 1),</v>
      </c>
    </row>
    <row r="80" spans="2:30" x14ac:dyDescent="0.45">
      <c r="B80" s="4">
        <f>Grunddaten!A79</f>
        <v>77</v>
      </c>
      <c r="C80" s="4" t="str">
        <f>CONCATENATE("'",Grunddaten!F79,"'")</f>
        <v>'Keller'</v>
      </c>
      <c r="D80" s="4" t="str">
        <f>CONCATENATE("'",Grunddaten!E79,"'")</f>
        <v>'Elias'</v>
      </c>
      <c r="E80" s="4">
        <f>VLOOKUP(Grunddaten!D79,FormOfAddress,2,TRUE)</f>
        <v>1</v>
      </c>
      <c r="F80" s="4">
        <f>VLOOKUP(Grunddaten!I79,FamilyStatus,2,FALSE)</f>
        <v>2</v>
      </c>
      <c r="G80" s="4" t="str">
        <f>IF(Grunddaten!J79&lt;&gt;"",CONCATENATE("'",TEXT(Grunddaten!J79,"JJJJ-MM-tt"),"'"),"NULL")</f>
        <v>'1998-12-01'</v>
      </c>
      <c r="H80" s="4" t="str">
        <f>CONCATENATE("'",TEXT(Grunddaten!G79,"JJJJ-MM-tt"),"'")</f>
        <v>'1970-03-11'</v>
      </c>
      <c r="J80" s="14">
        <f>Grunddaten!A79</f>
        <v>77</v>
      </c>
      <c r="K80" s="14">
        <f>Grunddaten!Y79</f>
        <v>1</v>
      </c>
      <c r="L80" s="14" t="str">
        <f ca="1">CONCATENATE("'",Grunddaten!Z79,"'")</f>
        <v>'14050'</v>
      </c>
      <c r="M80" s="14" t="str">
        <f>CONCATENATE("'",Grunddaten!AA79,"'")</f>
        <v>'Berlin'</v>
      </c>
      <c r="N80" s="14" t="str">
        <f>CONCATENATE("'",Grunddaten!AB79,"'")</f>
        <v>'Friedrich-Engels-Straße'</v>
      </c>
      <c r="O80" s="14" t="str">
        <f>CONCATENATE("'",Grunddaten!AC79,"'")</f>
        <v>'42A'</v>
      </c>
      <c r="P80" s="14">
        <f>Grunddaten!AD79</f>
        <v>1</v>
      </c>
      <c r="R80" s="13">
        <f>Grunddaten!A79</f>
        <v>77</v>
      </c>
      <c r="S80" s="13">
        <f>Grunddaten!AF79</f>
        <v>1</v>
      </c>
      <c r="T80" s="13" t="str">
        <f>CONCATENATE("'",Grunddaten!AG79,"'")</f>
        <v>'030'</v>
      </c>
      <c r="U80" s="13" t="str">
        <f ca="1">CONCATENATE("'",Grunddaten!AH79,"'")</f>
        <v>'75473899'</v>
      </c>
      <c r="V80" s="13">
        <f>Grunddaten!AI79</f>
        <v>1</v>
      </c>
      <c r="Z80" s="2" t="str" cm="1">
        <f t="array" ref="Z80">CONCATENATE("                   ",Liste(B80:H80),IF(Z81&lt;&gt;"",",",""))</f>
        <v xml:space="preserve">                   (77, 'Keller', 'Elias', 1, 2, '1998-12-01', '1970-03-11'),</v>
      </c>
      <c r="AB80" s="2" t="str" cm="1">
        <f t="array" aca="1" ref="AB80" ca="1">CONCATENATE("                    ",Liste(J80:P80),IF(AB81&lt;&gt;"",",",""))</f>
        <v xml:space="preserve">                    (77, 1, '14050', 'Berlin', 'Friedrich-Engels-Straße', '42A', 1),</v>
      </c>
      <c r="AD80" s="2" t="str" cm="1">
        <f t="array" aca="1" ref="AD80" ca="1">CONCATENATE("                   ",Liste(R80:V80),IF(AD81&lt;&gt;"",",",""))</f>
        <v xml:space="preserve">                   (77, 1, '030', '75473899', 1),</v>
      </c>
    </row>
    <row r="81" spans="2:30" x14ac:dyDescent="0.45">
      <c r="B81" s="4">
        <f>Grunddaten!A80</f>
        <v>78</v>
      </c>
      <c r="C81" s="4" t="str">
        <f>CONCATENATE("'",Grunddaten!F80,"'")</f>
        <v>'Hartmann'</v>
      </c>
      <c r="D81" s="4" t="str">
        <f>CONCATENATE("'",Grunddaten!E80,"'")</f>
        <v>'Paula'</v>
      </c>
      <c r="E81" s="4">
        <f>VLOOKUP(Grunddaten!D80,FormOfAddress,2,TRUE)</f>
        <v>2</v>
      </c>
      <c r="F81" s="4">
        <f>VLOOKUP(Grunddaten!I80,FamilyStatus,2,FALSE)</f>
        <v>2</v>
      </c>
      <c r="G81" s="4" t="str">
        <f>IF(Grunddaten!J80&lt;&gt;"",CONCATENATE("'",TEXT(Grunddaten!J80,"JJJJ-MM-tt"),"'"),"NULL")</f>
        <v>'2008-04-20'</v>
      </c>
      <c r="H81" s="4" t="str">
        <f>CONCATENATE("'",TEXT(Grunddaten!G80,"JJJJ-MM-tt"),"'")</f>
        <v>'1984-06-08'</v>
      </c>
      <c r="J81" s="14">
        <f>Grunddaten!A80</f>
        <v>78</v>
      </c>
      <c r="K81" s="14">
        <f>Grunddaten!Y80</f>
        <v>1</v>
      </c>
      <c r="L81" s="14" t="str">
        <f ca="1">CONCATENATE("'",Grunddaten!Z80,"'")</f>
        <v>'14050'</v>
      </c>
      <c r="M81" s="14" t="str">
        <f>CONCATENATE("'",Grunddaten!AA80,"'")</f>
        <v>'Berlin'</v>
      </c>
      <c r="N81" s="14" t="str">
        <f>CONCATENATE("'",Grunddaten!AB80,"'")</f>
        <v>'Ulmenweg'</v>
      </c>
      <c r="O81" s="14" t="str">
        <f>CONCATENATE("'",Grunddaten!AC80,"'")</f>
        <v>'25'</v>
      </c>
      <c r="P81" s="14">
        <f>Grunddaten!AD80</f>
        <v>1</v>
      </c>
      <c r="R81" s="13">
        <f>Grunddaten!A80</f>
        <v>78</v>
      </c>
      <c r="S81" s="13">
        <f>Grunddaten!AF80</f>
        <v>1</v>
      </c>
      <c r="T81" s="13" t="str">
        <f>CONCATENATE("'",Grunddaten!AG80,"'")</f>
        <v>'030'</v>
      </c>
      <c r="U81" s="13" t="str">
        <f ca="1">CONCATENATE("'",Grunddaten!AH80,"'")</f>
        <v>'56601254'</v>
      </c>
      <c r="V81" s="13">
        <f>Grunddaten!AI80</f>
        <v>1</v>
      </c>
      <c r="Z81" s="2" t="str" cm="1">
        <f t="array" ref="Z81">CONCATENATE("                   ",Liste(B81:H81),IF(Z82&lt;&gt;"",",",""))</f>
        <v xml:space="preserve">                   (78, 'Hartmann', 'Paula', 2, 2, '2008-04-20', '1984-06-08'),</v>
      </c>
      <c r="AB81" s="2" t="str" cm="1">
        <f t="array" aca="1" ref="AB81" ca="1">CONCATENATE("                    ",Liste(J81:P81),IF(AB82&lt;&gt;"",",",""))</f>
        <v xml:space="preserve">                    (78, 1, '14050', 'Berlin', 'Ulmenweg', '25', 1),</v>
      </c>
      <c r="AD81" s="2" t="str" cm="1">
        <f t="array" aca="1" ref="AD81" ca="1">CONCATENATE("                   ",Liste(R81:V81),IF(AD82&lt;&gt;"",",",""))</f>
        <v xml:space="preserve">                   (78, 1, '030', '56601254', 1),</v>
      </c>
    </row>
    <row r="82" spans="2:30" x14ac:dyDescent="0.45">
      <c r="B82" s="4">
        <f>Grunddaten!A81</f>
        <v>79</v>
      </c>
      <c r="C82" s="4" t="str">
        <f>CONCATENATE("'",Grunddaten!F81,"'")</f>
        <v>'Jung'</v>
      </c>
      <c r="D82" s="4" t="str">
        <f>CONCATENATE("'",Grunddaten!E81,"'")</f>
        <v>'Simon'</v>
      </c>
      <c r="E82" s="4">
        <f>VLOOKUP(Grunddaten!D81,FormOfAddress,2,TRUE)</f>
        <v>1</v>
      </c>
      <c r="F82" s="4">
        <f>VLOOKUP(Grunddaten!I81,FamilyStatus,2,FALSE)</f>
        <v>2</v>
      </c>
      <c r="G82" s="4" t="str">
        <f>IF(Grunddaten!J81&lt;&gt;"",CONCATENATE("'",TEXT(Grunddaten!J81,"JJJJ-MM-tt"),"'"),"NULL")</f>
        <v>'2024-12-04'</v>
      </c>
      <c r="H82" s="4" t="str">
        <f>CONCATENATE("'",TEXT(Grunddaten!G81,"JJJJ-MM-tt"),"'")</f>
        <v>'1992-01-17'</v>
      </c>
      <c r="J82" s="14">
        <f>Grunddaten!A81</f>
        <v>79</v>
      </c>
      <c r="K82" s="14">
        <f>Grunddaten!Y81</f>
        <v>1</v>
      </c>
      <c r="L82" s="14" t="str">
        <f ca="1">CONCATENATE("'",Grunddaten!Z81,"'")</f>
        <v>'14715'</v>
      </c>
      <c r="M82" s="14" t="str">
        <f>CONCATENATE("'",Grunddaten!AA81,"'")</f>
        <v>'Berge'</v>
      </c>
      <c r="N82" s="14" t="str">
        <f>CONCATENATE("'",Grunddaten!AB81,"'")</f>
        <v>'Bergstraße'</v>
      </c>
      <c r="O82" s="14" t="str">
        <f>CONCATENATE("'",Grunddaten!AC81,"'")</f>
        <v>'45E'</v>
      </c>
      <c r="P82" s="14">
        <f>Grunddaten!AD81</f>
        <v>1</v>
      </c>
      <c r="R82" s="13">
        <f>Grunddaten!A81</f>
        <v>79</v>
      </c>
      <c r="S82" s="13">
        <f>Grunddaten!AF81</f>
        <v>1</v>
      </c>
      <c r="T82" s="13" t="str">
        <f>CONCATENATE("'",Grunddaten!AG81,"'")</f>
        <v>'033874'</v>
      </c>
      <c r="U82" s="13" t="str">
        <f ca="1">CONCATENATE("'",Grunddaten!AH81,"'")</f>
        <v>'4735'</v>
      </c>
      <c r="V82" s="13">
        <f>Grunddaten!AI81</f>
        <v>1</v>
      </c>
      <c r="Z82" s="2" t="str" cm="1">
        <f t="array" ref="Z82">CONCATENATE("                   ",Liste(B82:H82),IF(Z83&lt;&gt;"",",",""))</f>
        <v xml:space="preserve">                   (79, 'Jung', 'Simon', 1, 2, '2024-12-04', '1992-01-17'),</v>
      </c>
      <c r="AB82" s="2" t="str" cm="1">
        <f t="array" aca="1" ref="AB82" ca="1">CONCATENATE("                    ",Liste(J82:P82),IF(AB83&lt;&gt;"",",",""))</f>
        <v xml:space="preserve">                    (79, 1, '14715', 'Berge', 'Bergstraße', '45E', 1),</v>
      </c>
      <c r="AD82" s="2" t="str" cm="1">
        <f t="array" aca="1" ref="AD82" ca="1">CONCATENATE("                   ",Liste(R82:V82),IF(AD83&lt;&gt;"",",",""))</f>
        <v xml:space="preserve">                   (79, 1, '033874', '4735', 1),</v>
      </c>
    </row>
    <row r="83" spans="2:30" x14ac:dyDescent="0.45">
      <c r="B83" s="4">
        <f>Grunddaten!A82</f>
        <v>80</v>
      </c>
      <c r="C83" s="4" t="str">
        <f>CONCATENATE("'",Grunddaten!F82,"'")</f>
        <v>'Berger'</v>
      </c>
      <c r="D83" s="4" t="str">
        <f>CONCATENATE("'",Grunddaten!E82,"'")</f>
        <v>'Theresa'</v>
      </c>
      <c r="E83" s="4">
        <f>VLOOKUP(Grunddaten!D82,FormOfAddress,2,TRUE)</f>
        <v>2</v>
      </c>
      <c r="F83" s="4">
        <f>VLOOKUP(Grunddaten!I82,FamilyStatus,2,FALSE)</f>
        <v>2</v>
      </c>
      <c r="G83" s="4" t="str">
        <f>IF(Grunddaten!J82&lt;&gt;"",CONCATENATE("'",TEXT(Grunddaten!J82,"JJJJ-MM-tt"),"'"),"NULL")</f>
        <v>'2023-11-03'</v>
      </c>
      <c r="H83" s="4" t="str">
        <f>CONCATENATE("'",TEXT(Grunddaten!G82,"JJJJ-MM-tt"),"'")</f>
        <v>'1987-04-10'</v>
      </c>
      <c r="J83" s="14">
        <f>Grunddaten!A82</f>
        <v>80</v>
      </c>
      <c r="K83" s="14">
        <f>Grunddaten!Y82</f>
        <v>1</v>
      </c>
      <c r="L83" s="14" t="str">
        <f ca="1">CONCATENATE("'",Grunddaten!Z82,"'")</f>
        <v>'14624'</v>
      </c>
      <c r="M83" s="14" t="str">
        <f>CONCATENATE("'",Grunddaten!AA82,"'")</f>
        <v>'Seeburg'</v>
      </c>
      <c r="N83" s="14" t="str">
        <f>CONCATENATE("'",Grunddaten!AB82,"'")</f>
        <v>'Houstonweg'</v>
      </c>
      <c r="O83" s="14" t="str">
        <f>CONCATENATE("'",Grunddaten!AC82,"'")</f>
        <v>'31'</v>
      </c>
      <c r="P83" s="14">
        <f>Grunddaten!AD82</f>
        <v>1</v>
      </c>
      <c r="R83" s="13">
        <f>Grunddaten!A82</f>
        <v>80</v>
      </c>
      <c r="S83" s="13">
        <f>Grunddaten!AF82</f>
        <v>1</v>
      </c>
      <c r="T83" s="13" t="str">
        <f>CONCATENATE("'",Grunddaten!AG82,"'")</f>
        <v>'03322'</v>
      </c>
      <c r="U83" s="13" t="str">
        <f ca="1">CONCATENATE("'",Grunddaten!AH82,"'")</f>
        <v>'42323'</v>
      </c>
      <c r="V83" s="13">
        <f>Grunddaten!AI82</f>
        <v>1</v>
      </c>
      <c r="Z83" s="2" t="str" cm="1">
        <f t="array" ref="Z83">CONCATENATE("                   ",Liste(B83:H83),IF(Z84&lt;&gt;"",",",""))</f>
        <v xml:space="preserve">                   (80, 'Berger', 'Theresa', 2, 2, '2023-11-03', '1987-04-10'),</v>
      </c>
      <c r="AB83" s="2" t="str" cm="1">
        <f t="array" aca="1" ref="AB83" ca="1">CONCATENATE("                    ",Liste(J83:P83),IF(AB84&lt;&gt;"",",",""))</f>
        <v xml:space="preserve">                    (80, 1, '14624', 'Seeburg', 'Houstonweg', '31', 1),</v>
      </c>
      <c r="AD83" s="2" t="str" cm="1">
        <f t="array" aca="1" ref="AD83" ca="1">CONCATENATE("                   ",Liste(R83:V83),IF(AD84&lt;&gt;"",",",""))</f>
        <v xml:space="preserve">                   (80, 1, '03322', '42323', 1),</v>
      </c>
    </row>
    <row r="84" spans="2:30" x14ac:dyDescent="0.45">
      <c r="B84" s="4">
        <f>Grunddaten!A83</f>
        <v>81</v>
      </c>
      <c r="C84" s="4" t="str">
        <f>CONCATENATE("'",Grunddaten!F83,"'")</f>
        <v>'Franke'</v>
      </c>
      <c r="D84" s="4" t="str">
        <f>CONCATENATE("'",Grunddaten!E83,"'")</f>
        <v>'Jonathan'</v>
      </c>
      <c r="E84" s="4">
        <f>VLOOKUP(Grunddaten!D83,FormOfAddress,2,TRUE)</f>
        <v>1</v>
      </c>
      <c r="F84" s="4">
        <f>VLOOKUP(Grunddaten!I83,FamilyStatus,2,FALSE)</f>
        <v>1</v>
      </c>
      <c r="G84" s="4" t="str">
        <f>IF(Grunddaten!J83&lt;&gt;"",CONCATENATE("'",TEXT(Grunddaten!J83,"JJJJ-MM-tt"),"'"),"NULL")</f>
        <v>NULL</v>
      </c>
      <c r="H84" s="4" t="str">
        <f>CONCATENATE("'",TEXT(Grunddaten!G83,"JJJJ-MM-tt"),"'")</f>
        <v>'2003-07-29'</v>
      </c>
      <c r="J84" s="14">
        <f>Grunddaten!A83</f>
        <v>81</v>
      </c>
      <c r="K84" s="14">
        <f>Grunddaten!Y83</f>
        <v>1</v>
      </c>
      <c r="L84" s="14" t="str">
        <f ca="1">CONCATENATE("'",Grunddaten!Z83,"'")</f>
        <v>'10115'</v>
      </c>
      <c r="M84" s="14" t="str">
        <f>CONCATENATE("'",Grunddaten!AA83,"'")</f>
        <v>'Berlin'</v>
      </c>
      <c r="N84" s="14" t="str">
        <f>CONCATENATE("'",Grunddaten!AB83,"'")</f>
        <v>'Gerhard-Schröder-Straße'</v>
      </c>
      <c r="O84" s="14" t="str">
        <f>CONCATENATE("'",Grunddaten!AC83,"'")</f>
        <v>'35'</v>
      </c>
      <c r="P84" s="14">
        <f>Grunddaten!AD83</f>
        <v>1</v>
      </c>
      <c r="R84" s="13">
        <f>Grunddaten!A83</f>
        <v>81</v>
      </c>
      <c r="S84" s="13">
        <f>Grunddaten!AF83</f>
        <v>1</v>
      </c>
      <c r="T84" s="13" t="str">
        <f>CONCATENATE("'",Grunddaten!AG83,"'")</f>
        <v>'030'</v>
      </c>
      <c r="U84" s="13" t="str">
        <f ca="1">CONCATENATE("'",Grunddaten!AH83,"'")</f>
        <v>'67366916'</v>
      </c>
      <c r="V84" s="13">
        <f>Grunddaten!AI83</f>
        <v>1</v>
      </c>
      <c r="Z84" s="2" t="str" cm="1">
        <f t="array" ref="Z84">CONCATENATE("                   ",Liste(B84:H84),IF(Z85&lt;&gt;"",",",""))</f>
        <v xml:space="preserve">                   (81, 'Franke', 'Jonathan', 1, 1, NULL, '2003-07-29'),</v>
      </c>
      <c r="AB84" s="2" t="str" cm="1">
        <f t="array" aca="1" ref="AB84" ca="1">CONCATENATE("                    ",Liste(J84:P84),IF(AB85&lt;&gt;"",",",""))</f>
        <v xml:space="preserve">                    (81, 1, '10115', 'Berlin', 'Gerhard-Schröder-Straße', '35', 1),</v>
      </c>
      <c r="AD84" s="2" t="str" cm="1">
        <f t="array" aca="1" ref="AD84" ca="1">CONCATENATE("                   ",Liste(R84:V84),IF(AD85&lt;&gt;"",",",""))</f>
        <v xml:space="preserve">                   (81, 1, '030', '67366916', 1),</v>
      </c>
    </row>
    <row r="85" spans="2:30" x14ac:dyDescent="0.45">
      <c r="B85" s="4">
        <f>Grunddaten!A84</f>
        <v>82</v>
      </c>
      <c r="C85" s="4" t="str">
        <f>CONCATENATE("'",Grunddaten!F84,"'")</f>
        <v>'Winkler'</v>
      </c>
      <c r="D85" s="4" t="str">
        <f>CONCATENATE("'",Grunddaten!E84,"'")</f>
        <v>'Mia'</v>
      </c>
      <c r="E85" s="4">
        <f>VLOOKUP(Grunddaten!D84,FormOfAddress,2,TRUE)</f>
        <v>2</v>
      </c>
      <c r="F85" s="4">
        <f>VLOOKUP(Grunddaten!I84,FamilyStatus,2,FALSE)</f>
        <v>2</v>
      </c>
      <c r="G85" s="4" t="str">
        <f>IF(Grunddaten!J84&lt;&gt;"",CONCATENATE("'",TEXT(Grunddaten!J84,"JJJJ-MM-tt"),"'"),"NULL")</f>
        <v>'1994-11-26'</v>
      </c>
      <c r="H85" s="4" t="str">
        <f>CONCATENATE("'",TEXT(Grunddaten!G84,"JJJJ-MM-tt"),"'")</f>
        <v>'1959-12-16'</v>
      </c>
      <c r="J85" s="14">
        <f>Grunddaten!A84</f>
        <v>82</v>
      </c>
      <c r="K85" s="14">
        <f>Grunddaten!Y84</f>
        <v>1</v>
      </c>
      <c r="L85" s="14" t="str">
        <f ca="1">CONCATENATE("'",Grunddaten!Z84,"'")</f>
        <v>'14806'</v>
      </c>
      <c r="M85" s="14" t="str">
        <f>CONCATENATE("'",Grunddaten!AA84,"'")</f>
        <v>'Belzig'</v>
      </c>
      <c r="N85" s="14" t="str">
        <f>CONCATENATE("'",Grunddaten!AB84,"'")</f>
        <v>'Ringstraße'</v>
      </c>
      <c r="O85" s="14" t="str">
        <f>CONCATENATE("'",Grunddaten!AC84,"'")</f>
        <v>'12'</v>
      </c>
      <c r="P85" s="14">
        <f>Grunddaten!AD84</f>
        <v>1</v>
      </c>
      <c r="R85" s="13">
        <f>Grunddaten!A84</f>
        <v>82</v>
      </c>
      <c r="S85" s="13">
        <f>Grunddaten!AF84</f>
        <v>1</v>
      </c>
      <c r="T85" s="13" t="str">
        <f>CONCATENATE("'",Grunddaten!AG84,"'")</f>
        <v>'033841'</v>
      </c>
      <c r="U85" s="13" t="str">
        <f ca="1">CONCATENATE("'",Grunddaten!AH84,"'")</f>
        <v>'7405'</v>
      </c>
      <c r="V85" s="13">
        <f>Grunddaten!AI84</f>
        <v>1</v>
      </c>
      <c r="Z85" s="2" t="str" cm="1">
        <f t="array" ref="Z85">CONCATENATE("                   ",Liste(B85:H85),IF(Z86&lt;&gt;"",",",""))</f>
        <v xml:space="preserve">                   (82, 'Winkler', 'Mia', 2, 2, '1994-11-26', '1959-12-16'),</v>
      </c>
      <c r="AB85" s="2" t="str" cm="1">
        <f t="array" aca="1" ref="AB85" ca="1">CONCATENATE("                    ",Liste(J85:P85),IF(AB86&lt;&gt;"",",",""))</f>
        <v xml:space="preserve">                    (82, 1, '14806', 'Belzig', 'Ringstraße', '12', 1),</v>
      </c>
      <c r="AD85" s="2" t="str" cm="1">
        <f t="array" aca="1" ref="AD85" ca="1">CONCATENATE("                   ",Liste(R85:V85),IF(AD86&lt;&gt;"",",",""))</f>
        <v xml:space="preserve">                   (82, 1, '033841', '7405', 1),</v>
      </c>
    </row>
    <row r="86" spans="2:30" x14ac:dyDescent="0.45">
      <c r="B86" s="4">
        <f>Grunddaten!A85</f>
        <v>83</v>
      </c>
      <c r="C86" s="4" t="str">
        <f>CONCATENATE("'",Grunddaten!F85,"'")</f>
        <v>'Vogel'</v>
      </c>
      <c r="D86" s="4" t="str">
        <f>CONCATENATE("'",Grunddaten!E85,"'")</f>
        <v>'Felix'</v>
      </c>
      <c r="E86" s="4">
        <f>VLOOKUP(Grunddaten!D85,FormOfAddress,2,TRUE)</f>
        <v>1</v>
      </c>
      <c r="F86" s="4">
        <f>VLOOKUP(Grunddaten!I85,FamilyStatus,2,FALSE)</f>
        <v>1</v>
      </c>
      <c r="G86" s="4" t="str">
        <f>IF(Grunddaten!J85&lt;&gt;"",CONCATENATE("'",TEXT(Grunddaten!J85,"JJJJ-MM-tt"),"'"),"NULL")</f>
        <v>NULL</v>
      </c>
      <c r="H86" s="4" t="str">
        <f>CONCATENATE("'",TEXT(Grunddaten!G85,"JJJJ-MM-tt"),"'")</f>
        <v>'2000-03-09'</v>
      </c>
      <c r="J86" s="14">
        <f>Grunddaten!A85</f>
        <v>83</v>
      </c>
      <c r="K86" s="14">
        <f>Grunddaten!Y85</f>
        <v>1</v>
      </c>
      <c r="L86" s="14" t="str">
        <f ca="1">CONCATENATE("'",Grunddaten!Z85,"'")</f>
        <v>'13125'</v>
      </c>
      <c r="M86" s="14" t="str">
        <f>CONCATENATE("'",Grunddaten!AA85,"'")</f>
        <v>'Berlin'</v>
      </c>
      <c r="N86" s="14" t="str">
        <f>CONCATENATE("'",Grunddaten!AB85,"'")</f>
        <v>'Charlotte-Allee'</v>
      </c>
      <c r="O86" s="14" t="str">
        <f>CONCATENATE("'",Grunddaten!AC85,"'")</f>
        <v>'10'</v>
      </c>
      <c r="P86" s="14">
        <f>Grunddaten!AD85</f>
        <v>1</v>
      </c>
      <c r="R86" s="13">
        <f>Grunddaten!A85</f>
        <v>83</v>
      </c>
      <c r="S86" s="13">
        <f>Grunddaten!AF85</f>
        <v>1</v>
      </c>
      <c r="T86" s="13" t="str">
        <f>CONCATENATE("'",Grunddaten!AG85,"'")</f>
        <v>'030'</v>
      </c>
      <c r="U86" s="13" t="str">
        <f ca="1">CONCATENATE("'",Grunddaten!AH85,"'")</f>
        <v>'55782312'</v>
      </c>
      <c r="V86" s="13">
        <f>Grunddaten!AI85</f>
        <v>1</v>
      </c>
      <c r="Z86" s="2" t="str" cm="1">
        <f t="array" ref="Z86">CONCATENATE("                   ",Liste(B86:H86),IF(Z87&lt;&gt;"",",",""))</f>
        <v xml:space="preserve">                   (83, 'Vogel', 'Felix', 1, 1, NULL, '2000-03-09'),</v>
      </c>
      <c r="AB86" s="2" t="str" cm="1">
        <f t="array" aca="1" ref="AB86" ca="1">CONCATENATE("                    ",Liste(J86:P86),IF(AB87&lt;&gt;"",",",""))</f>
        <v xml:space="preserve">                    (83, 1, '13125', 'Berlin', 'Charlotte-Allee', '10', 1),</v>
      </c>
      <c r="AD86" s="2" t="str" cm="1">
        <f t="array" aca="1" ref="AD86" ca="1">CONCATENATE("                   ",Liste(R86:V86),IF(AD87&lt;&gt;"",",",""))</f>
        <v xml:space="preserve">                   (83, 1, '030', '55782312', 1),</v>
      </c>
    </row>
    <row r="87" spans="2:30" x14ac:dyDescent="0.45">
      <c r="B87" s="4">
        <f>Grunddaten!A86</f>
        <v>84</v>
      </c>
      <c r="C87" s="4" t="str">
        <f>CONCATENATE("'",Grunddaten!F86,"'")</f>
        <v>'Schreiber'</v>
      </c>
      <c r="D87" s="4" t="str">
        <f>CONCATENATE("'",Grunddaten!E86,"'")</f>
        <v>'Hanna'</v>
      </c>
      <c r="E87" s="4">
        <f>VLOOKUP(Grunddaten!D86,FormOfAddress,2,TRUE)</f>
        <v>2</v>
      </c>
      <c r="F87" s="4">
        <f>VLOOKUP(Grunddaten!I86,FamilyStatus,2,FALSE)</f>
        <v>1</v>
      </c>
      <c r="G87" s="4" t="str">
        <f>IF(Grunddaten!J86&lt;&gt;"",CONCATENATE("'",TEXT(Grunddaten!J86,"JJJJ-MM-tt"),"'"),"NULL")</f>
        <v>NULL</v>
      </c>
      <c r="H87" s="4" t="str">
        <f>CONCATENATE("'",TEXT(Grunddaten!G86,"JJJJ-MM-tt"),"'")</f>
        <v>'1970-03-22'</v>
      </c>
      <c r="J87" s="14">
        <f>Grunddaten!A86</f>
        <v>84</v>
      </c>
      <c r="K87" s="14">
        <f>Grunddaten!Y86</f>
        <v>1</v>
      </c>
      <c r="L87" s="14" t="str">
        <f ca="1">CONCATENATE("'",Grunddaten!Z86,"'")</f>
        <v>'14554'</v>
      </c>
      <c r="M87" s="14" t="str">
        <f>CONCATENATE("'",Grunddaten!AA86,"'")</f>
        <v>'Seddiner See'</v>
      </c>
      <c r="N87" s="14" t="str">
        <f>CONCATENATE("'",Grunddaten!AB86,"'")</f>
        <v>'Johann-Wolfgang-von-Goethe-Straße'</v>
      </c>
      <c r="O87" s="14" t="str">
        <f>CONCATENATE("'",Grunddaten!AC86,"'")</f>
        <v>'9'</v>
      </c>
      <c r="P87" s="14">
        <f>Grunddaten!AD86</f>
        <v>1</v>
      </c>
      <c r="R87" s="13">
        <f>Grunddaten!A86</f>
        <v>84</v>
      </c>
      <c r="S87" s="13">
        <f>Grunddaten!AF86</f>
        <v>1</v>
      </c>
      <c r="T87" s="13" t="str">
        <f>CONCATENATE("'",Grunddaten!AG86,"'")</f>
        <v>'033205'</v>
      </c>
      <c r="U87" s="13" t="str">
        <f ca="1">CONCATENATE("'",Grunddaten!AH86,"'")</f>
        <v>'6331'</v>
      </c>
      <c r="V87" s="13">
        <f>Grunddaten!AI86</f>
        <v>1</v>
      </c>
      <c r="Z87" s="2" t="str" cm="1">
        <f t="array" ref="Z87">CONCATENATE("                   ",Liste(B87:H87),IF(Z88&lt;&gt;"",",",""))</f>
        <v xml:space="preserve">                   (84, 'Schreiber', 'Hanna', 2, 1, NULL, '1970-03-22'),</v>
      </c>
      <c r="AB87" s="2" t="str" cm="1">
        <f t="array" aca="1" ref="AB87" ca="1">CONCATENATE("                    ",Liste(J87:P87),IF(AB88&lt;&gt;"",",",""))</f>
        <v xml:space="preserve">                    (84, 1, '14554', 'Seddiner See', 'Johann-Wolfgang-von-Goethe-Straße', '9', 1),</v>
      </c>
      <c r="AD87" s="2" t="str" cm="1">
        <f t="array" aca="1" ref="AD87" ca="1">CONCATENATE("                   ",Liste(R87:V87),IF(AD88&lt;&gt;"",",",""))</f>
        <v xml:space="preserve">                   (84, 1, '033205', '6331', 1),</v>
      </c>
    </row>
    <row r="88" spans="2:30" x14ac:dyDescent="0.45">
      <c r="B88" s="4">
        <f>Grunddaten!A87</f>
        <v>85</v>
      </c>
      <c r="C88" s="4" t="str">
        <f>CONCATENATE("'",Grunddaten!F87,"'")</f>
        <v>'Sauer'</v>
      </c>
      <c r="D88" s="4" t="str">
        <f>CONCATENATE("'",Grunddaten!E87,"'")</f>
        <v>'Samuel'</v>
      </c>
      <c r="E88" s="4">
        <f>VLOOKUP(Grunddaten!D87,FormOfAddress,2,TRUE)</f>
        <v>1</v>
      </c>
      <c r="F88" s="4">
        <f>VLOOKUP(Grunddaten!I87,FamilyStatus,2,FALSE)</f>
        <v>1</v>
      </c>
      <c r="G88" s="4" t="str">
        <f>IF(Grunddaten!J87&lt;&gt;"",CONCATENATE("'",TEXT(Grunddaten!J87,"JJJJ-MM-tt"),"'"),"NULL")</f>
        <v>NULL</v>
      </c>
      <c r="H88" s="4" t="str">
        <f>CONCATENATE("'",TEXT(Grunddaten!G87,"JJJJ-MM-tt"),"'")</f>
        <v>'1953-12-29'</v>
      </c>
      <c r="J88" s="14">
        <f>Grunddaten!A87</f>
        <v>85</v>
      </c>
      <c r="K88" s="14">
        <f>Grunddaten!Y87</f>
        <v>1</v>
      </c>
      <c r="L88" s="14" t="str">
        <f ca="1">CONCATENATE("'",Grunddaten!Z87,"'")</f>
        <v>'12679'</v>
      </c>
      <c r="M88" s="14" t="str">
        <f>CONCATENATE("'",Grunddaten!AA87,"'")</f>
        <v>'Berlin'</v>
      </c>
      <c r="N88" s="14" t="str">
        <f>CONCATENATE("'",Grunddaten!AB87,"'")</f>
        <v>'Mexikostraße'</v>
      </c>
      <c r="O88" s="14" t="str">
        <f>CONCATENATE("'",Grunddaten!AC87,"'")</f>
        <v>'21C'</v>
      </c>
      <c r="P88" s="14">
        <f>Grunddaten!AD87</f>
        <v>1</v>
      </c>
      <c r="R88" s="13">
        <f>Grunddaten!A87</f>
        <v>85</v>
      </c>
      <c r="S88" s="13">
        <f>Grunddaten!AF87</f>
        <v>1</v>
      </c>
      <c r="T88" s="13" t="str">
        <f>CONCATENATE("'",Grunddaten!AG87,"'")</f>
        <v>'030'</v>
      </c>
      <c r="U88" s="13" t="str">
        <f ca="1">CONCATENATE("'",Grunddaten!AH87,"'")</f>
        <v>'51146305'</v>
      </c>
      <c r="V88" s="13">
        <f>Grunddaten!AI87</f>
        <v>1</v>
      </c>
      <c r="Z88" s="2" t="str" cm="1">
        <f t="array" ref="Z88">CONCATENATE("                   ",Liste(B88:H88),IF(Z89&lt;&gt;"",",",""))</f>
        <v xml:space="preserve">                   (85, 'Sauer', 'Samuel', 1, 1, NULL, '1953-12-29'),</v>
      </c>
      <c r="AB88" s="2" t="str" cm="1">
        <f t="array" aca="1" ref="AB88" ca="1">CONCATENATE("                    ",Liste(J88:P88),IF(AB89&lt;&gt;"",",",""))</f>
        <v xml:space="preserve">                    (85, 1, '12679', 'Berlin', 'Mexikostraße', '21C', 1),</v>
      </c>
      <c r="AD88" s="2" t="str" cm="1">
        <f t="array" aca="1" ref="AD88" ca="1">CONCATENATE("                   ",Liste(R88:V88),IF(AD89&lt;&gt;"",",",""))</f>
        <v xml:space="preserve">                   (85, 1, '030', '51146305', 1),</v>
      </c>
    </row>
    <row r="89" spans="2:30" x14ac:dyDescent="0.45">
      <c r="B89" s="4">
        <f>Grunddaten!A88</f>
        <v>86</v>
      </c>
      <c r="C89" s="4" t="str">
        <f>CONCATENATE("'",Grunddaten!F88,"'")</f>
        <v>'Brandt'</v>
      </c>
      <c r="D89" s="4" t="str">
        <f>CONCATENATE("'",Grunddaten!E88,"'")</f>
        <v>'Marlene'</v>
      </c>
      <c r="E89" s="4">
        <f>VLOOKUP(Grunddaten!D88,FormOfAddress,2,TRUE)</f>
        <v>2</v>
      </c>
      <c r="F89" s="4">
        <f>VLOOKUP(Grunddaten!I88,FamilyStatus,2,FALSE)</f>
        <v>2</v>
      </c>
      <c r="G89" s="4" t="str">
        <f>IF(Grunddaten!J88&lt;&gt;"",CONCATENATE("'",TEXT(Grunddaten!J88,"JJJJ-MM-tt"),"'"),"NULL")</f>
        <v>'2000-03-10'</v>
      </c>
      <c r="H89" s="4" t="str">
        <f>CONCATENATE("'",TEXT(Grunddaten!G88,"JJJJ-MM-tt"),"'")</f>
        <v>'1965-10-18'</v>
      </c>
      <c r="J89" s="14">
        <f>Grunddaten!A88</f>
        <v>86</v>
      </c>
      <c r="K89" s="14">
        <f>Grunddaten!Y88</f>
        <v>1</v>
      </c>
      <c r="L89" s="14" t="str">
        <f ca="1">CONCATENATE("'",Grunddaten!Z88,"'")</f>
        <v>'13597'</v>
      </c>
      <c r="M89" s="14" t="str">
        <f>CONCATENATE("'",Grunddaten!AA88,"'")</f>
        <v>'Berlin'</v>
      </c>
      <c r="N89" s="14" t="str">
        <f>CONCATENATE("'",Grunddaten!AB88,"'")</f>
        <v>'Postplatz'</v>
      </c>
      <c r="O89" s="14" t="str">
        <f>CONCATENATE("'",Grunddaten!AC88,"'")</f>
        <v>'42F'</v>
      </c>
      <c r="P89" s="14">
        <f>Grunddaten!AD88</f>
        <v>1</v>
      </c>
      <c r="R89" s="13">
        <f>Grunddaten!A88</f>
        <v>86</v>
      </c>
      <c r="S89" s="13">
        <f>Grunddaten!AF88</f>
        <v>1</v>
      </c>
      <c r="T89" s="13" t="str">
        <f>CONCATENATE("'",Grunddaten!AG88,"'")</f>
        <v>'030'</v>
      </c>
      <c r="U89" s="13" t="str">
        <f ca="1">CONCATENATE("'",Grunddaten!AH88,"'")</f>
        <v>'55543900'</v>
      </c>
      <c r="V89" s="13">
        <f>Grunddaten!AI88</f>
        <v>1</v>
      </c>
      <c r="Z89" s="2" t="str" cm="1">
        <f t="array" ref="Z89">CONCATENATE("                   ",Liste(B89:H89),IF(Z90&lt;&gt;"",",",""))</f>
        <v xml:space="preserve">                   (86, 'Brandt', 'Marlene', 2, 2, '2000-03-10', '1965-10-18'),</v>
      </c>
      <c r="AB89" s="2" t="str" cm="1">
        <f t="array" aca="1" ref="AB89" ca="1">CONCATENATE("                    ",Liste(J89:P89),IF(AB90&lt;&gt;"",",",""))</f>
        <v xml:space="preserve">                    (86, 1, '13597', 'Berlin', 'Postplatz', '42F', 1),</v>
      </c>
      <c r="AD89" s="2" t="str" cm="1">
        <f t="array" aca="1" ref="AD89" ca="1">CONCATENATE("                   ",Liste(R89:V89),IF(AD90&lt;&gt;"",",",""))</f>
        <v xml:space="preserve">                   (86, 1, '030', '55543900', 1),</v>
      </c>
    </row>
    <row r="90" spans="2:30" x14ac:dyDescent="0.45">
      <c r="B90" s="4">
        <f>Grunddaten!A89</f>
        <v>87</v>
      </c>
      <c r="C90" s="4" t="str">
        <f>CONCATENATE("'",Grunddaten!F89,"'")</f>
        <v>'Schmidt-Richter'</v>
      </c>
      <c r="D90" s="4" t="str">
        <f>CONCATENATE("'",Grunddaten!E89,"'")</f>
        <v>'Maximilian'</v>
      </c>
      <c r="E90" s="4">
        <f>VLOOKUP(Grunddaten!D89,FormOfAddress,2,TRUE)</f>
        <v>1</v>
      </c>
      <c r="F90" s="4">
        <f>VLOOKUP(Grunddaten!I89,FamilyStatus,2,FALSE)</f>
        <v>4</v>
      </c>
      <c r="G90" s="4" t="str">
        <f>IF(Grunddaten!J89&lt;&gt;"",CONCATENATE("'",TEXT(Grunddaten!J89,"JJJJ-MM-tt"),"'"),"NULL")</f>
        <v>'2020-07-23'</v>
      </c>
      <c r="H90" s="4" t="str">
        <f>CONCATENATE("'",TEXT(Grunddaten!G89,"JJJJ-MM-tt"),"'")</f>
        <v>'1955-11-11'</v>
      </c>
      <c r="J90" s="14">
        <f>Grunddaten!A89</f>
        <v>87</v>
      </c>
      <c r="K90" s="14">
        <f>Grunddaten!Y89</f>
        <v>1</v>
      </c>
      <c r="L90" s="14" t="str">
        <f ca="1">CONCATENATE("'",Grunddaten!Z89,"'")</f>
        <v>'13435'</v>
      </c>
      <c r="M90" s="14" t="str">
        <f>CONCATENATE("'",Grunddaten!AA89,"'")</f>
        <v>'Berlin'</v>
      </c>
      <c r="N90" s="14" t="str">
        <f>CONCATENATE("'",Grunddaten!AB89,"'")</f>
        <v>'Kastanienweg'</v>
      </c>
      <c r="O90" s="14" t="str">
        <f>CONCATENATE("'",Grunddaten!AC89,"'")</f>
        <v>'27'</v>
      </c>
      <c r="P90" s="14">
        <f>Grunddaten!AD89</f>
        <v>1</v>
      </c>
      <c r="R90" s="13">
        <f>Grunddaten!A89</f>
        <v>87</v>
      </c>
      <c r="S90" s="13">
        <f>Grunddaten!AF89</f>
        <v>1</v>
      </c>
      <c r="T90" s="13" t="str">
        <f>CONCATENATE("'",Grunddaten!AG89,"'")</f>
        <v>'030'</v>
      </c>
      <c r="U90" s="13" t="str">
        <f ca="1">CONCATENATE("'",Grunddaten!AH89,"'")</f>
        <v>'63006060'</v>
      </c>
      <c r="V90" s="13">
        <f>Grunddaten!AI89</f>
        <v>1</v>
      </c>
      <c r="Z90" s="2" t="str" cm="1">
        <f t="array" ref="Z90">CONCATENATE("                   ",Liste(B90:H90),IF(Z91&lt;&gt;"",",",""))</f>
        <v xml:space="preserve">                   (87, 'Schmidt-Richter', 'Maximilian', 1, 4, '2020-07-23', '1955-11-11'),</v>
      </c>
      <c r="AB90" s="2" t="str" cm="1">
        <f t="array" aca="1" ref="AB90" ca="1">CONCATENATE("                    ",Liste(J90:P90),IF(AB91&lt;&gt;"",",",""))</f>
        <v xml:space="preserve">                    (87, 1, '13435', 'Berlin', 'Kastanienweg', '27', 1),</v>
      </c>
      <c r="AD90" s="2" t="str" cm="1">
        <f t="array" aca="1" ref="AD90" ca="1">CONCATENATE("                   ",Liste(R90:V90),IF(AD91&lt;&gt;"",",",""))</f>
        <v xml:space="preserve">                   (87, 1, '030', '63006060', 1),</v>
      </c>
    </row>
    <row r="91" spans="2:30" x14ac:dyDescent="0.45">
      <c r="B91" s="4">
        <f>Grunddaten!A90</f>
        <v>88</v>
      </c>
      <c r="C91" s="4" t="str">
        <f>CONCATENATE("'",Grunddaten!F90,"'")</f>
        <v>'Becker-Müller'</v>
      </c>
      <c r="D91" s="4" t="str">
        <f>CONCATENATE("'",Grunddaten!E90,"'")</f>
        <v>'Johanna-Marie'</v>
      </c>
      <c r="E91" s="4">
        <f>VLOOKUP(Grunddaten!D90,FormOfAddress,2,TRUE)</f>
        <v>2</v>
      </c>
      <c r="F91" s="4">
        <f>VLOOKUP(Grunddaten!I90,FamilyStatus,2,FALSE)</f>
        <v>2</v>
      </c>
      <c r="G91" s="4" t="str">
        <f>IF(Grunddaten!J90&lt;&gt;"",CONCATENATE("'",TEXT(Grunddaten!J90,"JJJJ-MM-tt"),"'"),"NULL")</f>
        <v>'2014-06-24'</v>
      </c>
      <c r="H91" s="4" t="str">
        <f>CONCATENATE("'",TEXT(Grunddaten!G90,"JJJJ-MM-tt"),"'")</f>
        <v>'1985-05-25'</v>
      </c>
      <c r="J91" s="14">
        <f>Grunddaten!A90</f>
        <v>88</v>
      </c>
      <c r="K91" s="14">
        <f>Grunddaten!Y90</f>
        <v>1</v>
      </c>
      <c r="L91" s="14" t="str">
        <f ca="1">CONCATENATE("'",Grunddaten!Z90,"'")</f>
        <v>'10707'</v>
      </c>
      <c r="M91" s="14" t="str">
        <f>CONCATENATE("'",Grunddaten!AA90,"'")</f>
        <v>'Berlin'</v>
      </c>
      <c r="N91" s="14" t="str">
        <f>CONCATENATE("'",Grunddaten!AB90,"'")</f>
        <v>'Karlstraße'</v>
      </c>
      <c r="O91" s="14" t="str">
        <f>CONCATENATE("'",Grunddaten!AC90,"'")</f>
        <v>'62D'</v>
      </c>
      <c r="P91" s="14">
        <f>Grunddaten!AD90</f>
        <v>1</v>
      </c>
      <c r="R91" s="13">
        <f>Grunddaten!A90</f>
        <v>88</v>
      </c>
      <c r="S91" s="13">
        <f>Grunddaten!AF90</f>
        <v>1</v>
      </c>
      <c r="T91" s="13" t="str">
        <f>CONCATENATE("'",Grunddaten!AG90,"'")</f>
        <v>'030'</v>
      </c>
      <c r="U91" s="13" t="str">
        <f ca="1">CONCATENATE("'",Grunddaten!AH90,"'")</f>
        <v>'86022052'</v>
      </c>
      <c r="V91" s="13">
        <f>Grunddaten!AI90</f>
        <v>1</v>
      </c>
      <c r="Z91" s="2" t="str" cm="1">
        <f t="array" ref="Z91">CONCATENATE("                   ",Liste(B91:H91),IF(Z92&lt;&gt;"",",",""))</f>
        <v xml:space="preserve">                   (88, 'Becker-Müller', 'Johanna-Marie', 2, 2, '2014-06-24', '1985-05-25'),</v>
      </c>
      <c r="AB91" s="2" t="str" cm="1">
        <f t="array" aca="1" ref="AB91" ca="1">CONCATENATE("                    ",Liste(J91:P91),IF(AB92&lt;&gt;"",",",""))</f>
        <v xml:space="preserve">                    (88, 1, '10707', 'Berlin', 'Karlstraße', '62D', 1),</v>
      </c>
      <c r="AD91" s="2" t="str" cm="1">
        <f t="array" aca="1" ref="AD91" ca="1">CONCATENATE("                   ",Liste(R91:V91),IF(AD92&lt;&gt;"",",",""))</f>
        <v xml:space="preserve">                   (88, 1, '030', '86022052', 1),</v>
      </c>
    </row>
    <row r="92" spans="2:30" x14ac:dyDescent="0.45">
      <c r="B92" s="4">
        <f>Grunddaten!A91</f>
        <v>89</v>
      </c>
      <c r="C92" s="4" t="str">
        <f>CONCATENATE("'",Grunddaten!F91,"'")</f>
        <v>'Richter-Weber'</v>
      </c>
      <c r="D92" s="4" t="str">
        <f>CONCATENATE("'",Grunddaten!E91,"'")</f>
        <v>'Finn-Luca'</v>
      </c>
      <c r="E92" s="4">
        <f>VLOOKUP(Grunddaten!D91,FormOfAddress,2,TRUE)</f>
        <v>1</v>
      </c>
      <c r="F92" s="4">
        <f>VLOOKUP(Grunddaten!I91,FamilyStatus,2,FALSE)</f>
        <v>2</v>
      </c>
      <c r="G92" s="4" t="str">
        <f>IF(Grunddaten!J91&lt;&gt;"",CONCATENATE("'",TEXT(Grunddaten!J91,"JJJJ-MM-tt"),"'"),"NULL")</f>
        <v>'2021-03-15'</v>
      </c>
      <c r="H92" s="4" t="str">
        <f>CONCATENATE("'",TEXT(Grunddaten!G91,"JJJJ-MM-tt"),"'")</f>
        <v>'1982-08-28'</v>
      </c>
      <c r="J92" s="14">
        <f>Grunddaten!A91</f>
        <v>89</v>
      </c>
      <c r="K92" s="14">
        <f>Grunddaten!Y91</f>
        <v>1</v>
      </c>
      <c r="L92" s="14" t="str">
        <f ca="1">CONCATENATE("'",Grunddaten!Z91,"'")</f>
        <v>'13597'</v>
      </c>
      <c r="M92" s="14" t="str">
        <f>CONCATENATE("'",Grunddaten!AA91,"'")</f>
        <v>'Berlin'</v>
      </c>
      <c r="N92" s="14" t="str">
        <f>CONCATENATE("'",Grunddaten!AB91,"'")</f>
        <v>'Bergweg'</v>
      </c>
      <c r="O92" s="14" t="str">
        <f>CONCATENATE("'",Grunddaten!AC91,"'")</f>
        <v>'24'</v>
      </c>
      <c r="P92" s="14">
        <f>Grunddaten!AD91</f>
        <v>1</v>
      </c>
      <c r="R92" s="13">
        <f>Grunddaten!A91</f>
        <v>89</v>
      </c>
      <c r="S92" s="13">
        <f>Grunddaten!AF91</f>
        <v>1</v>
      </c>
      <c r="T92" s="13" t="str">
        <f>CONCATENATE("'",Grunddaten!AG91,"'")</f>
        <v>'030'</v>
      </c>
      <c r="U92" s="13" t="str">
        <f ca="1">CONCATENATE("'",Grunddaten!AH91,"'")</f>
        <v>'46727434'</v>
      </c>
      <c r="V92" s="13">
        <f>Grunddaten!AI91</f>
        <v>1</v>
      </c>
      <c r="Z92" s="2" t="str" cm="1">
        <f t="array" ref="Z92">CONCATENATE("                   ",Liste(B92:H92),IF(Z93&lt;&gt;"",",",""))</f>
        <v xml:space="preserve">                   (89, 'Richter-Weber', 'Finn-Luca', 1, 2, '2021-03-15', '1982-08-28'),</v>
      </c>
      <c r="AB92" s="2" t="str" cm="1">
        <f t="array" aca="1" ref="AB92" ca="1">CONCATENATE("                    ",Liste(J92:P92),IF(AB93&lt;&gt;"",",",""))</f>
        <v xml:space="preserve">                    (89, 1, '13597', 'Berlin', 'Bergweg', '24', 1),</v>
      </c>
      <c r="AD92" s="2" t="str" cm="1">
        <f t="array" aca="1" ref="AD92" ca="1">CONCATENATE("                   ",Liste(R92:V92),IF(AD93&lt;&gt;"",",",""))</f>
        <v xml:space="preserve">                   (89, 1, '030', '46727434', 1),</v>
      </c>
    </row>
    <row r="93" spans="2:30" x14ac:dyDescent="0.45">
      <c r="B93" s="4">
        <f>Grunddaten!A92</f>
        <v>90</v>
      </c>
      <c r="C93" s="4" t="str">
        <f>CONCATENATE("'",Grunddaten!F92,"'")</f>
        <v>'Schneider-Hofmann'</v>
      </c>
      <c r="D93" s="4" t="str">
        <f>CONCATENATE("'",Grunddaten!E92,"'")</f>
        <v>'Mia-Sophie'</v>
      </c>
      <c r="E93" s="4">
        <f>VLOOKUP(Grunddaten!D92,FormOfAddress,2,TRUE)</f>
        <v>2</v>
      </c>
      <c r="F93" s="4">
        <f>VLOOKUP(Grunddaten!I92,FamilyStatus,2,FALSE)</f>
        <v>1</v>
      </c>
      <c r="G93" s="4" t="str">
        <f>IF(Grunddaten!J92&lt;&gt;"",CONCATENATE("'",TEXT(Grunddaten!J92,"JJJJ-MM-tt"),"'"),"NULL")</f>
        <v>NULL</v>
      </c>
      <c r="H93" s="4" t="str">
        <f>CONCATENATE("'",TEXT(Grunddaten!G92,"JJJJ-MM-tt"),"'")</f>
        <v>'1982-08-24'</v>
      </c>
      <c r="J93" s="14">
        <f>Grunddaten!A92</f>
        <v>90</v>
      </c>
      <c r="K93" s="14">
        <f>Grunddaten!Y92</f>
        <v>1</v>
      </c>
      <c r="L93" s="14" t="str">
        <f ca="1">CONCATENATE("'",Grunddaten!Z92,"'")</f>
        <v>'14624'</v>
      </c>
      <c r="M93" s="14" t="str">
        <f>CONCATENATE("'",Grunddaten!AA92,"'")</f>
        <v>'Dallgow'</v>
      </c>
      <c r="N93" s="14" t="str">
        <f>CONCATENATE("'",Grunddaten!AB92,"'")</f>
        <v>'Tannenweg'</v>
      </c>
      <c r="O93" s="14" t="str">
        <f>CONCATENATE("'",Grunddaten!AC92,"'")</f>
        <v>'77E/F'</v>
      </c>
      <c r="P93" s="14">
        <f>Grunddaten!AD92</f>
        <v>1</v>
      </c>
      <c r="R93" s="13">
        <f>Grunddaten!A92</f>
        <v>90</v>
      </c>
      <c r="S93" s="13">
        <f>Grunddaten!AF92</f>
        <v>1</v>
      </c>
      <c r="T93" s="13" t="str">
        <f>CONCATENATE("'",Grunddaten!AG92,"'")</f>
        <v>'03322'</v>
      </c>
      <c r="U93" s="13" t="str">
        <f ca="1">CONCATENATE("'",Grunddaten!AH92,"'")</f>
        <v>'55539'</v>
      </c>
      <c r="V93" s="13">
        <f>Grunddaten!AI92</f>
        <v>1</v>
      </c>
      <c r="Z93" s="2" t="str" cm="1">
        <f t="array" ref="Z93">CONCATENATE("                   ",Liste(B93:H93),IF(Z94&lt;&gt;"",",",""))</f>
        <v xml:space="preserve">                   (90, 'Schneider-Hofmann', 'Mia-Sophie', 2, 1, NULL, '1982-08-24'),</v>
      </c>
      <c r="AB93" s="2" t="str" cm="1">
        <f t="array" aca="1" ref="AB93" ca="1">CONCATENATE("                    ",Liste(J93:P93),IF(AB94&lt;&gt;"",",",""))</f>
        <v xml:space="preserve">                    (90, 1, '14624', 'Dallgow', 'Tannenweg', '77E/F', 1),</v>
      </c>
      <c r="AD93" s="2" t="str" cm="1">
        <f t="array" aca="1" ref="AD93" ca="1">CONCATENATE("                   ",Liste(R93:V93),IF(AD94&lt;&gt;"",",",""))</f>
        <v xml:space="preserve">                   (90, 1, '03322', '55539', 1),</v>
      </c>
    </row>
    <row r="94" spans="2:30" x14ac:dyDescent="0.45">
      <c r="B94" s="4">
        <f>Grunddaten!A93</f>
        <v>91</v>
      </c>
      <c r="C94" s="4" t="str">
        <f>CONCATENATE("'",Grunddaten!F93,"'")</f>
        <v>'Müller-Weber'</v>
      </c>
      <c r="D94" s="4" t="str">
        <f>CONCATENATE("'",Grunddaten!E93,"'")</f>
        <v>'Leo-Nicolas'</v>
      </c>
      <c r="E94" s="4">
        <f>VLOOKUP(Grunddaten!D93,FormOfAddress,2,TRUE)</f>
        <v>1</v>
      </c>
      <c r="F94" s="4">
        <f>VLOOKUP(Grunddaten!I93,FamilyStatus,2,FALSE)</f>
        <v>2</v>
      </c>
      <c r="G94" s="4" t="str">
        <f>IF(Grunddaten!J93&lt;&gt;"",CONCATENATE("'",TEXT(Grunddaten!J93,"JJJJ-MM-tt"),"'"),"NULL")</f>
        <v>'2023-10-10'</v>
      </c>
      <c r="H94" s="4" t="str">
        <f>CONCATENATE("'",TEXT(Grunddaten!G93,"JJJJ-MM-tt"),"'")</f>
        <v>'1989-06-25'</v>
      </c>
      <c r="J94" s="14">
        <f>Grunddaten!A93</f>
        <v>91</v>
      </c>
      <c r="K94" s="14">
        <f>Grunddaten!Y93</f>
        <v>1</v>
      </c>
      <c r="L94" s="14" t="str">
        <f ca="1">CONCATENATE("'",Grunddaten!Z93,"'")</f>
        <v>'14050'</v>
      </c>
      <c r="M94" s="14" t="str">
        <f>CONCATENATE("'",Grunddaten!AA93,"'")</f>
        <v>'Berlin'</v>
      </c>
      <c r="N94" s="14" t="str">
        <f>CONCATENATE("'",Grunddaten!AB93,"'")</f>
        <v>'Eichenweg'</v>
      </c>
      <c r="O94" s="14" t="str">
        <f>CONCATENATE("'",Grunddaten!AC93,"'")</f>
        <v>'34'</v>
      </c>
      <c r="P94" s="14">
        <f>Grunddaten!AD93</f>
        <v>1</v>
      </c>
      <c r="R94" s="13">
        <f>Grunddaten!A93</f>
        <v>91</v>
      </c>
      <c r="S94" s="13">
        <f>Grunddaten!AF93</f>
        <v>1</v>
      </c>
      <c r="T94" s="13" t="str">
        <f>CONCATENATE("'",Grunddaten!AG93,"'")</f>
        <v>'030'</v>
      </c>
      <c r="U94" s="13" t="str">
        <f ca="1">CONCATENATE("'",Grunddaten!AH93,"'")</f>
        <v>'67637053'</v>
      </c>
      <c r="V94" s="13">
        <f>Grunddaten!AI93</f>
        <v>1</v>
      </c>
      <c r="Z94" s="2" t="str" cm="1">
        <f t="array" ref="Z94">CONCATENATE("                   ",Liste(B94:H94),IF(Z95&lt;&gt;"",",",""))</f>
        <v xml:space="preserve">                   (91, 'Müller-Weber', 'Leo-Nicolas', 1, 2, '2023-10-10', '1989-06-25'),</v>
      </c>
      <c r="AB94" s="2" t="str" cm="1">
        <f t="array" aca="1" ref="AB94" ca="1">CONCATENATE("                    ",Liste(J94:P94),IF(AB95&lt;&gt;"",",",""))</f>
        <v xml:space="preserve">                    (91, 1, '14050', 'Berlin', 'Eichenweg', '34', 1),</v>
      </c>
      <c r="AD94" s="2" t="str" cm="1">
        <f t="array" aca="1" ref="AD94" ca="1">CONCATENATE("                   ",Liste(R94:V94),IF(AD95&lt;&gt;"",",",""))</f>
        <v xml:space="preserve">                   (91, 1, '030', '67637053', 1),</v>
      </c>
    </row>
    <row r="95" spans="2:30" x14ac:dyDescent="0.45">
      <c r="B95" s="4">
        <f>Grunddaten!A94</f>
        <v>92</v>
      </c>
      <c r="C95" s="4" t="str">
        <f>CONCATENATE("'",Grunddaten!F94,"'")</f>
        <v>'Weber-Schwarz'</v>
      </c>
      <c r="D95" s="4" t="str">
        <f>CONCATENATE("'",Grunddaten!E94,"'")</f>
        <v>'Emilia-Maria'</v>
      </c>
      <c r="E95" s="4">
        <f>VLOOKUP(Grunddaten!D94,FormOfAddress,2,TRUE)</f>
        <v>2</v>
      </c>
      <c r="F95" s="4">
        <f>VLOOKUP(Grunddaten!I94,FamilyStatus,2,FALSE)</f>
        <v>3</v>
      </c>
      <c r="G95" s="4" t="str">
        <f>IF(Grunddaten!J94&lt;&gt;"",CONCATENATE("'",TEXT(Grunddaten!J94,"JJJJ-MM-tt"),"'"),"NULL")</f>
        <v>'2006-07-24'</v>
      </c>
      <c r="H95" s="4" t="str">
        <f>CONCATENATE("'",TEXT(Grunddaten!G94,"JJJJ-MM-tt"),"'")</f>
        <v>'1967-03-07'</v>
      </c>
      <c r="J95" s="14">
        <f>Grunddaten!A94</f>
        <v>92</v>
      </c>
      <c r="K95" s="14">
        <f>Grunddaten!Y94</f>
        <v>1</v>
      </c>
      <c r="L95" s="14" t="str">
        <f ca="1">CONCATENATE("'",Grunddaten!Z94,"'")</f>
        <v>'13581'</v>
      </c>
      <c r="M95" s="14" t="str">
        <f>CONCATENATE("'",Grunddaten!AA94,"'")</f>
        <v>'Berlin'</v>
      </c>
      <c r="N95" s="14" t="str">
        <f>CONCATENATE("'",Grunddaten!AB94,"'")</f>
        <v>'August-Bebel-Straße'</v>
      </c>
      <c r="O95" s="14" t="str">
        <f>CONCATENATE("'",Grunddaten!AC94,"'")</f>
        <v>'20B'</v>
      </c>
      <c r="P95" s="14">
        <f>Grunddaten!AD94</f>
        <v>1</v>
      </c>
      <c r="R95" s="13">
        <f>Grunddaten!A94</f>
        <v>92</v>
      </c>
      <c r="S95" s="13">
        <f>Grunddaten!AF94</f>
        <v>1</v>
      </c>
      <c r="T95" s="13" t="str">
        <f>CONCATENATE("'",Grunddaten!AG94,"'")</f>
        <v>'030'</v>
      </c>
      <c r="U95" s="13" t="str">
        <f ca="1">CONCATENATE("'",Grunddaten!AH94,"'")</f>
        <v>'66712530'</v>
      </c>
      <c r="V95" s="13">
        <f>Grunddaten!AI94</f>
        <v>1</v>
      </c>
      <c r="Z95" s="2" t="str" cm="1">
        <f t="array" ref="Z95">CONCATENATE("                   ",Liste(B95:H95),IF(Z96&lt;&gt;"",",",""))</f>
        <v xml:space="preserve">                   (92, 'Weber-Schwarz', 'Emilia-Maria', 2, 3, '2006-07-24', '1967-03-07'),</v>
      </c>
      <c r="AB95" s="2" t="str" cm="1">
        <f t="array" aca="1" ref="AB95" ca="1">CONCATENATE("                    ",Liste(J95:P95),IF(AB96&lt;&gt;"",",",""))</f>
        <v xml:space="preserve">                    (92, 1, '13581', 'Berlin', 'August-Bebel-Straße', '20B', 1),</v>
      </c>
      <c r="AD95" s="2" t="str" cm="1">
        <f t="array" aca="1" ref="AD95" ca="1">CONCATENATE("                   ",Liste(R95:V95),IF(AD96&lt;&gt;"",",",""))</f>
        <v xml:space="preserve">                   (92, 1, '030', '66712530', 1),</v>
      </c>
    </row>
    <row r="96" spans="2:30" x14ac:dyDescent="0.45">
      <c r="B96" s="4">
        <f>Grunddaten!A95</f>
        <v>93</v>
      </c>
      <c r="C96" s="4" t="str">
        <f>CONCATENATE("'",Grunddaten!F95,"'")</f>
        <v>'Wagner-Fischer'</v>
      </c>
      <c r="D96" s="4" t="str">
        <f>CONCATENATE("'",Grunddaten!E95,"'")</f>
        <v>'Maximilian-Josef'</v>
      </c>
      <c r="E96" s="4">
        <f>VLOOKUP(Grunddaten!D95,FormOfAddress,2,TRUE)</f>
        <v>1</v>
      </c>
      <c r="F96" s="4">
        <f>VLOOKUP(Grunddaten!I95,FamilyStatus,2,FALSE)</f>
        <v>4</v>
      </c>
      <c r="G96" s="4" t="str">
        <f>IF(Grunddaten!J95&lt;&gt;"",CONCATENATE("'",TEXT(Grunddaten!J95,"JJJJ-MM-tt"),"'"),"NULL")</f>
        <v>'2020-12-05'</v>
      </c>
      <c r="H96" s="4" t="str">
        <f>CONCATENATE("'",TEXT(Grunddaten!G95,"JJJJ-MM-tt"),"'")</f>
        <v>'1966-08-21'</v>
      </c>
      <c r="J96" s="14">
        <f>Grunddaten!A95</f>
        <v>93</v>
      </c>
      <c r="K96" s="14">
        <f>Grunddaten!Y95</f>
        <v>1</v>
      </c>
      <c r="L96" s="14" t="str">
        <f ca="1">CONCATENATE("'",Grunddaten!Z95,"'")</f>
        <v>'14778'</v>
      </c>
      <c r="M96" s="14" t="str">
        <f>CONCATENATE("'",Grunddaten!AA95,"'")</f>
        <v>'Beetzsee'</v>
      </c>
      <c r="N96" s="14" t="str">
        <f>CONCATENATE("'",Grunddaten!AB95,"'")</f>
        <v>'Marktstraße'</v>
      </c>
      <c r="O96" s="14" t="str">
        <f>CONCATENATE("'",Grunddaten!AC95,"'")</f>
        <v>'9D'</v>
      </c>
      <c r="P96" s="14">
        <f>Grunddaten!AD95</f>
        <v>1</v>
      </c>
      <c r="R96" s="13">
        <f>Grunddaten!A95</f>
        <v>93</v>
      </c>
      <c r="S96" s="13">
        <f>Grunddaten!AF95</f>
        <v>1</v>
      </c>
      <c r="T96" s="13" t="str">
        <f>CONCATENATE("'",Grunddaten!AG95,"'")</f>
        <v>'03381'</v>
      </c>
      <c r="U96" s="13" t="str">
        <f ca="1">CONCATENATE("'",Grunddaten!AH95,"'")</f>
        <v>'64634'</v>
      </c>
      <c r="V96" s="13">
        <f>Grunddaten!AI95</f>
        <v>1</v>
      </c>
      <c r="Z96" s="2" t="str" cm="1">
        <f t="array" ref="Z96">CONCATENATE("                   ",Liste(B96:H96),IF(Z97&lt;&gt;"",",",""))</f>
        <v xml:space="preserve">                   (93, 'Wagner-Fischer', 'Maximilian-Josef', 1, 4, '2020-12-05', '1966-08-21'),</v>
      </c>
      <c r="AB96" s="2" t="str" cm="1">
        <f t="array" aca="1" ref="AB96" ca="1">CONCATENATE("                    ",Liste(J96:P96),IF(AB97&lt;&gt;"",",",""))</f>
        <v xml:space="preserve">                    (93, 1, '14778', 'Beetzsee', 'Marktstraße', '9D', 1),</v>
      </c>
      <c r="AD96" s="2" t="str" cm="1">
        <f t="array" aca="1" ref="AD96" ca="1">CONCATENATE("                   ",Liste(R96:V96),IF(AD97&lt;&gt;"",",",""))</f>
        <v xml:space="preserve">                   (93, 1, '03381', '64634', 1),</v>
      </c>
    </row>
    <row r="97" spans="2:30" x14ac:dyDescent="0.45">
      <c r="B97" s="4">
        <f>Grunddaten!A96</f>
        <v>94</v>
      </c>
      <c r="C97" s="4" t="str">
        <f>CONCATENATE("'",Grunddaten!F96,"'")</f>
        <v>'Schwarz-Hofmann'</v>
      </c>
      <c r="D97" s="4" t="str">
        <f>CONCATENATE("'",Grunddaten!E96,"'")</f>
        <v>'Johanna-Lena'</v>
      </c>
      <c r="E97" s="4">
        <f>VLOOKUP(Grunddaten!D96,FormOfAddress,2,TRUE)</f>
        <v>2</v>
      </c>
      <c r="F97" s="4">
        <f>VLOOKUP(Grunddaten!I96,FamilyStatus,2,FALSE)</f>
        <v>1</v>
      </c>
      <c r="G97" s="4" t="str">
        <f>IF(Grunddaten!J96&lt;&gt;"",CONCATENATE("'",TEXT(Grunddaten!J96,"JJJJ-MM-tt"),"'"),"NULL")</f>
        <v>NULL</v>
      </c>
      <c r="H97" s="4" t="str">
        <f>CONCATENATE("'",TEXT(Grunddaten!G96,"JJJJ-MM-tt"),"'")</f>
        <v>'1973-05-01'</v>
      </c>
      <c r="J97" s="14">
        <f>Grunddaten!A96</f>
        <v>94</v>
      </c>
      <c r="K97" s="14">
        <f>Grunddaten!Y96</f>
        <v>1</v>
      </c>
      <c r="L97" s="14" t="str">
        <f ca="1">CONCATENATE("'",Grunddaten!Z96,"'")</f>
        <v>'12587'</v>
      </c>
      <c r="M97" s="14" t="str">
        <f>CONCATENATE("'",Grunddaten!AA96,"'")</f>
        <v>'Berlin'</v>
      </c>
      <c r="N97" s="14" t="str">
        <f>CONCATENATE("'",Grunddaten!AB96,"'")</f>
        <v>'Wiener Straße'</v>
      </c>
      <c r="O97" s="14" t="str">
        <f>CONCATENATE("'",Grunddaten!AC96,"'")</f>
        <v>'15E'</v>
      </c>
      <c r="P97" s="14">
        <f>Grunddaten!AD96</f>
        <v>1</v>
      </c>
      <c r="R97" s="13">
        <f>Grunddaten!A96</f>
        <v>94</v>
      </c>
      <c r="S97" s="13">
        <f>Grunddaten!AF96</f>
        <v>1</v>
      </c>
      <c r="T97" s="13" t="str">
        <f>CONCATENATE("'",Grunddaten!AG96,"'")</f>
        <v>'030'</v>
      </c>
      <c r="U97" s="13" t="str">
        <f ca="1">CONCATENATE("'",Grunddaten!AH96,"'")</f>
        <v>'45753413'</v>
      </c>
      <c r="V97" s="13">
        <f>Grunddaten!AI96</f>
        <v>1</v>
      </c>
      <c r="Z97" s="2" t="str" cm="1">
        <f t="array" ref="Z97">CONCATENATE("                   ",Liste(B97:H97),IF(Z98&lt;&gt;"",",",""))</f>
        <v xml:space="preserve">                   (94, 'Schwarz-Hofmann', 'Johanna-Lena', 2, 1, NULL, '1973-05-01'),</v>
      </c>
      <c r="AB97" s="2" t="str" cm="1">
        <f t="array" aca="1" ref="AB97" ca="1">CONCATENATE("                    ",Liste(J97:P97),IF(AB98&lt;&gt;"",",",""))</f>
        <v xml:space="preserve">                    (94, 1, '12587', 'Berlin', 'Wiener Straße', '15E', 1),</v>
      </c>
      <c r="AD97" s="2" t="str" cm="1">
        <f t="array" aca="1" ref="AD97" ca="1">CONCATENATE("                   ",Liste(R97:V97),IF(AD98&lt;&gt;"",",",""))</f>
        <v xml:space="preserve">                   (94, 1, '030', '45753413', 1),</v>
      </c>
    </row>
    <row r="98" spans="2:30" x14ac:dyDescent="0.45">
      <c r="B98" s="4">
        <f>Grunddaten!A97</f>
        <v>95</v>
      </c>
      <c r="C98" s="4" t="str">
        <f>CONCATENATE("'",Grunddaten!F97,"'")</f>
        <v>'Fischer-Müller'</v>
      </c>
      <c r="D98" s="4" t="str">
        <f>CONCATENATE("'",Grunddaten!E97,"'")</f>
        <v>'Finn-Oskar'</v>
      </c>
      <c r="E98" s="4">
        <f>VLOOKUP(Grunddaten!D97,FormOfAddress,2,TRUE)</f>
        <v>1</v>
      </c>
      <c r="F98" s="4">
        <f>VLOOKUP(Grunddaten!I97,FamilyStatus,2,FALSE)</f>
        <v>2</v>
      </c>
      <c r="G98" s="4" t="str">
        <f>IF(Grunddaten!J97&lt;&gt;"",CONCATENATE("'",TEXT(Grunddaten!J97,"JJJJ-MM-tt"),"'"),"NULL")</f>
        <v>'1998-09-11'</v>
      </c>
      <c r="H98" s="4" t="str">
        <f>CONCATENATE("'",TEXT(Grunddaten!G97,"JJJJ-MM-tt"),"'")</f>
        <v>'1960-12-07'</v>
      </c>
      <c r="J98" s="14">
        <f>Grunddaten!A97</f>
        <v>95</v>
      </c>
      <c r="K98" s="14">
        <f>Grunddaten!Y97</f>
        <v>1</v>
      </c>
      <c r="L98" s="14" t="str">
        <f ca="1">CONCATENATE("'",Grunddaten!Z97,"'")</f>
        <v>'13597'</v>
      </c>
      <c r="M98" s="14" t="str">
        <f>CONCATENATE("'",Grunddaten!AA97,"'")</f>
        <v>'Berlin'</v>
      </c>
      <c r="N98" s="14" t="str">
        <f>CONCATENATE("'",Grunddaten!AB97,"'")</f>
        <v>'Theodor-Heuss-Allee'</v>
      </c>
      <c r="O98" s="14" t="str">
        <f>CONCATENATE("'",Grunddaten!AC97,"'")</f>
        <v>'8'</v>
      </c>
      <c r="P98" s="14">
        <f>Grunddaten!AD97</f>
        <v>1</v>
      </c>
      <c r="R98" s="13">
        <f>Grunddaten!A97</f>
        <v>95</v>
      </c>
      <c r="S98" s="13">
        <f>Grunddaten!AF97</f>
        <v>1</v>
      </c>
      <c r="T98" s="13" t="str">
        <f>CONCATENATE("'",Grunddaten!AG97,"'")</f>
        <v>'030'</v>
      </c>
      <c r="U98" s="13" t="str">
        <f ca="1">CONCATENATE("'",Grunddaten!AH97,"'")</f>
        <v>'48685466'</v>
      </c>
      <c r="V98" s="13">
        <f>Grunddaten!AI97</f>
        <v>1</v>
      </c>
      <c r="Z98" s="2" t="str" cm="1">
        <f t="array" ref="Z98">CONCATENATE("                   ",Liste(B98:H98),IF(Z99&lt;&gt;"",",",""))</f>
        <v xml:space="preserve">                   (95, 'Fischer-Müller', 'Finn-Oskar', 1, 2, '1998-09-11', '1960-12-07'),</v>
      </c>
      <c r="AB98" s="2" t="str" cm="1">
        <f t="array" aca="1" ref="AB98" ca="1">CONCATENATE("                    ",Liste(J98:P98),IF(AB99&lt;&gt;"",",",""))</f>
        <v xml:space="preserve">                    (95, 1, '13597', 'Berlin', 'Theodor-Heuss-Allee', '8', 1),</v>
      </c>
      <c r="AD98" s="2" t="str" cm="1">
        <f t="array" aca="1" ref="AD98" ca="1">CONCATENATE("                   ",Liste(R98:V98),IF(AD99&lt;&gt;"",",",""))</f>
        <v xml:space="preserve">                   (95, 1, '030', '48685466', 1),</v>
      </c>
    </row>
    <row r="99" spans="2:30" x14ac:dyDescent="0.45">
      <c r="B99" s="4">
        <f>Grunddaten!A98</f>
        <v>96</v>
      </c>
      <c r="C99" s="4" t="str">
        <f>CONCATENATE("'",Grunddaten!F98,"'")</f>
        <v>'Hofmann-Schmidt'</v>
      </c>
      <c r="D99" s="4" t="str">
        <f>CONCATENATE("'",Grunddaten!E98,"'")</f>
        <v>'Leonie-Sophie'</v>
      </c>
      <c r="E99" s="4">
        <f>VLOOKUP(Grunddaten!D98,FormOfAddress,2,TRUE)</f>
        <v>2</v>
      </c>
      <c r="F99" s="4">
        <f>VLOOKUP(Grunddaten!I98,FamilyStatus,2,FALSE)</f>
        <v>3</v>
      </c>
      <c r="G99" s="4" t="str">
        <f>IF(Grunddaten!J98&lt;&gt;"",CONCATENATE("'",TEXT(Grunddaten!J98,"JJJJ-MM-tt"),"'"),"NULL")</f>
        <v>'2009-06-23'</v>
      </c>
      <c r="H99" s="4" t="str">
        <f>CONCATENATE("'",TEXT(Grunddaten!G98,"JJJJ-MM-tt"),"'")</f>
        <v>'1970-12-04'</v>
      </c>
      <c r="J99" s="14">
        <f>Grunddaten!A98</f>
        <v>96</v>
      </c>
      <c r="K99" s="14">
        <f>Grunddaten!Y98</f>
        <v>1</v>
      </c>
      <c r="L99" s="14" t="str">
        <f ca="1">CONCATENATE("'",Grunddaten!Z98,"'")</f>
        <v>'13435'</v>
      </c>
      <c r="M99" s="14" t="str">
        <f>CONCATENATE("'",Grunddaten!AA98,"'")</f>
        <v>'Berlin'</v>
      </c>
      <c r="N99" s="14" t="str">
        <f>CONCATENATE("'",Grunddaten!AB98,"'")</f>
        <v>'Züricher Allee'</v>
      </c>
      <c r="O99" s="14" t="str">
        <f>CONCATENATE("'",Grunddaten!AC98,"'")</f>
        <v>'10'</v>
      </c>
      <c r="P99" s="14">
        <f>Grunddaten!AD98</f>
        <v>1</v>
      </c>
      <c r="R99" s="13">
        <f>Grunddaten!A98</f>
        <v>96</v>
      </c>
      <c r="S99" s="13">
        <f>Grunddaten!AF98</f>
        <v>1</v>
      </c>
      <c r="T99" s="13" t="str">
        <f>CONCATENATE("'",Grunddaten!AG98,"'")</f>
        <v>'030'</v>
      </c>
      <c r="U99" s="13" t="str">
        <f ca="1">CONCATENATE("'",Grunddaten!AH98,"'")</f>
        <v>'61269622'</v>
      </c>
      <c r="V99" s="13">
        <f>Grunddaten!AI98</f>
        <v>1</v>
      </c>
      <c r="Z99" s="2" t="str" cm="1">
        <f t="array" ref="Z99">CONCATENATE("                   ",Liste(B99:H99),IF(Z100&lt;&gt;"",",",""))</f>
        <v xml:space="preserve">                   (96, 'Hofmann-Schmidt', 'Leonie-Sophie', 2, 3, '2009-06-23', '1970-12-04'),</v>
      </c>
      <c r="AB99" s="2" t="str" cm="1">
        <f t="array" aca="1" ref="AB99" ca="1">CONCATENATE("                    ",Liste(J99:P99),IF(AB100&lt;&gt;"",",",""))</f>
        <v xml:space="preserve">                    (96, 1, '13435', 'Berlin', 'Züricher Allee', '10', 1),</v>
      </c>
      <c r="AD99" s="2" t="str" cm="1">
        <f t="array" aca="1" ref="AD99" ca="1">CONCATENATE("                   ",Liste(R99:V99),IF(AD100&lt;&gt;"",",",""))</f>
        <v xml:space="preserve">                   (96, 1, '030', '61269622', 1),</v>
      </c>
    </row>
    <row r="100" spans="2:30" x14ac:dyDescent="0.45">
      <c r="B100" s="4">
        <f>Grunddaten!A99</f>
        <v>97</v>
      </c>
      <c r="C100" s="4" t="str">
        <f>CONCATENATE("'",Grunddaten!F99,"'")</f>
        <v>'Wolf-Mayer'</v>
      </c>
      <c r="D100" s="4" t="str">
        <f>CONCATENATE("'",Grunddaten!E99,"'")</f>
        <v>'Maximilian-Noah'</v>
      </c>
      <c r="E100" s="4">
        <f>VLOOKUP(Grunddaten!D99,FormOfAddress,2,TRUE)</f>
        <v>1</v>
      </c>
      <c r="F100" s="4">
        <f>VLOOKUP(Grunddaten!I99,FamilyStatus,2,FALSE)</f>
        <v>2</v>
      </c>
      <c r="G100" s="4" t="str">
        <f>IF(Grunddaten!J99&lt;&gt;"",CONCATENATE("'",TEXT(Grunddaten!J99,"JJJJ-MM-tt"),"'"),"NULL")</f>
        <v>'2032-02-21'</v>
      </c>
      <c r="H100" s="4" t="str">
        <f>CONCATENATE("'",TEXT(Grunddaten!G99,"JJJJ-MM-tt"),"'")</f>
        <v>'1993-04-03'</v>
      </c>
      <c r="J100" s="14">
        <f>Grunddaten!A99</f>
        <v>97</v>
      </c>
      <c r="K100" s="14">
        <f>Grunddaten!Y99</f>
        <v>1</v>
      </c>
      <c r="L100" s="14" t="str">
        <f ca="1">CONCATENATE("'",Grunddaten!Z99,"'")</f>
        <v>'14050'</v>
      </c>
      <c r="M100" s="14" t="str">
        <f>CONCATENATE("'",Grunddaten!AA99,"'")</f>
        <v>'Berlin'</v>
      </c>
      <c r="N100" s="14" t="str">
        <f>CONCATENATE("'",Grunddaten!AB99,"'")</f>
        <v>'Allee'</v>
      </c>
      <c r="O100" s="14" t="str">
        <f>CONCATENATE("'",Grunddaten!AC99,"'")</f>
        <v>'11'</v>
      </c>
      <c r="P100" s="14">
        <f>Grunddaten!AD99</f>
        <v>1</v>
      </c>
      <c r="R100" s="13">
        <f>Grunddaten!A99</f>
        <v>97</v>
      </c>
      <c r="S100" s="13">
        <f>Grunddaten!AF99</f>
        <v>1</v>
      </c>
      <c r="T100" s="13" t="str">
        <f>CONCATENATE("'",Grunddaten!AG99,"'")</f>
        <v>'030'</v>
      </c>
      <c r="U100" s="13" t="str">
        <f ca="1">CONCATENATE("'",Grunddaten!AH99,"'")</f>
        <v>'45831489'</v>
      </c>
      <c r="V100" s="13">
        <f>Grunddaten!AI99</f>
        <v>1</v>
      </c>
      <c r="Z100" s="2" t="str" cm="1">
        <f t="array" ref="Z100">CONCATENATE("                   ",Liste(B100:H100),IF(Z101&lt;&gt;"",",",""))</f>
        <v xml:space="preserve">                   (97, 'Wolf-Mayer', 'Maximilian-Noah', 1, 2, '2032-02-21', '1993-04-03'),</v>
      </c>
      <c r="AB100" s="2" t="str" cm="1">
        <f t="array" aca="1" ref="AB100" ca="1">CONCATENATE("                    ",Liste(J100:P100),IF(AB101&lt;&gt;"",",",""))</f>
        <v xml:space="preserve">                    (97, 1, '14050', 'Berlin', 'Allee', '11', 1),</v>
      </c>
      <c r="AD100" s="2" t="str" cm="1">
        <f t="array" aca="1" ref="AD100" ca="1">CONCATENATE("                   ",Liste(R100:V100),IF(AD101&lt;&gt;"",",",""))</f>
        <v xml:space="preserve">                   (97, 1, '030', '45831489', 1),</v>
      </c>
    </row>
    <row r="101" spans="2:30" x14ac:dyDescent="0.45">
      <c r="B101" s="4">
        <f>Grunddaten!A100</f>
        <v>98</v>
      </c>
      <c r="C101" s="4" t="str">
        <f>CONCATENATE("'",Grunddaten!F100,"'")</f>
        <v>'Herrmann-Sommer'</v>
      </c>
      <c r="D101" s="4" t="str">
        <f>CONCATENATE("'",Grunddaten!E100,"'")</f>
        <v>'Charlotte-Emilie'</v>
      </c>
      <c r="E101" s="4">
        <f>VLOOKUP(Grunddaten!D100,FormOfAddress,2,TRUE)</f>
        <v>2</v>
      </c>
      <c r="F101" s="4">
        <f>VLOOKUP(Grunddaten!I100,FamilyStatus,2,FALSE)</f>
        <v>1</v>
      </c>
      <c r="G101" s="4" t="str">
        <f>IF(Grunddaten!J100&lt;&gt;"",CONCATENATE("'",TEXT(Grunddaten!J100,"JJJJ-MM-tt"),"'"),"NULL")</f>
        <v>NULL</v>
      </c>
      <c r="H101" s="4" t="str">
        <f>CONCATENATE("'",TEXT(Grunddaten!G100,"JJJJ-MM-tt"),"'")</f>
        <v>'1983-06-21'</v>
      </c>
      <c r="J101" s="14">
        <f>Grunddaten!A100</f>
        <v>98</v>
      </c>
      <c r="K101" s="14">
        <f>Grunddaten!Y100</f>
        <v>1</v>
      </c>
      <c r="L101" s="14" t="str">
        <f ca="1">CONCATENATE("'",Grunddaten!Z100,"'")</f>
        <v>'14547'</v>
      </c>
      <c r="M101" s="14" t="str">
        <f>CONCATENATE("'",Grunddaten!AA100,"'")</f>
        <v>'Klosterdorf'</v>
      </c>
      <c r="N101" s="14" t="str">
        <f>CONCATENATE("'",Grunddaten!AB100,"'")</f>
        <v>'Beethovenweg'</v>
      </c>
      <c r="O101" s="14" t="str">
        <f>CONCATENATE("'",Grunddaten!AC100,"'")</f>
        <v>'24'</v>
      </c>
      <c r="P101" s="14">
        <f>Grunddaten!AD100</f>
        <v>1</v>
      </c>
      <c r="R101" s="13">
        <f>Grunddaten!A100</f>
        <v>98</v>
      </c>
      <c r="S101" s="13">
        <f>Grunddaten!AF100</f>
        <v>1</v>
      </c>
      <c r="T101" s="13" t="str">
        <f>CONCATENATE("'",Grunddaten!AG100,"'")</f>
        <v>'033206'</v>
      </c>
      <c r="U101" s="13" t="str">
        <f ca="1">CONCATENATE("'",Grunddaten!AH100,"'")</f>
        <v>'5793'</v>
      </c>
      <c r="V101" s="13">
        <f>Grunddaten!AI100</f>
        <v>1</v>
      </c>
      <c r="Z101" s="2" t="str" cm="1">
        <f t="array" ref="Z101">CONCATENATE("                   ",Liste(B101:H101),IF(Z102&lt;&gt;"",",",""))</f>
        <v xml:space="preserve">                   (98, 'Herrmann-Sommer', 'Charlotte-Emilie', 2, 1, NULL, '1983-06-21'),</v>
      </c>
      <c r="AB101" s="2" t="str" cm="1">
        <f t="array" aca="1" ref="AB101" ca="1">CONCATENATE("                    ",Liste(J101:P101),IF(AB102&lt;&gt;"",",",""))</f>
        <v xml:space="preserve">                    (98, 1, '14547', 'Klosterdorf', 'Beethovenweg', '24', 1),</v>
      </c>
      <c r="AD101" s="2" t="str" cm="1">
        <f t="array" aca="1" ref="AD101" ca="1">CONCATENATE("                   ",Liste(R101:V101),IF(AD102&lt;&gt;"",",",""))</f>
        <v xml:space="preserve">                   (98, 1, '033206', '5793', 1),</v>
      </c>
    </row>
    <row r="102" spans="2:30" x14ac:dyDescent="0.45">
      <c r="B102" s="4">
        <f>Grunddaten!A101</f>
        <v>99</v>
      </c>
      <c r="C102" s="4" t="str">
        <f>CONCATENATE("'",Grunddaten!F101,"'")</f>
        <v>'Sommer-Jung'</v>
      </c>
      <c r="D102" s="4" t="str">
        <f>CONCATENATE("'",Grunddaten!E101,"'")</f>
        <v>'Samuel-Elias'</v>
      </c>
      <c r="E102" s="4">
        <f>VLOOKUP(Grunddaten!D101,FormOfAddress,2,TRUE)</f>
        <v>1</v>
      </c>
      <c r="F102" s="4">
        <f>VLOOKUP(Grunddaten!I101,FamilyStatus,2,FALSE)</f>
        <v>3</v>
      </c>
      <c r="G102" s="4" t="str">
        <f>IF(Grunddaten!J101&lt;&gt;"",CONCATENATE("'",TEXT(Grunddaten!J101,"JJJJ-MM-tt"),"'"),"NULL")</f>
        <v>'2009-04-16'</v>
      </c>
      <c r="H102" s="4" t="str">
        <f>CONCATENATE("'",TEXT(Grunddaten!G101,"JJJJ-MM-tt"),"'")</f>
        <v>'1972-07-10'</v>
      </c>
      <c r="J102" s="14">
        <f>Grunddaten!A101</f>
        <v>99</v>
      </c>
      <c r="K102" s="14">
        <f>Grunddaten!Y101</f>
        <v>1</v>
      </c>
      <c r="L102" s="14" t="str">
        <f ca="1">CONCATENATE("'",Grunddaten!Z101,"'")</f>
        <v>'10585'</v>
      </c>
      <c r="M102" s="14" t="str">
        <f>CONCATENATE("'",Grunddaten!AA101,"'")</f>
        <v>'Berlin'</v>
      </c>
      <c r="N102" s="14" t="str">
        <f>CONCATENATE("'",Grunddaten!AB101,"'")</f>
        <v>'Ulmenweg'</v>
      </c>
      <c r="O102" s="14" t="str">
        <f>CONCATENATE("'",Grunddaten!AC101,"'")</f>
        <v>'7'</v>
      </c>
      <c r="P102" s="14">
        <f>Grunddaten!AD101</f>
        <v>1</v>
      </c>
      <c r="R102" s="13">
        <f>Grunddaten!A101</f>
        <v>99</v>
      </c>
      <c r="S102" s="13">
        <f>Grunddaten!AF101</f>
        <v>1</v>
      </c>
      <c r="T102" s="13" t="str">
        <f>CONCATENATE("'",Grunddaten!AG101,"'")</f>
        <v>'030'</v>
      </c>
      <c r="U102" s="13" t="str">
        <f ca="1">CONCATENATE("'",Grunddaten!AH101,"'")</f>
        <v>'48835405'</v>
      </c>
      <c r="V102" s="13">
        <f>Grunddaten!AI101</f>
        <v>1</v>
      </c>
      <c r="Z102" s="2" t="str" cm="1">
        <f t="array" ref="Z102">CONCATENATE("                   ",Liste(B102:H102),IF(Z103&lt;&gt;"",",",""))</f>
        <v xml:space="preserve">                   (99, 'Sommer-Jung', 'Samuel-Elias', 1, 3, '2009-04-16', '1972-07-10')</v>
      </c>
      <c r="AB102" s="2" t="str" cm="1">
        <f t="array" aca="1" ref="AB102" ca="1">CONCATENATE("                    ",Liste(J102:P102),IF(AB103&lt;&gt;"",",",""))</f>
        <v xml:space="preserve">                    (99, 1, '10585', 'Berlin', 'Ulmenweg', '7', 1)</v>
      </c>
      <c r="AD102" s="2" t="str" cm="1">
        <f t="array" aca="1" ref="AD102" ca="1">CONCATENATE("                   ",Liste(R102:V102),IF(AD103&lt;&gt;"",",",""))</f>
        <v xml:space="preserve">                   (99, 1, '030', '48835405', 1)</v>
      </c>
    </row>
    <row r="103" spans="2:30" x14ac:dyDescent="0.45">
      <c r="Z103" s="2"/>
    </row>
    <row r="104" spans="2:30" x14ac:dyDescent="0.45">
      <c r="Z104" s="2" t="str" cm="1">
        <f t="array" ref="Z104">CONCATENATE("INSERT INTO ",A$1," ",Liste(B$1:H$1)," VALUES")</f>
        <v>INSERT INTO Person (ID, Name, FirstName, FormOfAddress, FamilyStatus, FamilyStatusSince, Birthday) VALUES</v>
      </c>
      <c r="AB104" s="2" t="str" cm="1">
        <f t="array" ref="AB104">CONCATENATE("INSERT INTO ",I$1," ",Liste(J$1:P$1)," VALUES")</f>
        <v>INSERT INTO Address (ID, AddressType, Zipcode, City, Street, StreetNumber, Country) VALUES</v>
      </c>
      <c r="AD104" s="2" t="str" cm="1">
        <f t="array" ref="AD104">CONCATENATE("INSERT INTO ",Q$1," ",Liste(R$1:V$1)," VALUES")</f>
        <v>INSERT INTO Phone (ID, PhoneType, AreaCode, CallNumber, Country) VALUES</v>
      </c>
    </row>
    <row r="105" spans="2:30" x14ac:dyDescent="0.45">
      <c r="B105" s="4">
        <f>Grunddaten!A102</f>
        <v>100</v>
      </c>
      <c r="C105" s="4" t="str">
        <f>CONCATENATE("'",Grunddaten!F102,"'")</f>
        <v>'Vogt-Bauer'</v>
      </c>
      <c r="D105" s="4" t="str">
        <f>CONCATENATE("'",Grunddaten!E102,"'")</f>
        <v>'Lina-Marie'</v>
      </c>
      <c r="E105" s="4">
        <f>VLOOKUP(Grunddaten!D102,FormOfAddress,2,TRUE)</f>
        <v>2</v>
      </c>
      <c r="F105" s="4">
        <f>VLOOKUP(Grunddaten!I102,FamilyStatus,2,FALSE)</f>
        <v>5</v>
      </c>
      <c r="G105" s="4" t="str">
        <f>IF(Grunddaten!J102&lt;&gt;"",CONCATENATE("'",TEXT(Grunddaten!J102,"JJJJ-MM-tt"),"'"),"NULL")</f>
        <v>'2018-07-31'</v>
      </c>
      <c r="H105" s="4" t="str">
        <f>CONCATENATE("'",TEXT(Grunddaten!G102,"JJJJ-MM-tt"),"'")</f>
        <v>'1983-02-17'</v>
      </c>
      <c r="J105" s="14">
        <f>Grunddaten!A102</f>
        <v>100</v>
      </c>
      <c r="K105" s="14">
        <f>Grunddaten!Y102</f>
        <v>1</v>
      </c>
      <c r="L105" s="14" t="str">
        <f ca="1">CONCATENATE("'",Grunddaten!Z102,"'")</f>
        <v>'14558'</v>
      </c>
      <c r="M105" s="14" t="str">
        <f>CONCATENATE("'",Grunddaten!AA102,"'")</f>
        <v>'Nuthetal'</v>
      </c>
      <c r="N105" s="14" t="str">
        <f>CONCATENATE("'",Grunddaten!AB102,"'")</f>
        <v>'Friedrich-Dürrenmatt-Straße'</v>
      </c>
      <c r="O105" s="14" t="str">
        <f>CONCATENATE("'",Grunddaten!AC102,"'")</f>
        <v>'36C'</v>
      </c>
      <c r="P105" s="14">
        <f>Grunddaten!AD102</f>
        <v>1</v>
      </c>
      <c r="R105" s="13">
        <f>Grunddaten!A102</f>
        <v>100</v>
      </c>
      <c r="S105" s="13">
        <f>Grunddaten!AF102</f>
        <v>1</v>
      </c>
      <c r="T105" s="13" t="str">
        <f>CONCATENATE("'",Grunddaten!AG102,"'")</f>
        <v>'033200'</v>
      </c>
      <c r="U105" s="13" t="str">
        <f ca="1">CONCATENATE("'",Grunddaten!AH102,"'")</f>
        <v>'6880'</v>
      </c>
      <c r="V105" s="13">
        <f>Grunddaten!AI102</f>
        <v>1</v>
      </c>
      <c r="Z105" s="2" t="str" cm="1">
        <f t="array" ref="Z105">CONCATENATE("                   ",Liste(B105:H105),IF(Z106&lt;&gt;"",",",""))</f>
        <v xml:space="preserve">                   (100, 'Vogt-Bauer', 'Lina-Marie', 2, 5, '2018-07-31', '1983-02-17'),</v>
      </c>
      <c r="AB105" s="2" t="str" cm="1">
        <f t="array" aca="1" ref="AB105" ca="1">CONCATENATE("                    ",Liste(J105:P105),IF(AB106&lt;&gt;"",",",""))</f>
        <v xml:space="preserve">                    (100, 1, '14558', 'Nuthetal', 'Friedrich-Dürrenmatt-Straße', '36C', 1),</v>
      </c>
      <c r="AD105" s="2" t="str" cm="1">
        <f t="array" aca="1" ref="AD105" ca="1">CONCATENATE("                   ",Liste(R105:V105),IF(AD106&lt;&gt;"",",",""))</f>
        <v xml:space="preserve">                   (100, 1, '033200', '6880', 1),</v>
      </c>
    </row>
    <row r="106" spans="2:30" x14ac:dyDescent="0.45">
      <c r="B106" s="4">
        <f>Grunddaten!A103</f>
        <v>101</v>
      </c>
      <c r="C106" s="4" t="str">
        <f>CONCATENATE("'",Grunddaten!F103,"'")</f>
        <v>'Lehmann-Franke'</v>
      </c>
      <c r="D106" s="4" t="str">
        <f>CONCATENATE("'",Grunddaten!E103,"'")</f>
        <v>'Emil-Finn'</v>
      </c>
      <c r="E106" s="4">
        <f>VLOOKUP(Grunddaten!D103,FormOfAddress,2,TRUE)</f>
        <v>1</v>
      </c>
      <c r="F106" s="4">
        <f>VLOOKUP(Grunddaten!I103,FamilyStatus,2,FALSE)</f>
        <v>1</v>
      </c>
      <c r="G106" s="4" t="str">
        <f>IF(Grunddaten!J103&lt;&gt;"",CONCATENATE("'",TEXT(Grunddaten!J103,"JJJJ-MM-tt"),"'"),"NULL")</f>
        <v>NULL</v>
      </c>
      <c r="H106" s="4" t="str">
        <f>CONCATENATE("'",TEXT(Grunddaten!G103,"JJJJ-MM-tt"),"'")</f>
        <v>'1996-03-22'</v>
      </c>
      <c r="J106" s="14">
        <f>Grunddaten!A103</f>
        <v>101</v>
      </c>
      <c r="K106" s="14">
        <f>Grunddaten!Y103</f>
        <v>1</v>
      </c>
      <c r="L106" s="14" t="str">
        <f ca="1">CONCATENATE("'",Grunddaten!Z103,"'")</f>
        <v>'13581'</v>
      </c>
      <c r="M106" s="14" t="str">
        <f>CONCATENATE("'",Grunddaten!AA103,"'")</f>
        <v>'Berlin'</v>
      </c>
      <c r="N106" s="14" t="str">
        <f>CONCATENATE("'",Grunddaten!AB103,"'")</f>
        <v>'Schubertstraße'</v>
      </c>
      <c r="O106" s="14" t="str">
        <f>CONCATENATE("'",Grunddaten!AC103,"'")</f>
        <v>'1'</v>
      </c>
      <c r="P106" s="14">
        <f>Grunddaten!AD103</f>
        <v>1</v>
      </c>
      <c r="R106" s="13">
        <f>Grunddaten!A103</f>
        <v>101</v>
      </c>
      <c r="S106" s="13">
        <f>Grunddaten!AF103</f>
        <v>1</v>
      </c>
      <c r="T106" s="13" t="str">
        <f>CONCATENATE("'",Grunddaten!AG103,"'")</f>
        <v>'030'</v>
      </c>
      <c r="U106" s="13" t="str">
        <f ca="1">CONCATENATE("'",Grunddaten!AH103,"'")</f>
        <v>'68291142'</v>
      </c>
      <c r="V106" s="13">
        <f>Grunddaten!AI103</f>
        <v>1</v>
      </c>
      <c r="Z106" s="2" t="str" cm="1">
        <f t="array" ref="Z106">CONCATENATE("                   ",Liste(B106:H106),IF(Z107&lt;&gt;"",",",""))</f>
        <v xml:space="preserve">                   (101, 'Lehmann-Franke', 'Emil-Finn', 1, 1, NULL, '1996-03-22'),</v>
      </c>
      <c r="AB106" s="2" t="str" cm="1">
        <f t="array" aca="1" ref="AB106" ca="1">CONCATENATE("                    ",Liste(J106:P106),IF(AB107&lt;&gt;"",",",""))</f>
        <v xml:space="preserve">                    (101, 1, '13581', 'Berlin', 'Schubertstraße', '1', 1),</v>
      </c>
      <c r="AD106" s="2" t="str" cm="1">
        <f t="array" aca="1" ref="AD106" ca="1">CONCATENATE("                   ",Liste(R106:V106),IF(AD107&lt;&gt;"",",",""))</f>
        <v xml:space="preserve">                   (101, 1, '030', '68291142', 1),</v>
      </c>
    </row>
    <row r="107" spans="2:30" x14ac:dyDescent="0.45">
      <c r="B107" s="4">
        <f>Grunddaten!A104</f>
        <v>102</v>
      </c>
      <c r="C107" s="4" t="str">
        <f>CONCATENATE("'",Grunddaten!F104,"'")</f>
        <v>'Schumacher-Winkler'</v>
      </c>
      <c r="D107" s="4" t="str">
        <f>CONCATENATE("'",Grunddaten!E104,"'")</f>
        <v>'Amelie-Sophie'</v>
      </c>
      <c r="E107" s="4">
        <f>VLOOKUP(Grunddaten!D104,FormOfAddress,2,TRUE)</f>
        <v>2</v>
      </c>
      <c r="F107" s="4">
        <f>VLOOKUP(Grunddaten!I104,FamilyStatus,2,FALSE)</f>
        <v>2</v>
      </c>
      <c r="G107" s="4" t="str">
        <f>IF(Grunddaten!J104&lt;&gt;"",CONCATENATE("'",TEXT(Grunddaten!J104,"JJJJ-MM-tt"),"'"),"NULL")</f>
        <v>'1998-04-13'</v>
      </c>
      <c r="H107" s="4" t="str">
        <f>CONCATENATE("'",TEXT(Grunddaten!G104,"JJJJ-MM-tt"),"'")</f>
        <v>'1966-01-24'</v>
      </c>
      <c r="J107" s="14">
        <f>Grunddaten!A104</f>
        <v>102</v>
      </c>
      <c r="K107" s="14">
        <f>Grunddaten!Y104</f>
        <v>1</v>
      </c>
      <c r="L107" s="14" t="str">
        <f ca="1">CONCATENATE("'",Grunddaten!Z104,"'")</f>
        <v>'14552'</v>
      </c>
      <c r="M107" s="14" t="str">
        <f>CONCATENATE("'",Grunddaten!AA104,"'")</f>
        <v>'Michendorf'</v>
      </c>
      <c r="N107" s="14" t="str">
        <f>CONCATENATE("'",Grunddaten!AB104,"'")</f>
        <v>'Karlstraße'</v>
      </c>
      <c r="O107" s="14" t="str">
        <f>CONCATENATE("'",Grunddaten!AC104,"'")</f>
        <v>'3B'</v>
      </c>
      <c r="P107" s="14">
        <f>Grunddaten!AD104</f>
        <v>1</v>
      </c>
      <c r="R107" s="13">
        <f>Grunddaten!A104</f>
        <v>102</v>
      </c>
      <c r="S107" s="13">
        <f>Grunddaten!AF104</f>
        <v>1</v>
      </c>
      <c r="T107" s="13" t="str">
        <f>CONCATENATE("'",Grunddaten!AG104,"'")</f>
        <v>'033205'</v>
      </c>
      <c r="U107" s="13" t="str">
        <f ca="1">CONCATENATE("'",Grunddaten!AH104,"'")</f>
        <v>'5932'</v>
      </c>
      <c r="V107" s="13">
        <f>Grunddaten!AI104</f>
        <v>1</v>
      </c>
      <c r="Z107" s="2" t="str" cm="1">
        <f t="array" ref="Z107">CONCATENATE("                   ",Liste(B107:H107),IF(Z108&lt;&gt;"",",",""))</f>
        <v xml:space="preserve">                   (102, 'Schumacher-Winkler', 'Amelie-Sophie', 2, 2, '1998-04-13', '1966-01-24'),</v>
      </c>
      <c r="AB107" s="2" t="str" cm="1">
        <f t="array" aca="1" ref="AB107" ca="1">CONCATENATE("                    ",Liste(J107:P107),IF(AB108&lt;&gt;"",",",""))</f>
        <v xml:space="preserve">                    (102, 1, '14552', 'Michendorf', 'Karlstraße', '3B', 1),</v>
      </c>
      <c r="AD107" s="2" t="str" cm="1">
        <f t="array" aca="1" ref="AD107" ca="1">CONCATENATE("                   ",Liste(R107:V107),IF(AD108&lt;&gt;"",",",""))</f>
        <v xml:space="preserve">                   (102, 1, '033205', '5932', 1),</v>
      </c>
    </row>
    <row r="108" spans="2:30" x14ac:dyDescent="0.45">
      <c r="B108" s="4">
        <f>Grunddaten!A105</f>
        <v>103</v>
      </c>
      <c r="C108" s="4" t="str">
        <f>CONCATENATE("'",Grunddaten!F105,"'")</f>
        <v>'Schuster-Vogel'</v>
      </c>
      <c r="D108" s="4" t="str">
        <f>CONCATENATE("'",Grunddaten!E105,"'")</f>
        <v>'Anton-Felix'</v>
      </c>
      <c r="E108" s="4">
        <f>VLOOKUP(Grunddaten!D105,FormOfAddress,2,TRUE)</f>
        <v>1</v>
      </c>
      <c r="F108" s="4">
        <f>VLOOKUP(Grunddaten!I105,FamilyStatus,2,FALSE)</f>
        <v>2</v>
      </c>
      <c r="G108" s="4" t="str">
        <f>IF(Grunddaten!J105&lt;&gt;"",CONCATENATE("'",TEXT(Grunddaten!J105,"JJJJ-MM-tt"),"'"),"NULL")</f>
        <v>'1974-01-16'</v>
      </c>
      <c r="H108" s="4" t="str">
        <f>CONCATENATE("'",TEXT(Grunddaten!G105,"JJJJ-MM-tt"),"'")</f>
        <v>'1952-05-25'</v>
      </c>
      <c r="J108" s="14">
        <f>Grunddaten!A105</f>
        <v>103</v>
      </c>
      <c r="K108" s="14">
        <f>Grunddaten!Y105</f>
        <v>1</v>
      </c>
      <c r="L108" s="14" t="str">
        <f ca="1">CONCATENATE("'",Grunddaten!Z105,"'")</f>
        <v>'13581'</v>
      </c>
      <c r="M108" s="14" t="str">
        <f>CONCATENATE("'",Grunddaten!AA105,"'")</f>
        <v>'Berlin'</v>
      </c>
      <c r="N108" s="14" t="str">
        <f>CONCATENATE("'",Grunddaten!AB105,"'")</f>
        <v>'Martin-Luther-Straße'</v>
      </c>
      <c r="O108" s="14" t="str">
        <f>CONCATENATE("'",Grunddaten!AC105,"'")</f>
        <v>'27C'</v>
      </c>
      <c r="P108" s="14">
        <f>Grunddaten!AD105</f>
        <v>1</v>
      </c>
      <c r="R108" s="13">
        <f>Grunddaten!A105</f>
        <v>103</v>
      </c>
      <c r="S108" s="13">
        <f>Grunddaten!AF105</f>
        <v>1</v>
      </c>
      <c r="T108" s="13" t="str">
        <f>CONCATENATE("'",Grunddaten!AG105,"'")</f>
        <v>'030'</v>
      </c>
      <c r="U108" s="13" t="str">
        <f ca="1">CONCATENATE("'",Grunddaten!AH105,"'")</f>
        <v>'46966357'</v>
      </c>
      <c r="V108" s="13">
        <f>Grunddaten!AI105</f>
        <v>1</v>
      </c>
      <c r="Z108" s="2" t="str" cm="1">
        <f t="array" ref="Z108">CONCATENATE("                   ",Liste(B108:H108),IF(Z109&lt;&gt;"",",",""))</f>
        <v xml:space="preserve">                   (103, 'Schuster-Vogel', 'Anton-Felix', 1, 2, '1974-01-16', '1952-05-25'),</v>
      </c>
      <c r="AB108" s="2" t="str" cm="1">
        <f t="array" aca="1" ref="AB108" ca="1">CONCATENATE("                    ",Liste(J108:P108),IF(AB109&lt;&gt;"",",",""))</f>
        <v xml:space="preserve">                    (103, 1, '13581', 'Berlin', 'Martin-Luther-Straße', '27C', 1),</v>
      </c>
      <c r="AD108" s="2" t="str" cm="1">
        <f t="array" aca="1" ref="AD108" ca="1">CONCATENATE("                   ",Liste(R108:V108),IF(AD109&lt;&gt;"",",",""))</f>
        <v xml:space="preserve">                   (103, 1, '030', '46966357', 1),</v>
      </c>
    </row>
    <row r="109" spans="2:30" x14ac:dyDescent="0.45">
      <c r="B109" s="4">
        <f>Grunddaten!A106</f>
        <v>104</v>
      </c>
      <c r="C109" s="4" t="str">
        <f>CONCATENATE("'",Grunddaten!F106,"'")</f>
        <v>'Zimmermann-Schreiber'</v>
      </c>
      <c r="D109" s="4" t="str">
        <f>CONCATENATE("'",Grunddaten!E106,"'")</f>
        <v>'Elisa-Marie'</v>
      </c>
      <c r="E109" s="4">
        <f>VLOOKUP(Grunddaten!D106,FormOfAddress,2,TRUE)</f>
        <v>2</v>
      </c>
      <c r="F109" s="4">
        <f>VLOOKUP(Grunddaten!I106,FamilyStatus,2,FALSE)</f>
        <v>4</v>
      </c>
      <c r="G109" s="4" t="str">
        <f>IF(Grunddaten!J106&lt;&gt;"",CONCATENATE("'",TEXT(Grunddaten!J106,"JJJJ-MM-tt"),"'"),"NULL")</f>
        <v>'2021-04-21'</v>
      </c>
      <c r="H109" s="4" t="str">
        <f>CONCATENATE("'",TEXT(Grunddaten!G106,"JJJJ-MM-tt"),"'")</f>
        <v>'1962-06-14'</v>
      </c>
      <c r="J109" s="14">
        <f>Grunddaten!A106</f>
        <v>104</v>
      </c>
      <c r="K109" s="14">
        <f>Grunddaten!Y106</f>
        <v>1</v>
      </c>
      <c r="L109" s="14" t="str">
        <f ca="1">CONCATENATE("'",Grunddaten!Z106,"'")</f>
        <v>'14797'</v>
      </c>
      <c r="M109" s="14" t="str">
        <f>CONCATENATE("'",Grunddaten!AA106,"'")</f>
        <v>'Kloster Lehnin'</v>
      </c>
      <c r="N109" s="14" t="str">
        <f>CONCATENATE("'",Grunddaten!AB106,"'")</f>
        <v>'Schillerstraße'</v>
      </c>
      <c r="O109" s="14" t="str">
        <f>CONCATENATE("'",Grunddaten!AC106,"'")</f>
        <v>'12'</v>
      </c>
      <c r="P109" s="14">
        <f>Grunddaten!AD106</f>
        <v>1</v>
      </c>
      <c r="R109" s="13">
        <f>Grunddaten!A106</f>
        <v>104</v>
      </c>
      <c r="S109" s="13">
        <f>Grunddaten!AF106</f>
        <v>1</v>
      </c>
      <c r="T109" s="13" t="str">
        <f>CONCATENATE("'",Grunddaten!AG106,"'")</f>
        <v>'033835'</v>
      </c>
      <c r="U109" s="13" t="str">
        <f ca="1">CONCATENATE("'",Grunddaten!AH106,"'")</f>
        <v>'7505'</v>
      </c>
      <c r="V109" s="13">
        <f>Grunddaten!AI106</f>
        <v>1</v>
      </c>
      <c r="Z109" s="2" t="str" cm="1">
        <f t="array" ref="Z109">CONCATENATE("                   ",Liste(B109:H109),IF(Z110&lt;&gt;"",",",""))</f>
        <v xml:space="preserve">                   (104, 'Zimmermann-Schreiber', 'Elisa-Marie', 2, 4, '2021-04-21', '1962-06-14'),</v>
      </c>
      <c r="AB109" s="2" t="str" cm="1">
        <f t="array" aca="1" ref="AB109" ca="1">CONCATENATE("                    ",Liste(J109:P109),IF(AB110&lt;&gt;"",",",""))</f>
        <v xml:space="preserve">                    (104, 1, '14797', 'Kloster Lehnin', 'Schillerstraße', '12', 1),</v>
      </c>
      <c r="AD109" s="2" t="str" cm="1">
        <f t="array" aca="1" ref="AD109" ca="1">CONCATENATE("                   ",Liste(R109:V109),IF(AD110&lt;&gt;"",",",""))</f>
        <v xml:space="preserve">                   (104, 1, '033835', '7505', 1),</v>
      </c>
    </row>
    <row r="110" spans="2:30" x14ac:dyDescent="0.45">
      <c r="B110" s="4">
        <f>Grunddaten!A107</f>
        <v>105</v>
      </c>
      <c r="C110" s="4" t="str">
        <f>CONCATENATE("'",Grunddaten!F107,"'")</f>
        <v>'Günther-Sauer'</v>
      </c>
      <c r="D110" s="4" t="str">
        <f>CONCATENATE("'",Grunddaten!E107,"'")</f>
        <v>'Vincent-Paul'</v>
      </c>
      <c r="E110" s="4">
        <f>VLOOKUP(Grunddaten!D107,FormOfAddress,2,TRUE)</f>
        <v>1</v>
      </c>
      <c r="F110" s="4">
        <f>VLOOKUP(Grunddaten!I107,FamilyStatus,2,FALSE)</f>
        <v>2</v>
      </c>
      <c r="G110" s="4" t="str">
        <f>IF(Grunddaten!J107&lt;&gt;"",CONCATENATE("'",TEXT(Grunddaten!J107,"JJJJ-MM-tt"),"'"),"NULL")</f>
        <v>'2029-10-15'</v>
      </c>
      <c r="H110" s="4" t="str">
        <f>CONCATENATE("'",TEXT(Grunddaten!G107,"JJJJ-MM-tt"),"'")</f>
        <v>'1992-03-23'</v>
      </c>
      <c r="J110" s="14">
        <f>Grunddaten!A107</f>
        <v>105</v>
      </c>
      <c r="K110" s="14">
        <f>Grunddaten!Y107</f>
        <v>1</v>
      </c>
      <c r="L110" s="14" t="str">
        <f ca="1">CONCATENATE("'",Grunddaten!Z107,"'")</f>
        <v>'14827'</v>
      </c>
      <c r="M110" s="14" t="str">
        <f>CONCATENATE("'",Grunddaten!AA107,"'")</f>
        <v>'Wiesenburg/Mark'</v>
      </c>
      <c r="N110" s="14" t="str">
        <f>CONCATENATE("'",Grunddaten!AB107,"'")</f>
        <v>'Los-Angeles-Straße'</v>
      </c>
      <c r="O110" s="14" t="str">
        <f>CONCATENATE("'",Grunddaten!AC107,"'")</f>
        <v>'11'</v>
      </c>
      <c r="P110" s="14">
        <f>Grunddaten!AD107</f>
        <v>1</v>
      </c>
      <c r="R110" s="13">
        <f>Grunddaten!A107</f>
        <v>105</v>
      </c>
      <c r="S110" s="13">
        <f>Grunddaten!AF107</f>
        <v>1</v>
      </c>
      <c r="T110" s="13" t="str">
        <f>CONCATENATE("'",Grunddaten!AG107,"'")</f>
        <v>'033849'</v>
      </c>
      <c r="U110" s="13" t="str">
        <f ca="1">CONCATENATE("'",Grunddaten!AH107,"'")</f>
        <v>'7510'</v>
      </c>
      <c r="V110" s="13">
        <f>Grunddaten!AI107</f>
        <v>1</v>
      </c>
      <c r="Z110" s="2" t="str" cm="1">
        <f t="array" ref="Z110">CONCATENATE("                   ",Liste(B110:H110),IF(Z111&lt;&gt;"",",",""))</f>
        <v xml:space="preserve">                   (105, 'Günther-Sauer', 'Vincent-Paul', 1, 2, '2029-10-15', '1992-03-23'),</v>
      </c>
      <c r="AB110" s="2" t="str" cm="1">
        <f t="array" aca="1" ref="AB110" ca="1">CONCATENATE("                    ",Liste(J110:P110),IF(AB111&lt;&gt;"",",",""))</f>
        <v xml:space="preserve">                    (105, 1, '14827', 'Wiesenburg/Mark', 'Los-Angeles-Straße', '11', 1),</v>
      </c>
      <c r="AD110" s="2" t="str" cm="1">
        <f t="array" aca="1" ref="AD110" ca="1">CONCATENATE("                   ",Liste(R110:V110),IF(AD111&lt;&gt;"",",",""))</f>
        <v xml:space="preserve">                   (105, 1, '033849', '7510', 1),</v>
      </c>
    </row>
    <row r="111" spans="2:30" x14ac:dyDescent="0.45">
      <c r="B111" s="4">
        <f>Grunddaten!A108</f>
        <v>106</v>
      </c>
      <c r="C111" s="4" t="str">
        <f>CONCATENATE("'",Grunddaten!F108,"'")</f>
        <v>'Meier-Brandt'</v>
      </c>
      <c r="D111" s="4" t="str">
        <f>CONCATENATE("'",Grunddaten!E108,"'")</f>
        <v>'Clara-Emilia'</v>
      </c>
      <c r="E111" s="4">
        <f>VLOOKUP(Grunddaten!D108,FormOfAddress,2,TRUE)</f>
        <v>2</v>
      </c>
      <c r="F111" s="4">
        <f>VLOOKUP(Grunddaten!I108,FamilyStatus,2,FALSE)</f>
        <v>1</v>
      </c>
      <c r="G111" s="4" t="str">
        <f>IF(Grunddaten!J108&lt;&gt;"",CONCATENATE("'",TEXT(Grunddaten!J108,"JJJJ-MM-tt"),"'"),"NULL")</f>
        <v>NULL</v>
      </c>
      <c r="H111" s="4" t="str">
        <f>CONCATENATE("'",TEXT(Grunddaten!G108,"JJJJ-MM-tt"),"'")</f>
        <v>'1957-05-07'</v>
      </c>
      <c r="J111" s="14">
        <f>Grunddaten!A108</f>
        <v>106</v>
      </c>
      <c r="K111" s="14">
        <f>Grunddaten!Y108</f>
        <v>1</v>
      </c>
      <c r="L111" s="14" t="str">
        <f ca="1">CONCATENATE("'",Grunddaten!Z108,"'")</f>
        <v>'12043'</v>
      </c>
      <c r="M111" s="14" t="str">
        <f>CONCATENATE("'",Grunddaten!AA108,"'")</f>
        <v>'Berlin'</v>
      </c>
      <c r="N111" s="14" t="str">
        <f>CONCATENATE("'",Grunddaten!AB108,"'")</f>
        <v>'Georg-Friedrich-Händel-Straße'</v>
      </c>
      <c r="O111" s="14" t="str">
        <f>CONCATENATE("'",Grunddaten!AC108,"'")</f>
        <v>'22'</v>
      </c>
      <c r="P111" s="14">
        <f>Grunddaten!AD108</f>
        <v>1</v>
      </c>
      <c r="R111" s="13">
        <f>Grunddaten!A108</f>
        <v>106</v>
      </c>
      <c r="S111" s="13">
        <f>Grunddaten!AF108</f>
        <v>1</v>
      </c>
      <c r="T111" s="13" t="str">
        <f>CONCATENATE("'",Grunddaten!AG108,"'")</f>
        <v>'030'</v>
      </c>
      <c r="U111" s="13" t="str">
        <f ca="1">CONCATENATE("'",Grunddaten!AH108,"'")</f>
        <v>'97725076'</v>
      </c>
      <c r="V111" s="13">
        <f>Grunddaten!AI108</f>
        <v>1</v>
      </c>
      <c r="Z111" s="2" t="str" cm="1">
        <f t="array" ref="Z111">CONCATENATE("                   ",Liste(B111:H111),IF(Z112&lt;&gt;"",",",""))</f>
        <v xml:space="preserve">                   (106, 'Meier-Brandt', 'Clara-Emilia', 2, 1, NULL, '1957-05-07'),</v>
      </c>
      <c r="AB111" s="2" t="str" cm="1">
        <f t="array" aca="1" ref="AB111" ca="1">CONCATENATE("                    ",Liste(J111:P111),IF(AB112&lt;&gt;"",",",""))</f>
        <v xml:space="preserve">                    (106, 1, '12043', 'Berlin', 'Georg-Friedrich-Händel-Straße', '22', 1),</v>
      </c>
      <c r="AD111" s="2" t="str" cm="1">
        <f t="array" aca="1" ref="AD111" ca="1">CONCATENATE("                   ",Liste(R111:V111),IF(AD112&lt;&gt;"",",",""))</f>
        <v xml:space="preserve">                   (106, 1, '030', '97725076', 1),</v>
      </c>
    </row>
    <row r="112" spans="2:30" x14ac:dyDescent="0.45">
      <c r="B112" s="4">
        <f>Grunddaten!A109</f>
        <v>107</v>
      </c>
      <c r="C112" s="4" t="str">
        <f>CONCATENATE("'",Grunddaten!F109,"'")</f>
        <v>'Leineweber'</v>
      </c>
      <c r="D112" s="4" t="str">
        <f>CONCATENATE("'",Grunddaten!E109,"'")</f>
        <v>'Sabine'</v>
      </c>
      <c r="E112" s="4">
        <f>VLOOKUP(Grunddaten!D109,FormOfAddress,2,TRUE)</f>
        <v>2</v>
      </c>
      <c r="F112" s="4">
        <f>VLOOKUP(Grunddaten!I109,FamilyStatus,2,FALSE)</f>
        <v>3</v>
      </c>
      <c r="G112" s="4" t="str">
        <f>IF(Grunddaten!J109&lt;&gt;"",CONCATENATE("'",TEXT(Grunddaten!J109,"JJJJ-MM-tt"),"'"),"NULL")</f>
        <v>'2009-06-22'</v>
      </c>
      <c r="H112" s="4" t="str">
        <f>CONCATENATE("'",TEXT(Grunddaten!G109,"JJJJ-MM-tt"),"'")</f>
        <v>'1970-04-14'</v>
      </c>
      <c r="J112" s="14">
        <f>Grunddaten!A109</f>
        <v>107</v>
      </c>
      <c r="K112" s="14">
        <f>Grunddaten!Y109</f>
        <v>1</v>
      </c>
      <c r="L112" s="14" t="str">
        <f ca="1">CONCATENATE("'",Grunddaten!Z109,"'")</f>
        <v>'14772'</v>
      </c>
      <c r="M112" s="14" t="str">
        <f>CONCATENATE("'",Grunddaten!AA109,"'")</f>
        <v>'Brandenburg an der Havel'</v>
      </c>
      <c r="N112" s="14" t="str">
        <f>CONCATENATE("'",Grunddaten!AB109,"'")</f>
        <v>'Akazienweg'</v>
      </c>
      <c r="O112" s="14" t="str">
        <f>CONCATENATE("'",Grunddaten!AC109,"'")</f>
        <v>'13C'</v>
      </c>
      <c r="P112" s="14">
        <f>Grunddaten!AD109</f>
        <v>1</v>
      </c>
      <c r="R112" s="13">
        <f>Grunddaten!A109</f>
        <v>107</v>
      </c>
      <c r="S112" s="13">
        <f>Grunddaten!AF109</f>
        <v>1</v>
      </c>
      <c r="T112" s="13" t="str">
        <f>CONCATENATE("'",Grunddaten!AG109,"'")</f>
        <v>'03381'</v>
      </c>
      <c r="U112" s="13" t="str">
        <f ca="1">CONCATENATE("'",Grunddaten!AH109,"'")</f>
        <v>'84310'</v>
      </c>
      <c r="V112" s="13">
        <f>Grunddaten!AI109</f>
        <v>1</v>
      </c>
      <c r="Z112" s="2" t="str" cm="1">
        <f t="array" ref="Z112">CONCATENATE("                   ",Liste(B112:H112),IF(Z113&lt;&gt;"",",",""))</f>
        <v xml:space="preserve">                   (107, 'Leineweber', 'Sabine', 2, 3, '2009-06-22', '1970-04-14'),</v>
      </c>
      <c r="AB112" s="2" t="str" cm="1">
        <f t="array" aca="1" ref="AB112" ca="1">CONCATENATE("                    ",Liste(J112:P112),IF(AB113&lt;&gt;"",",",""))</f>
        <v xml:space="preserve">                    (107, 1, '14772', 'Brandenburg an der Havel', 'Akazienweg', '13C', 1),</v>
      </c>
      <c r="AD112" s="2" t="str" cm="1">
        <f t="array" aca="1" ref="AD112" ca="1">CONCATENATE("                   ",Liste(R112:V112),IF(AD113&lt;&gt;"",",",""))</f>
        <v xml:space="preserve">                   (107, 1, '03381', '84310', 1),</v>
      </c>
    </row>
    <row r="113" spans="2:30" x14ac:dyDescent="0.45">
      <c r="B113" s="4">
        <f>Grunddaten!A110</f>
        <v>108</v>
      </c>
      <c r="C113" s="4" t="str">
        <f>CONCATENATE("'",Grunddaten!F110,"'")</f>
        <v>'Schwarzer'</v>
      </c>
      <c r="D113" s="4" t="str">
        <f>CONCATENATE("'",Grunddaten!E110,"'")</f>
        <v>'Dominique'</v>
      </c>
      <c r="E113" s="4">
        <f>VLOOKUP(Grunddaten!D110,FormOfAddress,2,TRUE)</f>
        <v>2</v>
      </c>
      <c r="F113" s="4">
        <f>VLOOKUP(Grunddaten!I110,FamilyStatus,2,FALSE)</f>
        <v>2</v>
      </c>
      <c r="G113" s="4" t="str">
        <f>IF(Grunddaten!J110&lt;&gt;"",CONCATENATE("'",TEXT(Grunddaten!J110,"JJJJ-MM-tt"),"'"),"NULL")</f>
        <v>'2011-03-07'</v>
      </c>
      <c r="H113" s="4" t="str">
        <f>CONCATENATE("'",TEXT(Grunddaten!G110,"JJJJ-MM-tt"),"'")</f>
        <v>'1988-01-23'</v>
      </c>
      <c r="J113" s="14">
        <f>Grunddaten!A110</f>
        <v>108</v>
      </c>
      <c r="K113" s="14">
        <f>Grunddaten!Y110</f>
        <v>1</v>
      </c>
      <c r="L113" s="14" t="str">
        <f ca="1">CONCATENATE("'",Grunddaten!Z110,"'")</f>
        <v>'14822'</v>
      </c>
      <c r="M113" s="14" t="str">
        <f>CONCATENATE("'",Grunddaten!AA110,"'")</f>
        <v>'Borkheide'</v>
      </c>
      <c r="N113" s="14" t="str">
        <f>CONCATENATE("'",Grunddaten!AB110,"'")</f>
        <v>'Gustav-Mahler-Straße'</v>
      </c>
      <c r="O113" s="14" t="str">
        <f>CONCATENATE("'",Grunddaten!AC110,"'")</f>
        <v>'24F/G'</v>
      </c>
      <c r="P113" s="14">
        <f>Grunddaten!AD110</f>
        <v>1</v>
      </c>
      <c r="R113" s="13">
        <f>Grunddaten!A110</f>
        <v>108</v>
      </c>
      <c r="S113" s="13">
        <f>Grunddaten!AF110</f>
        <v>1</v>
      </c>
      <c r="T113" s="13" t="str">
        <f>CONCATENATE("'",Grunddaten!AG110,"'")</f>
        <v>'033845'</v>
      </c>
      <c r="U113" s="13" t="str">
        <f ca="1">CONCATENATE("'",Grunddaten!AH110,"'")</f>
        <v>'5979'</v>
      </c>
      <c r="V113" s="13">
        <f>Grunddaten!AI110</f>
        <v>1</v>
      </c>
      <c r="Z113" s="2" t="str" cm="1">
        <f t="array" ref="Z113">CONCATENATE("                   ",Liste(B113:H113),IF(Z114&lt;&gt;"",",",""))</f>
        <v xml:space="preserve">                   (108, 'Schwarzer', 'Dominique', 2, 2, '2011-03-07', '1988-01-23'),</v>
      </c>
      <c r="AB113" s="2" t="str" cm="1">
        <f t="array" aca="1" ref="AB113" ca="1">CONCATENATE("                    ",Liste(J113:P113),IF(AB114&lt;&gt;"",",",""))</f>
        <v xml:space="preserve">                    (108, 1, '14822', 'Borkheide', 'Gustav-Mahler-Straße', '24F/G', 1),</v>
      </c>
      <c r="AD113" s="2" t="str" cm="1">
        <f t="array" aca="1" ref="AD113" ca="1">CONCATENATE("                   ",Liste(R113:V113),IF(AD114&lt;&gt;"",",",""))</f>
        <v xml:space="preserve">                   (108, 1, '033845', '5979', 1),</v>
      </c>
    </row>
    <row r="114" spans="2:30" x14ac:dyDescent="0.45">
      <c r="B114" s="4">
        <f>Grunddaten!A111</f>
        <v>109</v>
      </c>
      <c r="C114" s="4" t="str">
        <f>CONCATENATE("'",Grunddaten!F111,"'")</f>
        <v>'Conrad'</v>
      </c>
      <c r="D114" s="4" t="str">
        <f>CONCATENATE("'",Grunddaten!E111,"'")</f>
        <v>'Doreen'</v>
      </c>
      <c r="E114" s="4">
        <f>VLOOKUP(Grunddaten!D111,FormOfAddress,2,TRUE)</f>
        <v>2</v>
      </c>
      <c r="F114" s="4">
        <f>VLOOKUP(Grunddaten!I111,FamilyStatus,2,FALSE)</f>
        <v>2</v>
      </c>
      <c r="G114" s="4" t="str">
        <f>IF(Grunddaten!J111&lt;&gt;"",CONCATENATE("'",TEXT(Grunddaten!J111,"JJJJ-MM-tt"),"'"),"NULL")</f>
        <v>'2030-10-09'</v>
      </c>
      <c r="H114" s="4" t="str">
        <f>CONCATENATE("'",TEXT(Grunddaten!G111,"JJJJ-MM-tt"),"'")</f>
        <v>'1995-04-29'</v>
      </c>
      <c r="J114" s="14">
        <f>Grunddaten!A111</f>
        <v>109</v>
      </c>
      <c r="K114" s="14">
        <f>Grunddaten!Y111</f>
        <v>1</v>
      </c>
      <c r="L114" s="14" t="str">
        <f ca="1">CONCATENATE("'",Grunddaten!Z111,"'")</f>
        <v>'14476'</v>
      </c>
      <c r="M114" s="14" t="str">
        <f>CONCATENATE("'",Grunddaten!AA111,"'")</f>
        <v>'Marquardt'</v>
      </c>
      <c r="N114" s="14" t="str">
        <f>CONCATENATE("'",Grunddaten!AB111,"'")</f>
        <v>'Am Hang'</v>
      </c>
      <c r="O114" s="14" t="str">
        <f>CONCATENATE("'",Grunddaten!AC111,"'")</f>
        <v>'2'</v>
      </c>
      <c r="P114" s="14">
        <f>Grunddaten!AD111</f>
        <v>1</v>
      </c>
      <c r="R114" s="13">
        <f>Grunddaten!A111</f>
        <v>109</v>
      </c>
      <c r="S114" s="13">
        <f>Grunddaten!AF111</f>
        <v>1</v>
      </c>
      <c r="T114" s="13" t="str">
        <f>CONCATENATE("'",Grunddaten!AG111,"'")</f>
        <v>'03381'</v>
      </c>
      <c r="U114" s="13" t="str">
        <f ca="1">CONCATENATE("'",Grunddaten!AH111,"'")</f>
        <v>'98188'</v>
      </c>
      <c r="V114" s="13">
        <f>Grunddaten!AI111</f>
        <v>1</v>
      </c>
      <c r="Z114" s="2" t="str" cm="1">
        <f t="array" ref="Z114">CONCATENATE("                   ",Liste(B114:H114),IF(Z115&lt;&gt;"",",",""))</f>
        <v xml:space="preserve">                   (109, 'Conrad', 'Doreen', 2, 2, '2030-10-09', '1995-04-29'),</v>
      </c>
      <c r="AB114" s="2" t="str" cm="1">
        <f t="array" aca="1" ref="AB114" ca="1">CONCATENATE("                    ",Liste(J114:P114),IF(AB115&lt;&gt;"",",",""))</f>
        <v xml:space="preserve">                    (109, 1, '14476', 'Marquardt', 'Am Hang', '2', 1),</v>
      </c>
      <c r="AD114" s="2" t="str" cm="1">
        <f t="array" aca="1" ref="AD114" ca="1">CONCATENATE("                   ",Liste(R114:V114),IF(AD115&lt;&gt;"",",",""))</f>
        <v xml:space="preserve">                   (109, 1, '03381', '98188', 1),</v>
      </c>
    </row>
    <row r="115" spans="2:30" x14ac:dyDescent="0.45">
      <c r="B115" s="4">
        <f>Grunddaten!A112</f>
        <v>110</v>
      </c>
      <c r="C115" s="4" t="str">
        <f>CONCATENATE("'",Grunddaten!F112,"'")</f>
        <v>'Weinert'</v>
      </c>
      <c r="D115" s="4" t="str">
        <f>CONCATENATE("'",Grunddaten!E112,"'")</f>
        <v>'Sonja'</v>
      </c>
      <c r="E115" s="4">
        <f>VLOOKUP(Grunddaten!D112,FormOfAddress,2,TRUE)</f>
        <v>2</v>
      </c>
      <c r="F115" s="4">
        <f>VLOOKUP(Grunddaten!I112,FamilyStatus,2,FALSE)</f>
        <v>1</v>
      </c>
      <c r="G115" s="4" t="str">
        <f>IF(Grunddaten!J112&lt;&gt;"",CONCATENATE("'",TEXT(Grunddaten!J112,"JJJJ-MM-tt"),"'"),"NULL")</f>
        <v>NULL</v>
      </c>
      <c r="H115" s="4" t="str">
        <f>CONCATENATE("'",TEXT(Grunddaten!G112,"JJJJ-MM-tt"),"'")</f>
        <v>'1996-10-22'</v>
      </c>
      <c r="J115" s="14">
        <f>Grunddaten!A112</f>
        <v>110</v>
      </c>
      <c r="K115" s="14">
        <f>Grunddaten!Y112</f>
        <v>1</v>
      </c>
      <c r="L115" s="14" t="str">
        <f ca="1">CONCATENATE("'",Grunddaten!Z112,"'")</f>
        <v>'12101'</v>
      </c>
      <c r="M115" s="14" t="str">
        <f>CONCATENATE("'",Grunddaten!AA112,"'")</f>
        <v>'Berlin'</v>
      </c>
      <c r="N115" s="14" t="str">
        <f>CONCATENATE("'",Grunddaten!AB112,"'")</f>
        <v>'Minneapolis-Straße'</v>
      </c>
      <c r="O115" s="14" t="str">
        <f>CONCATENATE("'",Grunddaten!AC112,"'")</f>
        <v>'5'</v>
      </c>
      <c r="P115" s="14">
        <f>Grunddaten!AD112</f>
        <v>1</v>
      </c>
      <c r="R115" s="13">
        <f>Grunddaten!A112</f>
        <v>110</v>
      </c>
      <c r="S115" s="13">
        <f>Grunddaten!AF112</f>
        <v>1</v>
      </c>
      <c r="T115" s="13" t="str">
        <f>CONCATENATE("'",Grunddaten!AG112,"'")</f>
        <v>'030'</v>
      </c>
      <c r="U115" s="13" t="str">
        <f ca="1">CONCATENATE("'",Grunddaten!AH112,"'")</f>
        <v>'77263729'</v>
      </c>
      <c r="V115" s="13">
        <f>Grunddaten!AI112</f>
        <v>1</v>
      </c>
      <c r="Z115" s="2" t="str" cm="1">
        <f t="array" ref="Z115">CONCATENATE("                   ",Liste(B115:H115),IF(Z116&lt;&gt;"",",",""))</f>
        <v xml:space="preserve">                   (110, 'Weinert', 'Sonja', 2, 1, NULL, '1996-10-22'),</v>
      </c>
      <c r="AB115" s="2" t="str" cm="1">
        <f t="array" aca="1" ref="AB115" ca="1">CONCATENATE("                    ",Liste(J115:P115),IF(AB116&lt;&gt;"",",",""))</f>
        <v xml:space="preserve">                    (110, 1, '12101', 'Berlin', 'Minneapolis-Straße', '5', 1),</v>
      </c>
      <c r="AD115" s="2" t="str" cm="1">
        <f t="array" aca="1" ref="AD115" ca="1">CONCATENATE("                   ",Liste(R115:V115),IF(AD116&lt;&gt;"",",",""))</f>
        <v xml:space="preserve">                   (110, 1, '030', '77263729', 1),</v>
      </c>
    </row>
    <row r="116" spans="2:30" x14ac:dyDescent="0.45">
      <c r="B116" s="4">
        <f>Grunddaten!A113</f>
        <v>111</v>
      </c>
      <c r="C116" s="4" t="str">
        <f>CONCATENATE("'",Grunddaten!F113,"'")</f>
        <v>'Mann'</v>
      </c>
      <c r="D116" s="4" t="str">
        <f>CONCATENATE("'",Grunddaten!E113,"'")</f>
        <v>'Siegfried'</v>
      </c>
      <c r="E116" s="4">
        <f>VLOOKUP(Grunddaten!D113,FormOfAddress,2,TRUE)</f>
        <v>1</v>
      </c>
      <c r="F116" s="4">
        <f>VLOOKUP(Grunddaten!I113,FamilyStatus,2,FALSE)</f>
        <v>1</v>
      </c>
      <c r="G116" s="4" t="str">
        <f>IF(Grunddaten!J113&lt;&gt;"",CONCATENATE("'",TEXT(Grunddaten!J113,"JJJJ-MM-tt"),"'"),"NULL")</f>
        <v>NULL</v>
      </c>
      <c r="H116" s="4" t="str">
        <f>CONCATENATE("'",TEXT(Grunddaten!G113,"JJJJ-MM-tt"),"'")</f>
        <v>'1989-04-21'</v>
      </c>
      <c r="J116" s="14">
        <f>Grunddaten!A113</f>
        <v>111</v>
      </c>
      <c r="K116" s="14">
        <f>Grunddaten!Y113</f>
        <v>1</v>
      </c>
      <c r="L116" s="14" t="str">
        <f ca="1">CONCATENATE("'",Grunddaten!Z113,"'")</f>
        <v>'10115'</v>
      </c>
      <c r="M116" s="14" t="str">
        <f>CONCATENATE("'",Grunddaten!AA113,"'")</f>
        <v>'Berlin'</v>
      </c>
      <c r="N116" s="14" t="str">
        <f>CONCATENATE("'",Grunddaten!AB113,"'")</f>
        <v>'Brüsseler Straße'</v>
      </c>
      <c r="O116" s="14" t="str">
        <f>CONCATENATE("'",Grunddaten!AC113,"'")</f>
        <v>'24A'</v>
      </c>
      <c r="P116" s="14">
        <f>Grunddaten!AD113</f>
        <v>1</v>
      </c>
      <c r="R116" s="13">
        <f>Grunddaten!A113</f>
        <v>111</v>
      </c>
      <c r="S116" s="13">
        <f>Grunddaten!AF113</f>
        <v>1</v>
      </c>
      <c r="T116" s="13" t="str">
        <f>CONCATENATE("'",Grunddaten!AG113,"'")</f>
        <v>'030'</v>
      </c>
      <c r="U116" s="13" t="str">
        <f ca="1">CONCATENATE("'",Grunddaten!AH113,"'")</f>
        <v>'47257431'</v>
      </c>
      <c r="V116" s="13">
        <f>Grunddaten!AI113</f>
        <v>1</v>
      </c>
      <c r="Z116" s="2" t="str" cm="1">
        <f t="array" ref="Z116">CONCATENATE("                   ",Liste(B116:H116),IF(Z117&lt;&gt;"",",",""))</f>
        <v xml:space="preserve">                   (111, 'Mann', 'Siegfried', 1, 1, NULL, '1989-04-21'),</v>
      </c>
      <c r="AB116" s="2" t="str" cm="1">
        <f t="array" aca="1" ref="AB116" ca="1">CONCATENATE("                    ",Liste(J116:P116),IF(AB117&lt;&gt;"",",",""))</f>
        <v xml:space="preserve">                    (111, 1, '10115', 'Berlin', 'Brüsseler Straße', '24A', 1),</v>
      </c>
      <c r="AD116" s="2" t="str" cm="1">
        <f t="array" aca="1" ref="AD116" ca="1">CONCATENATE("                   ",Liste(R116:V116),IF(AD117&lt;&gt;"",",",""))</f>
        <v xml:space="preserve">                   (111, 1, '030', '47257431', 1),</v>
      </c>
    </row>
    <row r="117" spans="2:30" x14ac:dyDescent="0.45">
      <c r="B117" s="4">
        <f>Grunddaten!A114</f>
        <v>112</v>
      </c>
      <c r="C117" s="4" t="str">
        <f>CONCATENATE("'",Grunddaten!F114,"'")</f>
        <v>'Winther'</v>
      </c>
      <c r="D117" s="4" t="str">
        <f>CONCATENATE("'",Grunddaten!E114,"'")</f>
        <v>'Petra'</v>
      </c>
      <c r="E117" s="4">
        <f>VLOOKUP(Grunddaten!D114,FormOfAddress,2,TRUE)</f>
        <v>2</v>
      </c>
      <c r="F117" s="4">
        <f>VLOOKUP(Grunddaten!I114,FamilyStatus,2,FALSE)</f>
        <v>2</v>
      </c>
      <c r="G117" s="4" t="str">
        <f>IF(Grunddaten!J114&lt;&gt;"",CONCATENATE("'",TEXT(Grunddaten!J114,"JJJJ-MM-tt"),"'"),"NULL")</f>
        <v>'1999-04-27'</v>
      </c>
      <c r="H117" s="4" t="str">
        <f>CONCATENATE("'",TEXT(Grunddaten!G114,"JJJJ-MM-tt"),"'")</f>
        <v>'1980-06-30'</v>
      </c>
      <c r="J117" s="14">
        <f>Grunddaten!A114</f>
        <v>112</v>
      </c>
      <c r="K117" s="14">
        <f>Grunddaten!Y114</f>
        <v>1</v>
      </c>
      <c r="L117" s="14" t="str">
        <f ca="1">CONCATENATE("'",Grunddaten!Z114,"'")</f>
        <v>'14822'</v>
      </c>
      <c r="M117" s="14" t="str">
        <f>CONCATENATE("'",Grunddaten!AA114,"'")</f>
        <v>'Brück'</v>
      </c>
      <c r="N117" s="14" t="str">
        <f>CONCATENATE("'",Grunddaten!AB114,"'")</f>
        <v>'Am See'</v>
      </c>
      <c r="O117" s="14" t="str">
        <f>CONCATENATE("'",Grunddaten!AC114,"'")</f>
        <v>'15'</v>
      </c>
      <c r="P117" s="14">
        <f>Grunddaten!AD114</f>
        <v>1</v>
      </c>
      <c r="R117" s="13">
        <f>Grunddaten!A114</f>
        <v>112</v>
      </c>
      <c r="S117" s="13">
        <f>Grunddaten!AF114</f>
        <v>1</v>
      </c>
      <c r="T117" s="13" t="str">
        <f>CONCATENATE("'",Grunddaten!AG114,"'")</f>
        <v>'033844'</v>
      </c>
      <c r="U117" s="13" t="str">
        <f ca="1">CONCATENATE("'",Grunddaten!AH114,"'")</f>
        <v>'6768'</v>
      </c>
      <c r="V117" s="13">
        <f>Grunddaten!AI114</f>
        <v>1</v>
      </c>
      <c r="Z117" s="2" t="str" cm="1">
        <f t="array" ref="Z117">CONCATENATE("                   ",Liste(B117:H117),IF(Z118&lt;&gt;"",",",""))</f>
        <v xml:space="preserve">                   (112, 'Winther', 'Petra', 2, 2, '1999-04-27', '1980-06-30'),</v>
      </c>
      <c r="AB117" s="2" t="str" cm="1">
        <f t="array" aca="1" ref="AB117" ca="1">CONCATENATE("                    ",Liste(J117:P117),IF(AB118&lt;&gt;"",",",""))</f>
        <v xml:space="preserve">                    (112, 1, '14822', 'Brück', 'Am See', '15', 1),</v>
      </c>
      <c r="AD117" s="2" t="str" cm="1">
        <f t="array" aca="1" ref="AD117" ca="1">CONCATENATE("                   ",Liste(R117:V117),IF(AD118&lt;&gt;"",",",""))</f>
        <v xml:space="preserve">                   (112, 1, '033844', '6768', 1),</v>
      </c>
    </row>
    <row r="118" spans="2:30" x14ac:dyDescent="0.45">
      <c r="B118" s="4">
        <f>Grunddaten!A115</f>
        <v>113</v>
      </c>
      <c r="C118" s="4" t="str">
        <f>CONCATENATE("'",Grunddaten!F115,"'")</f>
        <v>'Neumann'</v>
      </c>
      <c r="D118" s="4" t="str">
        <f>CONCATENATE("'",Grunddaten!E115,"'")</f>
        <v>'Wally'</v>
      </c>
      <c r="E118" s="4">
        <f>VLOOKUP(Grunddaten!D115,FormOfAddress,2,TRUE)</f>
        <v>2</v>
      </c>
      <c r="F118" s="4">
        <f>VLOOKUP(Grunddaten!I115,FamilyStatus,2,FALSE)</f>
        <v>2</v>
      </c>
      <c r="G118" s="4" t="str">
        <f>IF(Grunddaten!J115&lt;&gt;"",CONCATENATE("'",TEXT(Grunddaten!J115,"JJJJ-MM-tt"),"'"),"NULL")</f>
        <v>'2005-06-23'</v>
      </c>
      <c r="H118" s="4" t="str">
        <f>CONCATENATE("'",TEXT(Grunddaten!G115,"JJJJ-MM-tt"),"'")</f>
        <v>'1966-04-27'</v>
      </c>
      <c r="J118" s="14">
        <f>Grunddaten!A115</f>
        <v>113</v>
      </c>
      <c r="K118" s="14">
        <f>Grunddaten!Y115</f>
        <v>1</v>
      </c>
      <c r="L118" s="14" t="str">
        <f ca="1">CONCATENATE("'",Grunddaten!Z115,"'")</f>
        <v>'14050'</v>
      </c>
      <c r="M118" s="14" t="str">
        <f>CONCATENATE("'",Grunddaten!AA115,"'")</f>
        <v>'Berlin'</v>
      </c>
      <c r="N118" s="14" t="str">
        <f>CONCATENATE("'",Grunddaten!AB115,"'")</f>
        <v>'Beethovenplatz'</v>
      </c>
      <c r="O118" s="14" t="str">
        <f>CONCATENATE("'",Grunddaten!AC115,"'")</f>
        <v>'21'</v>
      </c>
      <c r="P118" s="14">
        <f>Grunddaten!AD115</f>
        <v>1</v>
      </c>
      <c r="R118" s="13">
        <f>Grunddaten!A115</f>
        <v>113</v>
      </c>
      <c r="S118" s="13">
        <f>Grunddaten!AF115</f>
        <v>1</v>
      </c>
      <c r="T118" s="13" t="str">
        <f>CONCATENATE("'",Grunddaten!AG115,"'")</f>
        <v>'030'</v>
      </c>
      <c r="U118" s="13" t="str">
        <f ca="1">CONCATENATE("'",Grunddaten!AH115,"'")</f>
        <v>'69682000'</v>
      </c>
      <c r="V118" s="13">
        <f>Grunddaten!AI115</f>
        <v>1</v>
      </c>
      <c r="Z118" s="2" t="str" cm="1">
        <f t="array" ref="Z118">CONCATENATE("                   ",Liste(B118:H118),IF(Z119&lt;&gt;"",",",""))</f>
        <v xml:space="preserve">                   (113, 'Neumann', 'Wally', 2, 2, '2005-06-23', '1966-04-27'),</v>
      </c>
      <c r="AB118" s="2" t="str" cm="1">
        <f t="array" aca="1" ref="AB118" ca="1">CONCATENATE("                    ",Liste(J118:P118),IF(AB119&lt;&gt;"",",",""))</f>
        <v xml:space="preserve">                    (113, 1, '14050', 'Berlin', 'Beethovenplatz', '21', 1),</v>
      </c>
      <c r="AD118" s="2" t="str" cm="1">
        <f t="array" aca="1" ref="AD118" ca="1">CONCATENATE("                   ",Liste(R118:V118),IF(AD119&lt;&gt;"",",",""))</f>
        <v xml:space="preserve">                   (113, 1, '030', '69682000', 1),</v>
      </c>
    </row>
    <row r="119" spans="2:30" x14ac:dyDescent="0.45">
      <c r="B119" s="4">
        <f>Grunddaten!A116</f>
        <v>114</v>
      </c>
      <c r="C119" s="4" t="str">
        <f>CONCATENATE("'",Grunddaten!F116,"'")</f>
        <v>'Wegner'</v>
      </c>
      <c r="D119" s="4" t="str">
        <f>CONCATENATE("'",Grunddaten!E116,"'")</f>
        <v>'Olaf'</v>
      </c>
      <c r="E119" s="4">
        <f>VLOOKUP(Grunddaten!D116,FormOfAddress,2,TRUE)</f>
        <v>1</v>
      </c>
      <c r="F119" s="4">
        <f>VLOOKUP(Grunddaten!I116,FamilyStatus,2,FALSE)</f>
        <v>2</v>
      </c>
      <c r="G119" s="4" t="str">
        <f>IF(Grunddaten!J116&lt;&gt;"",CONCATENATE("'",TEXT(Grunddaten!J116,"JJJJ-MM-tt"),"'"),"NULL")</f>
        <v>'2006-02-09'</v>
      </c>
      <c r="H119" s="4" t="str">
        <f>CONCATENATE("'",TEXT(Grunddaten!G116,"JJJJ-MM-tt"),"'")</f>
        <v>'1982-04-08'</v>
      </c>
      <c r="J119" s="14">
        <f>Grunddaten!A116</f>
        <v>114</v>
      </c>
      <c r="K119" s="14">
        <f>Grunddaten!Y116</f>
        <v>1</v>
      </c>
      <c r="L119" s="14" t="str">
        <f ca="1">CONCATENATE("'",Grunddaten!Z116,"'")</f>
        <v>'13435'</v>
      </c>
      <c r="M119" s="14" t="str">
        <f>CONCATENATE("'",Grunddaten!AA116,"'")</f>
        <v>'Berlin'</v>
      </c>
      <c r="N119" s="14" t="str">
        <f>CONCATENATE("'",Grunddaten!AB116,"'")</f>
        <v>'Pittsburghplatz'</v>
      </c>
      <c r="O119" s="14" t="str">
        <f>CONCATENATE("'",Grunddaten!AC116,"'")</f>
        <v>'5E'</v>
      </c>
      <c r="P119" s="14">
        <f>Grunddaten!AD116</f>
        <v>1</v>
      </c>
      <c r="R119" s="13">
        <f>Grunddaten!A116</f>
        <v>114</v>
      </c>
      <c r="S119" s="13">
        <f>Grunddaten!AF116</f>
        <v>1</v>
      </c>
      <c r="T119" s="13" t="str">
        <f>CONCATENATE("'",Grunddaten!AG116,"'")</f>
        <v>'030'</v>
      </c>
      <c r="U119" s="13" t="str">
        <f ca="1">CONCATENATE("'",Grunddaten!AH116,"'")</f>
        <v>'55974518'</v>
      </c>
      <c r="V119" s="13">
        <f>Grunddaten!AI116</f>
        <v>1</v>
      </c>
      <c r="Z119" s="2" t="str" cm="1">
        <f t="array" ref="Z119">CONCATENATE("                   ",Liste(B119:H119),IF(Z120&lt;&gt;"",",",""))</f>
        <v xml:space="preserve">                   (114, 'Wegner', 'Olaf', 1, 2, '2006-02-09', '1982-04-08'),</v>
      </c>
      <c r="AB119" s="2" t="str" cm="1">
        <f t="array" aca="1" ref="AB119" ca="1">CONCATENATE("                    ",Liste(J119:P119),IF(AB120&lt;&gt;"",",",""))</f>
        <v xml:space="preserve">                    (114, 1, '13435', 'Berlin', 'Pittsburghplatz', '5E', 1),</v>
      </c>
      <c r="AD119" s="2" t="str" cm="1">
        <f t="array" aca="1" ref="AD119" ca="1">CONCATENATE("                   ",Liste(R119:V119),IF(AD120&lt;&gt;"",",",""))</f>
        <v xml:space="preserve">                   (114, 1, '030', '55974518', 1),</v>
      </c>
    </row>
    <row r="120" spans="2:30" x14ac:dyDescent="0.45">
      <c r="B120" s="4">
        <f>Grunddaten!A117</f>
        <v>115</v>
      </c>
      <c r="C120" s="4" t="str">
        <f>CONCATENATE("'",Grunddaten!F117,"'")</f>
        <v>'Krick'</v>
      </c>
      <c r="D120" s="4" t="str">
        <f>CONCATENATE("'",Grunddaten!E117,"'")</f>
        <v>'Wilhelm'</v>
      </c>
      <c r="E120" s="4">
        <f>VLOOKUP(Grunddaten!D117,FormOfAddress,2,TRUE)</f>
        <v>1</v>
      </c>
      <c r="F120" s="4">
        <f>VLOOKUP(Grunddaten!I117,FamilyStatus,2,FALSE)</f>
        <v>3</v>
      </c>
      <c r="G120" s="4" t="str">
        <f>IF(Grunddaten!J117&lt;&gt;"",CONCATENATE("'",TEXT(Grunddaten!J117,"JJJJ-MM-tt"),"'"),"NULL")</f>
        <v>'2023-11-02'</v>
      </c>
      <c r="H120" s="4" t="str">
        <f>CONCATENATE("'",TEXT(Grunddaten!G117,"JJJJ-MM-tt"),"'")</f>
        <v>'1985-12-30'</v>
      </c>
      <c r="J120" s="14">
        <f>Grunddaten!A117</f>
        <v>115</v>
      </c>
      <c r="K120" s="14">
        <f>Grunddaten!Y117</f>
        <v>1</v>
      </c>
      <c r="L120" s="14" t="str">
        <f ca="1">CONCATENATE("'",Grunddaten!Z117,"'")</f>
        <v>'14828'</v>
      </c>
      <c r="M120" s="14" t="str">
        <f>CONCATENATE("'",Grunddaten!AA117,"'")</f>
        <v>'Görzke'</v>
      </c>
      <c r="N120" s="14" t="str">
        <f>CONCATENATE("'",Grunddaten!AB117,"'")</f>
        <v>'Londoner Straße'</v>
      </c>
      <c r="O120" s="14" t="str">
        <f>CONCATENATE("'",Grunddaten!AC117,"'")</f>
        <v>'6'</v>
      </c>
      <c r="P120" s="14">
        <f>Grunddaten!AD117</f>
        <v>1</v>
      </c>
      <c r="R120" s="13">
        <f>Grunddaten!A117</f>
        <v>115</v>
      </c>
      <c r="S120" s="13">
        <f>Grunddaten!AF117</f>
        <v>1</v>
      </c>
      <c r="T120" s="13" t="str">
        <f>CONCATENATE("'",Grunddaten!AG117,"'")</f>
        <v>'033847'</v>
      </c>
      <c r="U120" s="13" t="str">
        <f ca="1">CONCATENATE("'",Grunddaten!AH117,"'")</f>
        <v>'8397'</v>
      </c>
      <c r="V120" s="13">
        <f>Grunddaten!AI117</f>
        <v>1</v>
      </c>
      <c r="Z120" s="2" t="str" cm="1">
        <f t="array" ref="Z120">CONCATENATE("                   ",Liste(B120:H120),IF(Z121&lt;&gt;"",",",""))</f>
        <v xml:space="preserve">                   (115, 'Krick', 'Wilhelm', 1, 3, '2023-11-02', '1985-12-30'),</v>
      </c>
      <c r="AB120" s="2" t="str" cm="1">
        <f t="array" aca="1" ref="AB120" ca="1">CONCATENATE("                    ",Liste(J120:P120),IF(AB121&lt;&gt;"",",",""))</f>
        <v xml:space="preserve">                    (115, 1, '14828', 'Görzke', 'Londoner Straße', '6', 1),</v>
      </c>
      <c r="AD120" s="2" t="str" cm="1">
        <f t="array" aca="1" ref="AD120" ca="1">CONCATENATE("                   ",Liste(R120:V120),IF(AD121&lt;&gt;"",",",""))</f>
        <v xml:space="preserve">                   (115, 1, '033847', '8397', 1),</v>
      </c>
    </row>
    <row r="121" spans="2:30" x14ac:dyDescent="0.45">
      <c r="B121" s="4">
        <f>Grunddaten!A118</f>
        <v>116</v>
      </c>
      <c r="C121" s="4" t="str">
        <f>CONCATENATE("'",Grunddaten!F118,"'")</f>
        <v>'Reich'</v>
      </c>
      <c r="D121" s="4" t="str">
        <f>CONCATENATE("'",Grunddaten!E118,"'")</f>
        <v>'Friedhelm'</v>
      </c>
      <c r="E121" s="4">
        <f>VLOOKUP(Grunddaten!D118,FormOfAddress,2,TRUE)</f>
        <v>1</v>
      </c>
      <c r="F121" s="4">
        <f>VLOOKUP(Grunddaten!I118,FamilyStatus,2,FALSE)</f>
        <v>1</v>
      </c>
      <c r="G121" s="4" t="str">
        <f>IF(Grunddaten!J118&lt;&gt;"",CONCATENATE("'",TEXT(Grunddaten!J118,"JJJJ-MM-tt"),"'"),"NULL")</f>
        <v>NULL</v>
      </c>
      <c r="H121" s="4" t="str">
        <f>CONCATENATE("'",TEXT(Grunddaten!G118,"JJJJ-MM-tt"),"'")</f>
        <v>'1982-11-16'</v>
      </c>
      <c r="J121" s="14">
        <f>Grunddaten!A118</f>
        <v>116</v>
      </c>
      <c r="K121" s="14">
        <f>Grunddaten!Y118</f>
        <v>1</v>
      </c>
      <c r="L121" s="14" t="str">
        <f ca="1">CONCATENATE("'",Grunddaten!Z118,"'")</f>
        <v>'14548'</v>
      </c>
      <c r="M121" s="14" t="str">
        <f>CONCATENATE("'",Grunddaten!AA118,"'")</f>
        <v>'Schwielowsee'</v>
      </c>
      <c r="N121" s="14" t="str">
        <f>CONCATENATE("'",Grunddaten!AB118,"'")</f>
        <v>'Dorfstraße'</v>
      </c>
      <c r="O121" s="14" t="str">
        <f>CONCATENATE("'",Grunddaten!AC118,"'")</f>
        <v>'13'</v>
      </c>
      <c r="P121" s="14">
        <f>Grunddaten!AD118</f>
        <v>1</v>
      </c>
      <c r="R121" s="13">
        <f>Grunddaten!A118</f>
        <v>116</v>
      </c>
      <c r="S121" s="13">
        <f>Grunddaten!AF118</f>
        <v>1</v>
      </c>
      <c r="T121" s="13" t="str">
        <f>CONCATENATE("'",Grunddaten!AG118,"'")</f>
        <v>'03327'</v>
      </c>
      <c r="U121" s="13" t="str">
        <f ca="1">CONCATENATE("'",Grunddaten!AH118,"'")</f>
        <v>'57696'</v>
      </c>
      <c r="V121" s="13">
        <f>Grunddaten!AI118</f>
        <v>1</v>
      </c>
      <c r="Z121" s="2" t="str" cm="1">
        <f t="array" ref="Z121">CONCATENATE("                   ",Liste(B121:H121),IF(Z122&lt;&gt;"",",",""))</f>
        <v xml:space="preserve">                   (116, 'Reich', 'Friedhelm', 1, 1, NULL, '1982-11-16'),</v>
      </c>
      <c r="AB121" s="2" t="str" cm="1">
        <f t="array" aca="1" ref="AB121" ca="1">CONCATENATE("                    ",Liste(J121:P121),IF(AB122&lt;&gt;"",",",""))</f>
        <v xml:space="preserve">                    (116, 1, '14548', 'Schwielowsee', 'Dorfstraße', '13', 1),</v>
      </c>
      <c r="AD121" s="2" t="str" cm="1">
        <f t="array" aca="1" ref="AD121" ca="1">CONCATENATE("                   ",Liste(R121:V121),IF(AD122&lt;&gt;"",",",""))</f>
        <v xml:space="preserve">                   (116, 1, '03327', '57696', 1),</v>
      </c>
    </row>
    <row r="122" spans="2:30" x14ac:dyDescent="0.45">
      <c r="B122" s="4">
        <f>Grunddaten!A119</f>
        <v>117</v>
      </c>
      <c r="C122" s="4" t="str">
        <f>CONCATENATE("'",Grunddaten!F119,"'")</f>
        <v>'Zimmermann'</v>
      </c>
      <c r="D122" s="4" t="str">
        <f>CONCATENATE("'",Grunddaten!E119,"'")</f>
        <v>'Dirk'</v>
      </c>
      <c r="E122" s="4">
        <f>VLOOKUP(Grunddaten!D119,FormOfAddress,2,TRUE)</f>
        <v>1</v>
      </c>
      <c r="F122" s="4">
        <f>VLOOKUP(Grunddaten!I119,FamilyStatus,2,FALSE)</f>
        <v>3</v>
      </c>
      <c r="G122" s="4" t="str">
        <f>IF(Grunddaten!J119&lt;&gt;"",CONCATENATE("'",TEXT(Grunddaten!J119,"JJJJ-MM-tt"),"'"),"NULL")</f>
        <v>'2021-11-29'</v>
      </c>
      <c r="H122" s="4" t="str">
        <f>CONCATENATE("'",TEXT(Grunddaten!G119,"JJJJ-MM-tt"),"'")</f>
        <v>'1982-01-11'</v>
      </c>
      <c r="J122" s="14">
        <f>Grunddaten!A119</f>
        <v>117</v>
      </c>
      <c r="K122" s="14">
        <f>Grunddaten!Y119</f>
        <v>1</v>
      </c>
      <c r="L122" s="14" t="str">
        <f ca="1">CONCATENATE("'",Grunddaten!Z119,"'")</f>
        <v>'14797'</v>
      </c>
      <c r="M122" s="14" t="str">
        <f>CONCATENATE("'",Grunddaten!AA119,"'")</f>
        <v>'Kloster Lehnin'</v>
      </c>
      <c r="N122" s="14" t="str">
        <f>CONCATENATE("'",Grunddaten!AB119,"'")</f>
        <v>'Berliner Straße'</v>
      </c>
      <c r="O122" s="14" t="str">
        <f>CONCATENATE("'",Grunddaten!AC119,"'")</f>
        <v>'8'</v>
      </c>
      <c r="P122" s="14">
        <f>Grunddaten!AD119</f>
        <v>1</v>
      </c>
      <c r="R122" s="13">
        <f>Grunddaten!A119</f>
        <v>117</v>
      </c>
      <c r="S122" s="13">
        <f>Grunddaten!AF119</f>
        <v>1</v>
      </c>
      <c r="T122" s="13" t="str">
        <f>CONCATENATE("'",Grunddaten!AG119,"'")</f>
        <v>'033835'</v>
      </c>
      <c r="U122" s="13" t="str">
        <f ca="1">CONCATENATE("'",Grunddaten!AH119,"'")</f>
        <v>'9283'</v>
      </c>
      <c r="V122" s="13">
        <f>Grunddaten!AI119</f>
        <v>1</v>
      </c>
      <c r="Z122" s="2" t="str" cm="1">
        <f t="array" ref="Z122">CONCATENATE("                   ",Liste(B122:H122),IF(Z123&lt;&gt;"",",",""))</f>
        <v xml:space="preserve">                   (117, 'Zimmermann', 'Dirk', 1, 3, '2021-11-29', '1982-01-11'),</v>
      </c>
      <c r="AB122" s="2" t="str" cm="1">
        <f t="array" aca="1" ref="AB122" ca="1">CONCATENATE("                    ",Liste(J122:P122),IF(AB123&lt;&gt;"",",",""))</f>
        <v xml:space="preserve">                    (117, 1, '14797', 'Kloster Lehnin', 'Berliner Straße', '8', 1),</v>
      </c>
      <c r="AD122" s="2" t="str" cm="1">
        <f t="array" aca="1" ref="AD122" ca="1">CONCATENATE("                   ",Liste(R122:V122),IF(AD123&lt;&gt;"",",",""))</f>
        <v xml:space="preserve">                   (117, 1, '033835', '9283', 1),</v>
      </c>
    </row>
    <row r="123" spans="2:30" x14ac:dyDescent="0.45">
      <c r="B123" s="4">
        <f>Grunddaten!A120</f>
        <v>118</v>
      </c>
      <c r="C123" s="4" t="str">
        <f>CONCATENATE("'",Grunddaten!F120,"'")</f>
        <v>'Schmidt'</v>
      </c>
      <c r="D123" s="4" t="str">
        <f>CONCATENATE("'",Grunddaten!E120,"'")</f>
        <v>'Reinhard'</v>
      </c>
      <c r="E123" s="4">
        <f>VLOOKUP(Grunddaten!D120,FormOfAddress,2,TRUE)</f>
        <v>1</v>
      </c>
      <c r="F123" s="4">
        <f>VLOOKUP(Grunddaten!I120,FamilyStatus,2,FALSE)</f>
        <v>2</v>
      </c>
      <c r="G123" s="4" t="str">
        <f>IF(Grunddaten!J120&lt;&gt;"",CONCATENATE("'",TEXT(Grunddaten!J120,"JJJJ-MM-tt"),"'"),"NULL")</f>
        <v>'2003-06-23'</v>
      </c>
      <c r="H123" s="4" t="str">
        <f>CONCATENATE("'",TEXT(Grunddaten!G120,"JJJJ-MM-tt"),"'")</f>
        <v>'1976-08-09'</v>
      </c>
      <c r="J123" s="14">
        <f>Grunddaten!A120</f>
        <v>118</v>
      </c>
      <c r="K123" s="14">
        <f>Grunddaten!Y120</f>
        <v>1</v>
      </c>
      <c r="L123" s="14" t="str">
        <f ca="1">CONCATENATE("'",Grunddaten!Z120,"'")</f>
        <v>'14641'</v>
      </c>
      <c r="M123" s="14" t="str">
        <f>CONCATENATE("'",Grunddaten!AA120,"'")</f>
        <v>'Groß Behnitz'</v>
      </c>
      <c r="N123" s="14" t="str">
        <f>CONCATENATE("'",Grunddaten!AB120,"'")</f>
        <v>'Ludwig-van-Beethoven-Straße'</v>
      </c>
      <c r="O123" s="14" t="str">
        <f>CONCATENATE("'",Grunddaten!AC120,"'")</f>
        <v>'15C'</v>
      </c>
      <c r="P123" s="14">
        <f>Grunddaten!AD120</f>
        <v>1</v>
      </c>
      <c r="R123" s="13">
        <f>Grunddaten!A120</f>
        <v>118</v>
      </c>
      <c r="S123" s="13">
        <f>Grunddaten!AF120</f>
        <v>1</v>
      </c>
      <c r="T123" s="13" t="str">
        <f>CONCATENATE("'",Grunddaten!AG120,"'")</f>
        <v>'033234'</v>
      </c>
      <c r="U123" s="13" t="str">
        <f ca="1">CONCATENATE("'",Grunddaten!AH120,"'")</f>
        <v>'7912'</v>
      </c>
      <c r="V123" s="13">
        <f>Grunddaten!AI120</f>
        <v>1</v>
      </c>
      <c r="Z123" s="2" t="str" cm="1">
        <f t="array" ref="Z123">CONCATENATE("                   ",Liste(B123:H123),IF(Z124&lt;&gt;"",",",""))</f>
        <v xml:space="preserve">                   (118, 'Schmidt', 'Reinhard', 1, 2, '2003-06-23', '1976-08-09'),</v>
      </c>
      <c r="AB123" s="2" t="str" cm="1">
        <f t="array" aca="1" ref="AB123" ca="1">CONCATENATE("                    ",Liste(J123:P123),IF(AB124&lt;&gt;"",",",""))</f>
        <v xml:space="preserve">                    (118, 1, '14641', 'Groß Behnitz', 'Ludwig-van-Beethoven-Straße', '15C', 1),</v>
      </c>
      <c r="AD123" s="2" t="str" cm="1">
        <f t="array" aca="1" ref="AD123" ca="1">CONCATENATE("                   ",Liste(R123:V123),IF(AD124&lt;&gt;"",",",""))</f>
        <v xml:space="preserve">                   (118, 1, '033234', '7912', 1),</v>
      </c>
    </row>
    <row r="124" spans="2:30" x14ac:dyDescent="0.45">
      <c r="B124" s="4">
        <f>Grunddaten!A121</f>
        <v>119</v>
      </c>
      <c r="C124" s="4" t="str">
        <f>CONCATENATE("'",Grunddaten!F121,"'")</f>
        <v>'Schwarz'</v>
      </c>
      <c r="D124" s="4" t="str">
        <f>CONCATENATE("'",Grunddaten!E121,"'")</f>
        <v>'Alice'</v>
      </c>
      <c r="E124" s="4">
        <f>VLOOKUP(Grunddaten!D121,FormOfAddress,2,TRUE)</f>
        <v>2</v>
      </c>
      <c r="F124" s="4">
        <f>VLOOKUP(Grunddaten!I121,FamilyStatus,2,FALSE)</f>
        <v>2</v>
      </c>
      <c r="G124" s="4" t="str">
        <f>IF(Grunddaten!J121&lt;&gt;"",CONCATENATE("'",TEXT(Grunddaten!J121,"JJJJ-MM-tt"),"'"),"NULL")</f>
        <v>'2007-11-26'</v>
      </c>
      <c r="H124" s="4" t="str">
        <f>CONCATENATE("'",TEXT(Grunddaten!G121,"JJJJ-MM-tt"),"'")</f>
        <v>'1984-03-17'</v>
      </c>
      <c r="J124" s="14">
        <f>Grunddaten!A121</f>
        <v>119</v>
      </c>
      <c r="K124" s="14">
        <f>Grunddaten!Y121</f>
        <v>1</v>
      </c>
      <c r="L124" s="14" t="str">
        <f ca="1">CONCATENATE("'",Grunddaten!Z121,"'")</f>
        <v>'14778'</v>
      </c>
      <c r="M124" s="14" t="str">
        <f>CONCATENATE("'",Grunddaten!AA121,"'")</f>
        <v>'Beetzsee'</v>
      </c>
      <c r="N124" s="14" t="str">
        <f>CONCATENATE("'",Grunddaten!AB121,"'")</f>
        <v>'Goetheplatz'</v>
      </c>
      <c r="O124" s="14" t="str">
        <f>CONCATENATE("'",Grunddaten!AC121,"'")</f>
        <v>'63'</v>
      </c>
      <c r="P124" s="14">
        <f>Grunddaten!AD121</f>
        <v>1</v>
      </c>
      <c r="R124" s="13">
        <f>Grunddaten!A121</f>
        <v>119</v>
      </c>
      <c r="S124" s="13">
        <f>Grunddaten!AF121</f>
        <v>1</v>
      </c>
      <c r="T124" s="13" t="str">
        <f>CONCATENATE("'",Grunddaten!AG121,"'")</f>
        <v>'03381'</v>
      </c>
      <c r="U124" s="13" t="str">
        <f ca="1">CONCATENATE("'",Grunddaten!AH121,"'")</f>
        <v>'73161'</v>
      </c>
      <c r="V124" s="13">
        <f>Grunddaten!AI121</f>
        <v>1</v>
      </c>
      <c r="Z124" s="2" t="str" cm="1">
        <f t="array" ref="Z124">CONCATENATE("                   ",Liste(B124:H124),IF(Z125&lt;&gt;"",",",""))</f>
        <v xml:space="preserve">                   (119, 'Schwarz', 'Alice', 2, 2, '2007-11-26', '1984-03-17'),</v>
      </c>
      <c r="AB124" s="2" t="str" cm="1">
        <f t="array" aca="1" ref="AB124" ca="1">CONCATENATE("                    ",Liste(J124:P124),IF(AB125&lt;&gt;"",",",""))</f>
        <v xml:space="preserve">                    (119, 1, '14778', 'Beetzsee', 'Goetheplatz', '63', 1),</v>
      </c>
      <c r="AD124" s="2" t="str" cm="1">
        <f t="array" aca="1" ref="AD124" ca="1">CONCATENATE("                   ",Liste(R124:V124),IF(AD125&lt;&gt;"",",",""))</f>
        <v xml:space="preserve">                   (119, 1, '03381', '73161', 1),</v>
      </c>
    </row>
    <row r="125" spans="2:30" x14ac:dyDescent="0.45">
      <c r="B125" s="4">
        <f>Grunddaten!A122</f>
        <v>120</v>
      </c>
      <c r="C125" s="4" t="str">
        <f>CONCATENATE("'",Grunddaten!F122,"'")</f>
        <v>'Steinke'</v>
      </c>
      <c r="D125" s="4" t="str">
        <f>CONCATENATE("'",Grunddaten!E122,"'")</f>
        <v>'Lothar'</v>
      </c>
      <c r="E125" s="4">
        <f>VLOOKUP(Grunddaten!D122,FormOfAddress,2,TRUE)</f>
        <v>1</v>
      </c>
      <c r="F125" s="4">
        <f>VLOOKUP(Grunddaten!I122,FamilyStatus,2,FALSE)</f>
        <v>2</v>
      </c>
      <c r="G125" s="4" t="str">
        <f>IF(Grunddaten!J122&lt;&gt;"",CONCATENATE("'",TEXT(Grunddaten!J122,"JJJJ-MM-tt"),"'"),"NULL")</f>
        <v>'1997-11-13'</v>
      </c>
      <c r="H125" s="4" t="str">
        <f>CONCATENATE("'",TEXT(Grunddaten!G122,"JJJJ-MM-tt"),"'")</f>
        <v>'1962-06-09'</v>
      </c>
      <c r="J125" s="14">
        <f>Grunddaten!A122</f>
        <v>120</v>
      </c>
      <c r="K125" s="14">
        <f>Grunddaten!Y122</f>
        <v>1</v>
      </c>
      <c r="L125" s="14" t="str">
        <f ca="1">CONCATENATE("'",Grunddaten!Z122,"'")</f>
        <v>'14052'</v>
      </c>
      <c r="M125" s="14" t="str">
        <f>CONCATENATE("'",Grunddaten!AA122,"'")</f>
        <v>'Berlin'</v>
      </c>
      <c r="N125" s="14" t="str">
        <f>CONCATENATE("'",Grunddaten!AB122,"'")</f>
        <v>'Drosselweg'</v>
      </c>
      <c r="O125" s="14" t="str">
        <f>CONCATENATE("'",Grunddaten!AC122,"'")</f>
        <v>'1'</v>
      </c>
      <c r="P125" s="14">
        <f>Grunddaten!AD122</f>
        <v>1</v>
      </c>
      <c r="R125" s="13">
        <f>Grunddaten!A122</f>
        <v>120</v>
      </c>
      <c r="S125" s="13">
        <f>Grunddaten!AF122</f>
        <v>1</v>
      </c>
      <c r="T125" s="13" t="str">
        <f>CONCATENATE("'",Grunddaten!AG122,"'")</f>
        <v>'030'</v>
      </c>
      <c r="U125" s="13" t="str">
        <f ca="1">CONCATENATE("'",Grunddaten!AH122,"'")</f>
        <v>'97939781'</v>
      </c>
      <c r="V125" s="13">
        <f>Grunddaten!AI122</f>
        <v>1</v>
      </c>
      <c r="Z125" s="2" t="str" cm="1">
        <f t="array" ref="Z125">CONCATENATE("                   ",Liste(B125:H125),IF(Z126&lt;&gt;"",",",""))</f>
        <v xml:space="preserve">                   (120, 'Steinke', 'Lothar', 1, 2, '1997-11-13', '1962-06-09'),</v>
      </c>
      <c r="AB125" s="2" t="str" cm="1">
        <f t="array" aca="1" ref="AB125" ca="1">CONCATENATE("                    ",Liste(J125:P125),IF(AB126&lt;&gt;"",",",""))</f>
        <v xml:space="preserve">                    (120, 1, '14052', 'Berlin', 'Drosselweg', '1', 1),</v>
      </c>
      <c r="AD125" s="2" t="str" cm="1">
        <f t="array" aca="1" ref="AD125" ca="1">CONCATENATE("                   ",Liste(R125:V125),IF(AD126&lt;&gt;"",",",""))</f>
        <v xml:space="preserve">                   (120, 1, '030', '97939781', 1),</v>
      </c>
    </row>
    <row r="126" spans="2:30" x14ac:dyDescent="0.45">
      <c r="B126" s="4">
        <f>Grunddaten!A123</f>
        <v>121</v>
      </c>
      <c r="C126" s="4" t="str">
        <f>CONCATENATE("'",Grunddaten!F123,"'")</f>
        <v>'Uhland'</v>
      </c>
      <c r="D126" s="4" t="str">
        <f>CONCATENATE("'",Grunddaten!E123,"'")</f>
        <v>'Britta'</v>
      </c>
      <c r="E126" s="4">
        <f>VLOOKUP(Grunddaten!D123,FormOfAddress,2,TRUE)</f>
        <v>2</v>
      </c>
      <c r="F126" s="4">
        <f>VLOOKUP(Grunddaten!I123,FamilyStatus,2,FALSE)</f>
        <v>1</v>
      </c>
      <c r="G126" s="4" t="str">
        <f>IF(Grunddaten!J123&lt;&gt;"",CONCATENATE("'",TEXT(Grunddaten!J123,"JJJJ-MM-tt"),"'"),"NULL")</f>
        <v>NULL</v>
      </c>
      <c r="H126" s="4" t="str">
        <f>CONCATENATE("'",TEXT(Grunddaten!G123,"JJJJ-MM-tt"),"'")</f>
        <v>'1998-08-02'</v>
      </c>
      <c r="J126" s="14">
        <f>Grunddaten!A123</f>
        <v>121</v>
      </c>
      <c r="K126" s="14">
        <f>Grunddaten!Y123</f>
        <v>1</v>
      </c>
      <c r="L126" s="14" t="str">
        <f ca="1">CONCATENATE("'",Grunddaten!Z123,"'")</f>
        <v>'12043'</v>
      </c>
      <c r="M126" s="14" t="str">
        <f>CONCATENATE("'",Grunddaten!AA123,"'")</f>
        <v>'Berlin'</v>
      </c>
      <c r="N126" s="14" t="str">
        <f>CONCATENATE("'",Grunddaten!AB123,"'")</f>
        <v>'Waldstraße'</v>
      </c>
      <c r="O126" s="14" t="str">
        <f>CONCATENATE("'",Grunddaten!AC123,"'")</f>
        <v>'14'</v>
      </c>
      <c r="P126" s="14">
        <f>Grunddaten!AD123</f>
        <v>1</v>
      </c>
      <c r="R126" s="13">
        <f>Grunddaten!A123</f>
        <v>121</v>
      </c>
      <c r="S126" s="13">
        <f>Grunddaten!AF123</f>
        <v>1</v>
      </c>
      <c r="T126" s="13" t="str">
        <f>CONCATENATE("'",Grunddaten!AG123,"'")</f>
        <v>'030'</v>
      </c>
      <c r="U126" s="13" t="str">
        <f ca="1">CONCATENATE("'",Grunddaten!AH123,"'")</f>
        <v>'55901598'</v>
      </c>
      <c r="V126" s="13">
        <f>Grunddaten!AI123</f>
        <v>1</v>
      </c>
      <c r="Z126" s="2" t="str" cm="1">
        <f t="array" ref="Z126">CONCATENATE("                   ",Liste(B126:H126),IF(Z127&lt;&gt;"",",",""))</f>
        <v xml:space="preserve">                   (121, 'Uhland', 'Britta', 2, 1, NULL, '1998-08-02'),</v>
      </c>
      <c r="AB126" s="2" t="str" cm="1">
        <f t="array" aca="1" ref="AB126" ca="1">CONCATENATE("                    ",Liste(J126:P126),IF(AB127&lt;&gt;"",",",""))</f>
        <v xml:space="preserve">                    (121, 1, '12043', 'Berlin', 'Waldstraße', '14', 1),</v>
      </c>
      <c r="AD126" s="2" t="str" cm="1">
        <f t="array" aca="1" ref="AD126" ca="1">CONCATENATE("                   ",Liste(R126:V126),IF(AD127&lt;&gt;"",",",""))</f>
        <v xml:space="preserve">                   (121, 1, '030', '55901598', 1),</v>
      </c>
    </row>
    <row r="127" spans="2:30" x14ac:dyDescent="0.45">
      <c r="B127" s="4">
        <f>Grunddaten!A124</f>
        <v>122</v>
      </c>
      <c r="C127" s="4" t="str">
        <f>CONCATENATE("'",Grunddaten!F124,"'")</f>
        <v>'Freitag'</v>
      </c>
      <c r="D127" s="4" t="str">
        <f>CONCATENATE("'",Grunddaten!E124,"'")</f>
        <v>'Bernd'</v>
      </c>
      <c r="E127" s="4">
        <f>VLOOKUP(Grunddaten!D124,FormOfAddress,2,TRUE)</f>
        <v>1</v>
      </c>
      <c r="F127" s="4">
        <f>VLOOKUP(Grunddaten!I124,FamilyStatus,2,FALSE)</f>
        <v>2</v>
      </c>
      <c r="G127" s="4" t="str">
        <f>IF(Grunddaten!J124&lt;&gt;"",CONCATENATE("'",TEXT(Grunddaten!J124,"JJJJ-MM-tt"),"'"),"NULL")</f>
        <v>'1989-11-06'</v>
      </c>
      <c r="H127" s="4" t="str">
        <f>CONCATENATE("'",TEXT(Grunddaten!G124,"JJJJ-MM-tt"),"'")</f>
        <v>'1969-02-04'</v>
      </c>
      <c r="J127" s="14">
        <f>Grunddaten!A124</f>
        <v>122</v>
      </c>
      <c r="K127" s="14">
        <f>Grunddaten!Y124</f>
        <v>1</v>
      </c>
      <c r="L127" s="14" t="str">
        <f ca="1">CONCATENATE("'",Grunddaten!Z124,"'")</f>
        <v>'12435'</v>
      </c>
      <c r="M127" s="14" t="str">
        <f>CONCATENATE("'",Grunddaten!AA124,"'")</f>
        <v>'Berlin'</v>
      </c>
      <c r="N127" s="14" t="str">
        <f>CONCATENATE("'",Grunddaten!AB124,"'")</f>
        <v>'Hintergasse'</v>
      </c>
      <c r="O127" s="14" t="str">
        <f>CONCATENATE("'",Grunddaten!AC124,"'")</f>
        <v>'81'</v>
      </c>
      <c r="P127" s="14">
        <f>Grunddaten!AD124</f>
        <v>1</v>
      </c>
      <c r="R127" s="13">
        <f>Grunddaten!A124</f>
        <v>122</v>
      </c>
      <c r="S127" s="13">
        <f>Grunddaten!AF124</f>
        <v>1</v>
      </c>
      <c r="T127" s="13" t="str">
        <f>CONCATENATE("'",Grunddaten!AG124,"'")</f>
        <v>'030'</v>
      </c>
      <c r="U127" s="13" t="str">
        <f ca="1">CONCATENATE("'",Grunddaten!AH124,"'")</f>
        <v>'78115560'</v>
      </c>
      <c r="V127" s="13">
        <f>Grunddaten!AI124</f>
        <v>1</v>
      </c>
      <c r="Z127" s="2" t="str" cm="1">
        <f t="array" ref="Z127">CONCATENATE("                   ",Liste(B127:H127),IF(Z128&lt;&gt;"",",",""))</f>
        <v xml:space="preserve">                   (122, 'Freitag', 'Bernd', 1, 2, '1989-11-06', '1969-02-04'),</v>
      </c>
      <c r="AB127" s="2" t="str" cm="1">
        <f t="array" aca="1" ref="AB127" ca="1">CONCATENATE("                    ",Liste(J127:P127),IF(AB128&lt;&gt;"",",",""))</f>
        <v xml:space="preserve">                    (122, 1, '12435', 'Berlin', 'Hintergasse', '81', 1),</v>
      </c>
      <c r="AD127" s="2" t="str" cm="1">
        <f t="array" aca="1" ref="AD127" ca="1">CONCATENATE("                   ",Liste(R127:V127),IF(AD128&lt;&gt;"",",",""))</f>
        <v xml:space="preserve">                   (122, 1, '030', '78115560', 1),</v>
      </c>
    </row>
    <row r="128" spans="2:30" x14ac:dyDescent="0.45">
      <c r="B128" s="4">
        <f>Grunddaten!A125</f>
        <v>123</v>
      </c>
      <c r="C128" s="4" t="str">
        <f>CONCATENATE("'",Grunddaten!F125,"'")</f>
        <v>'Lehmann'</v>
      </c>
      <c r="D128" s="4" t="str">
        <f>CONCATENATE("'",Grunddaten!E125,"'")</f>
        <v>'Susanne'</v>
      </c>
      <c r="E128" s="4">
        <f>VLOOKUP(Grunddaten!D125,FormOfAddress,2,TRUE)</f>
        <v>2</v>
      </c>
      <c r="F128" s="4">
        <f>VLOOKUP(Grunddaten!I125,FamilyStatus,2,FALSE)</f>
        <v>2</v>
      </c>
      <c r="G128" s="4" t="str">
        <f>IF(Grunddaten!J125&lt;&gt;"",CONCATENATE("'",TEXT(Grunddaten!J125,"JJJJ-MM-tt"),"'"),"NULL")</f>
        <v>'1987-11-29'</v>
      </c>
      <c r="H128" s="4" t="str">
        <f>CONCATENATE("'",TEXT(Grunddaten!G125,"JJJJ-MM-tt"),"'")</f>
        <v>'1957-04-24'</v>
      </c>
      <c r="J128" s="14">
        <f>Grunddaten!A125</f>
        <v>123</v>
      </c>
      <c r="K128" s="14">
        <f>Grunddaten!Y125</f>
        <v>1</v>
      </c>
      <c r="L128" s="14" t="str">
        <f ca="1">CONCATENATE("'",Grunddaten!Z125,"'")</f>
        <v>'14542'</v>
      </c>
      <c r="M128" s="14" t="str">
        <f>CONCATENATE("'",Grunddaten!AA125,"'")</f>
        <v>'Werder (Havel)'</v>
      </c>
      <c r="N128" s="14" t="str">
        <f>CONCATENATE("'",Grunddaten!AB125,"'")</f>
        <v>'Sonnenstraße'</v>
      </c>
      <c r="O128" s="14" t="str">
        <f>CONCATENATE("'",Grunddaten!AC125,"'")</f>
        <v>'9'</v>
      </c>
      <c r="P128" s="14">
        <f>Grunddaten!AD125</f>
        <v>1</v>
      </c>
      <c r="R128" s="13">
        <f>Grunddaten!A125</f>
        <v>123</v>
      </c>
      <c r="S128" s="13">
        <f>Grunddaten!AF125</f>
        <v>1</v>
      </c>
      <c r="T128" s="13" t="str">
        <f>CONCATENATE("'",Grunddaten!AG125,"'")</f>
        <v>'03327'</v>
      </c>
      <c r="U128" s="13" t="str">
        <f ca="1">CONCATENATE("'",Grunddaten!AH125,"'")</f>
        <v>'81034'</v>
      </c>
      <c r="V128" s="13">
        <f>Grunddaten!AI125</f>
        <v>1</v>
      </c>
      <c r="Z128" s="2" t="str" cm="1">
        <f t="array" ref="Z128">CONCATENATE("                   ",Liste(B128:H128),IF(Z129&lt;&gt;"",",",""))</f>
        <v xml:space="preserve">                   (123, 'Lehmann', 'Susanne', 2, 2, '1987-11-29', '1957-04-24'),</v>
      </c>
      <c r="AB128" s="2" t="str" cm="1">
        <f t="array" aca="1" ref="AB128" ca="1">CONCATENATE("                    ",Liste(J128:P128),IF(AB129&lt;&gt;"",",",""))</f>
        <v xml:space="preserve">                    (123, 1, '14542', 'Werder (Havel)', 'Sonnenstraße', '9', 1),</v>
      </c>
      <c r="AD128" s="2" t="str" cm="1">
        <f t="array" aca="1" ref="AD128" ca="1">CONCATENATE("                   ",Liste(R128:V128),IF(AD129&lt;&gt;"",",",""))</f>
        <v xml:space="preserve">                   (123, 1, '03327', '81034', 1),</v>
      </c>
    </row>
    <row r="129" spans="2:30" x14ac:dyDescent="0.45">
      <c r="B129" s="4">
        <f>Grunddaten!A126</f>
        <v>124</v>
      </c>
      <c r="C129" s="4" t="str">
        <f>CONCATENATE("'",Grunddaten!F126,"'")</f>
        <v>'Staudte'</v>
      </c>
      <c r="D129" s="4" t="str">
        <f>CONCATENATE("'",Grunddaten!E126,"'")</f>
        <v>'Ina'</v>
      </c>
      <c r="E129" s="4">
        <f>VLOOKUP(Grunddaten!D126,FormOfAddress,2,TRUE)</f>
        <v>2</v>
      </c>
      <c r="F129" s="4">
        <f>VLOOKUP(Grunddaten!I126,FamilyStatus,2,FALSE)</f>
        <v>1</v>
      </c>
      <c r="G129" s="4" t="str">
        <f>IF(Grunddaten!J126&lt;&gt;"",CONCATENATE("'",TEXT(Grunddaten!J126,"JJJJ-MM-tt"),"'"),"NULL")</f>
        <v>NULL</v>
      </c>
      <c r="H129" s="4" t="str">
        <f>CONCATENATE("'",TEXT(Grunddaten!G126,"JJJJ-MM-tt"),"'")</f>
        <v>'1965-12-18'</v>
      </c>
      <c r="J129" s="14">
        <f>Grunddaten!A126</f>
        <v>124</v>
      </c>
      <c r="K129" s="14">
        <f>Grunddaten!Y126</f>
        <v>1</v>
      </c>
      <c r="L129" s="14" t="str">
        <f ca="1">CONCATENATE("'",Grunddaten!Z126,"'")</f>
        <v>'14550'</v>
      </c>
      <c r="M129" s="14" t="str">
        <f>CONCATENATE("'",Grunddaten!AA126,"'")</f>
        <v>'Töplitz'</v>
      </c>
      <c r="N129" s="14" t="str">
        <f>CONCATENATE("'",Grunddaten!AB126,"'")</f>
        <v>'Schloßgasse'</v>
      </c>
      <c r="O129" s="14" t="str">
        <f>CONCATENATE("'",Grunddaten!AC126,"'")</f>
        <v>'30'</v>
      </c>
      <c r="P129" s="14">
        <f>Grunddaten!AD126</f>
        <v>1</v>
      </c>
      <c r="R129" s="13">
        <f>Grunddaten!A126</f>
        <v>124</v>
      </c>
      <c r="S129" s="13">
        <f>Grunddaten!AF126</f>
        <v>1</v>
      </c>
      <c r="T129" s="13" t="str">
        <f>CONCATENATE("'",Grunddaten!AG126,"'")</f>
        <v>'033209'</v>
      </c>
      <c r="U129" s="13" t="str">
        <f ca="1">CONCATENATE("'",Grunddaten!AH126,"'")</f>
        <v>'7992'</v>
      </c>
      <c r="V129" s="13">
        <f>Grunddaten!AI126</f>
        <v>1</v>
      </c>
      <c r="Z129" s="2" t="str" cm="1">
        <f t="array" ref="Z129">CONCATENATE("                   ",Liste(B129:H129),IF(Z130&lt;&gt;"",",",""))</f>
        <v xml:space="preserve">                   (124, 'Staudte', 'Ina', 2, 1, NULL, '1965-12-18'),</v>
      </c>
      <c r="AB129" s="2" t="str" cm="1">
        <f t="array" aca="1" ref="AB129" ca="1">CONCATENATE("                    ",Liste(J129:P129),IF(AB130&lt;&gt;"",",",""))</f>
        <v xml:space="preserve">                    (124, 1, '14550', 'Töplitz', 'Schloßgasse', '30', 1),</v>
      </c>
      <c r="AD129" s="2" t="str" cm="1">
        <f t="array" aca="1" ref="AD129" ca="1">CONCATENATE("                   ",Liste(R129:V129),IF(AD130&lt;&gt;"",",",""))</f>
        <v xml:space="preserve">                   (124, 1, '033209', '7992', 1),</v>
      </c>
    </row>
    <row r="130" spans="2:30" x14ac:dyDescent="0.45">
      <c r="B130" s="4">
        <f>Grunddaten!A127</f>
        <v>125</v>
      </c>
      <c r="C130" s="4" t="str">
        <f>CONCATENATE("'",Grunddaten!F127,"'")</f>
        <v>'Senner'</v>
      </c>
      <c r="D130" s="4" t="str">
        <f>CONCATENATE("'",Grunddaten!E127,"'")</f>
        <v>'Karim'</v>
      </c>
      <c r="E130" s="4">
        <f>VLOOKUP(Grunddaten!D127,FormOfAddress,2,TRUE)</f>
        <v>1</v>
      </c>
      <c r="F130" s="4">
        <f>VLOOKUP(Grunddaten!I127,FamilyStatus,2,FALSE)</f>
        <v>2</v>
      </c>
      <c r="G130" s="4" t="str">
        <f>IF(Grunddaten!J127&lt;&gt;"",CONCATENATE("'",TEXT(Grunddaten!J127,"JJJJ-MM-tt"),"'"),"NULL")</f>
        <v>'1988-06-08'</v>
      </c>
      <c r="H130" s="4" t="str">
        <f>CONCATENATE("'",TEXT(Grunddaten!G127,"JJJJ-MM-tt"),"'")</f>
        <v>'1965-09-15'</v>
      </c>
      <c r="J130" s="14">
        <f>Grunddaten!A127</f>
        <v>125</v>
      </c>
      <c r="K130" s="14">
        <f>Grunddaten!Y127</f>
        <v>1</v>
      </c>
      <c r="L130" s="14" t="str">
        <f ca="1">CONCATENATE("'",Grunddaten!Z127,"'")</f>
        <v>'13581'</v>
      </c>
      <c r="M130" s="14" t="str">
        <f>CONCATENATE("'",Grunddaten!AA127,"'")</f>
        <v>'Berlin'</v>
      </c>
      <c r="N130" s="14" t="str">
        <f>CONCATENATE("'",Grunddaten!AB127,"'")</f>
        <v>'Oranienstraße'</v>
      </c>
      <c r="O130" s="14" t="str">
        <f>CONCATENATE("'",Grunddaten!AC127,"'")</f>
        <v>'7'</v>
      </c>
      <c r="P130" s="14">
        <f>Grunddaten!AD127</f>
        <v>1</v>
      </c>
      <c r="R130" s="13">
        <f>Grunddaten!A127</f>
        <v>125</v>
      </c>
      <c r="S130" s="13">
        <f>Grunddaten!AF127</f>
        <v>1</v>
      </c>
      <c r="T130" s="13" t="str">
        <f>CONCATENATE("'",Grunddaten!AG127,"'")</f>
        <v>'030'</v>
      </c>
      <c r="U130" s="13" t="str">
        <f ca="1">CONCATENATE("'",Grunddaten!AH127,"'")</f>
        <v>'72622296'</v>
      </c>
      <c r="V130" s="13">
        <f>Grunddaten!AI127</f>
        <v>1</v>
      </c>
      <c r="Z130" s="2" t="str" cm="1">
        <f t="array" ref="Z130">CONCATENATE("                   ",Liste(B130:H130),IF(Z131&lt;&gt;"",",",""))</f>
        <v xml:space="preserve">                   (125, 'Senner', 'Karim', 1, 2, '1988-06-08', '1965-09-15'),</v>
      </c>
      <c r="AB130" s="2" t="str" cm="1">
        <f t="array" aca="1" ref="AB130" ca="1">CONCATENATE("                    ",Liste(J130:P130),IF(AB131&lt;&gt;"",",",""))</f>
        <v xml:space="preserve">                    (125, 1, '13581', 'Berlin', 'Oranienstraße', '7', 1),</v>
      </c>
      <c r="AD130" s="2" t="str" cm="1">
        <f t="array" aca="1" ref="AD130" ca="1">CONCATENATE("                   ",Liste(R130:V130),IF(AD131&lt;&gt;"",",",""))</f>
        <v xml:space="preserve">                   (125, 1, '030', '72622296', 1),</v>
      </c>
    </row>
    <row r="131" spans="2:30" x14ac:dyDescent="0.45">
      <c r="B131" s="4">
        <f>Grunddaten!A128</f>
        <v>126</v>
      </c>
      <c r="C131" s="4" t="str">
        <f>CONCATENATE("'",Grunddaten!F128,"'")</f>
        <v>'Hartmann'</v>
      </c>
      <c r="D131" s="4" t="str">
        <f>CONCATENATE("'",Grunddaten!E128,"'")</f>
        <v>'Jakop'</v>
      </c>
      <c r="E131" s="4">
        <f>VLOOKUP(Grunddaten!D128,FormOfAddress,2,TRUE)</f>
        <v>1</v>
      </c>
      <c r="F131" s="4">
        <f>VLOOKUP(Grunddaten!I128,FamilyStatus,2,FALSE)</f>
        <v>3</v>
      </c>
      <c r="G131" s="4" t="str">
        <f>IF(Grunddaten!J128&lt;&gt;"",CONCATENATE("'",TEXT(Grunddaten!J128,"JJJJ-MM-tt"),"'"),"NULL")</f>
        <v>'2023-12-01'</v>
      </c>
      <c r="H131" s="4" t="str">
        <f>CONCATENATE("'",TEXT(Grunddaten!G128,"JJJJ-MM-tt"),"'")</f>
        <v>'1983-04-01'</v>
      </c>
      <c r="J131" s="14">
        <f>Grunddaten!A128</f>
        <v>126</v>
      </c>
      <c r="K131" s="14">
        <f>Grunddaten!Y128</f>
        <v>1</v>
      </c>
      <c r="L131" s="14" t="str">
        <f ca="1">CONCATENATE("'",Grunddaten!Z128,"'")</f>
        <v>'14467'</v>
      </c>
      <c r="M131" s="14" t="str">
        <f>CONCATENATE("'",Grunddaten!AA128,"'")</f>
        <v>'Potsdam'</v>
      </c>
      <c r="N131" s="14" t="str">
        <f>CONCATENATE("'",Grunddaten!AB128,"'")</f>
        <v>'Birkenallee'</v>
      </c>
      <c r="O131" s="14" t="str">
        <f>CONCATENATE("'",Grunddaten!AC128,"'")</f>
        <v>'48B'</v>
      </c>
      <c r="P131" s="14">
        <f>Grunddaten!AD128</f>
        <v>1</v>
      </c>
      <c r="R131" s="13">
        <f>Grunddaten!A128</f>
        <v>126</v>
      </c>
      <c r="S131" s="13">
        <f>Grunddaten!AF128</f>
        <v>1</v>
      </c>
      <c r="T131" s="13" t="str">
        <f>CONCATENATE("'",Grunddaten!AG128,"'")</f>
        <v>'0331'</v>
      </c>
      <c r="U131" s="13" t="str">
        <f ca="1">CONCATENATE("'",Grunddaten!AH128,"'")</f>
        <v>'47805'</v>
      </c>
      <c r="V131" s="13">
        <f>Grunddaten!AI128</f>
        <v>1</v>
      </c>
      <c r="Z131" s="2" t="str" cm="1">
        <f t="array" ref="Z131">CONCATENATE("                   ",Liste(B131:H131),IF(Z132&lt;&gt;"",",",""))</f>
        <v xml:space="preserve">                   (126, 'Hartmann', 'Jakop', 1, 3, '2023-12-01', '1983-04-01'),</v>
      </c>
      <c r="AB131" s="2" t="str" cm="1">
        <f t="array" aca="1" ref="AB131" ca="1">CONCATENATE("                    ",Liste(J131:P131),IF(AB132&lt;&gt;"",",",""))</f>
        <v xml:space="preserve">                    (126, 1, '14467', 'Potsdam', 'Birkenallee', '48B', 1),</v>
      </c>
      <c r="AD131" s="2" t="str" cm="1">
        <f t="array" aca="1" ref="AD131" ca="1">CONCATENATE("                   ",Liste(R131:V131),IF(AD132&lt;&gt;"",",",""))</f>
        <v xml:space="preserve">                   (126, 1, '0331', '47805', 1),</v>
      </c>
    </row>
    <row r="132" spans="2:30" x14ac:dyDescent="0.45">
      <c r="B132" s="4">
        <f>Grunddaten!A129</f>
        <v>127</v>
      </c>
      <c r="C132" s="4" t="str">
        <f>CONCATENATE("'",Grunddaten!F129,"'")</f>
        <v>'Binder'</v>
      </c>
      <c r="D132" s="4" t="str">
        <f>CONCATENATE("'",Grunddaten!E129,"'")</f>
        <v>'Silke'</v>
      </c>
      <c r="E132" s="4">
        <f>VLOOKUP(Grunddaten!D129,FormOfAddress,2,TRUE)</f>
        <v>2</v>
      </c>
      <c r="F132" s="4">
        <f>VLOOKUP(Grunddaten!I129,FamilyStatus,2,FALSE)</f>
        <v>2</v>
      </c>
      <c r="G132" s="4" t="str">
        <f>IF(Grunddaten!J129&lt;&gt;"",CONCATENATE("'",TEXT(Grunddaten!J129,"JJJJ-MM-tt"),"'"),"NULL")</f>
        <v>'1976-05-22'</v>
      </c>
      <c r="H132" s="4" t="str">
        <f>CONCATENATE("'",TEXT(Grunddaten!G129,"JJJJ-MM-tt"),"'")</f>
        <v>'1954-01-08'</v>
      </c>
      <c r="J132" s="14">
        <f>Grunddaten!A129</f>
        <v>127</v>
      </c>
      <c r="K132" s="14">
        <f>Grunddaten!Y129</f>
        <v>1</v>
      </c>
      <c r="L132" s="14" t="str">
        <f ca="1">CONCATENATE("'",Grunddaten!Z129,"'")</f>
        <v>'10707'</v>
      </c>
      <c r="M132" s="14" t="str">
        <f>CONCATENATE("'",Grunddaten!AA129,"'")</f>
        <v>'Berlin'</v>
      </c>
      <c r="N132" s="14" t="str">
        <f>CONCATENATE("'",Grunddaten!AB129,"'")</f>
        <v>'Albert-Einstein-Straße'</v>
      </c>
      <c r="O132" s="14" t="str">
        <f>CONCATENATE("'",Grunddaten!AC129,"'")</f>
        <v>'8F'</v>
      </c>
      <c r="P132" s="14">
        <f>Grunddaten!AD129</f>
        <v>1</v>
      </c>
      <c r="R132" s="13">
        <f>Grunddaten!A129</f>
        <v>127</v>
      </c>
      <c r="S132" s="13">
        <f>Grunddaten!AF129</f>
        <v>1</v>
      </c>
      <c r="T132" s="13" t="str">
        <f>CONCATENATE("'",Grunddaten!AG129,"'")</f>
        <v>'030'</v>
      </c>
      <c r="U132" s="13" t="str">
        <f ca="1">CONCATENATE("'",Grunddaten!AH129,"'")</f>
        <v>'77531417'</v>
      </c>
      <c r="V132" s="13">
        <f>Grunddaten!AI129</f>
        <v>1</v>
      </c>
      <c r="Z132" s="2" t="str" cm="1">
        <f t="array" ref="Z132">CONCATENATE("                   ",Liste(B132:H132),IF(Z133&lt;&gt;"",",",""))</f>
        <v xml:space="preserve">                   (127, 'Binder', 'Silke', 2, 2, '1976-05-22', '1954-01-08'),</v>
      </c>
      <c r="AB132" s="2" t="str" cm="1">
        <f t="array" aca="1" ref="AB132" ca="1">CONCATENATE("                    ",Liste(J132:P132),IF(AB133&lt;&gt;"",",",""))</f>
        <v xml:space="preserve">                    (127, 1, '10707', 'Berlin', 'Albert-Einstein-Straße', '8F', 1),</v>
      </c>
      <c r="AD132" s="2" t="str" cm="1">
        <f t="array" aca="1" ref="AD132" ca="1">CONCATENATE("                   ",Liste(R132:V132),IF(AD133&lt;&gt;"",",",""))</f>
        <v xml:space="preserve">                   (127, 1, '030', '77531417', 1),</v>
      </c>
    </row>
    <row r="133" spans="2:30" x14ac:dyDescent="0.45">
      <c r="B133" s="4">
        <f>Grunddaten!A130</f>
        <v>128</v>
      </c>
      <c r="C133" s="4" t="str">
        <f>CONCATENATE("'",Grunddaten!F130,"'")</f>
        <v>'Jürgens'</v>
      </c>
      <c r="D133" s="4" t="str">
        <f>CONCATENATE("'",Grunddaten!E130,"'")</f>
        <v>'Karla'</v>
      </c>
      <c r="E133" s="4">
        <f>VLOOKUP(Grunddaten!D130,FormOfAddress,2,TRUE)</f>
        <v>2</v>
      </c>
      <c r="F133" s="4">
        <f>VLOOKUP(Grunddaten!I130,FamilyStatus,2,FALSE)</f>
        <v>2</v>
      </c>
      <c r="G133" s="4" t="str">
        <f>IF(Grunddaten!J130&lt;&gt;"",CONCATENATE("'",TEXT(Grunddaten!J130,"JJJJ-MM-tt"),"'"),"NULL")</f>
        <v>'1976-05-29'</v>
      </c>
      <c r="H133" s="4" t="str">
        <f>CONCATENATE("'",TEXT(Grunddaten!G130,"JJJJ-MM-tt"),"'")</f>
        <v>'1955-12-13'</v>
      </c>
      <c r="J133" s="14">
        <f>Grunddaten!A130</f>
        <v>128</v>
      </c>
      <c r="K133" s="14">
        <f>Grunddaten!Y130</f>
        <v>1</v>
      </c>
      <c r="L133" s="14" t="str">
        <f ca="1">CONCATENATE("'",Grunddaten!Z130,"'")</f>
        <v>'13403'</v>
      </c>
      <c r="M133" s="14" t="str">
        <f>CONCATENATE("'",Grunddaten!AA130,"'")</f>
        <v>'Berlin'</v>
      </c>
      <c r="N133" s="14" t="str">
        <f>CONCATENATE("'",Grunddaten!AB130,"'")</f>
        <v>'Fichtenweg'</v>
      </c>
      <c r="O133" s="14" t="str">
        <f>CONCATENATE("'",Grunddaten!AC130,"'")</f>
        <v>'5'</v>
      </c>
      <c r="P133" s="14">
        <f>Grunddaten!AD130</f>
        <v>1</v>
      </c>
      <c r="R133" s="13">
        <f>Grunddaten!A130</f>
        <v>128</v>
      </c>
      <c r="S133" s="13">
        <f>Grunddaten!AF130</f>
        <v>1</v>
      </c>
      <c r="T133" s="13" t="str">
        <f>CONCATENATE("'",Grunddaten!AG130,"'")</f>
        <v>'030'</v>
      </c>
      <c r="U133" s="13" t="str">
        <f ca="1">CONCATENATE("'",Grunddaten!AH130,"'")</f>
        <v>'46292261'</v>
      </c>
      <c r="V133" s="13">
        <f>Grunddaten!AI130</f>
        <v>1</v>
      </c>
      <c r="Z133" s="2" t="str" cm="1">
        <f t="array" ref="Z133">CONCATENATE("                   ",Liste(B133:H133),IF(Z134&lt;&gt;"",",",""))</f>
        <v xml:space="preserve">                   (128, 'Jürgens', 'Karla', 2, 2, '1976-05-29', '1955-12-13'),</v>
      </c>
      <c r="AB133" s="2" t="str" cm="1">
        <f t="array" aca="1" ref="AB133" ca="1">CONCATENATE("                    ",Liste(J133:P133),IF(AB134&lt;&gt;"",",",""))</f>
        <v xml:space="preserve">                    (128, 1, '13403', 'Berlin', 'Fichtenweg', '5', 1),</v>
      </c>
      <c r="AD133" s="2" t="str" cm="1">
        <f t="array" aca="1" ref="AD133" ca="1">CONCATENATE("                   ",Liste(R133:V133),IF(AD134&lt;&gt;"",",",""))</f>
        <v xml:space="preserve">                   (128, 1, '030', '46292261', 1),</v>
      </c>
    </row>
    <row r="134" spans="2:30" x14ac:dyDescent="0.45">
      <c r="B134" s="4">
        <f>Grunddaten!A131</f>
        <v>129</v>
      </c>
      <c r="C134" s="4" t="str">
        <f>CONCATENATE("'",Grunddaten!F131,"'")</f>
        <v>'Gerlach'</v>
      </c>
      <c r="D134" s="4" t="str">
        <f>CONCATENATE("'",Grunddaten!E131,"'")</f>
        <v>'Johannes'</v>
      </c>
      <c r="E134" s="4">
        <f>VLOOKUP(Grunddaten!D131,FormOfAddress,2,TRUE)</f>
        <v>1</v>
      </c>
      <c r="F134" s="4">
        <f>VLOOKUP(Grunddaten!I131,FamilyStatus,2,FALSE)</f>
        <v>1</v>
      </c>
      <c r="G134" s="4" t="str">
        <f>IF(Grunddaten!J131&lt;&gt;"",CONCATENATE("'",TEXT(Grunddaten!J131,"JJJJ-MM-tt"),"'"),"NULL")</f>
        <v>NULL</v>
      </c>
      <c r="H134" s="4" t="str">
        <f>CONCATENATE("'",TEXT(Grunddaten!G131,"JJJJ-MM-tt"),"'")</f>
        <v>'1968-05-01'</v>
      </c>
      <c r="J134" s="14">
        <f>Grunddaten!A131</f>
        <v>129</v>
      </c>
      <c r="K134" s="14">
        <f>Grunddaten!Y131</f>
        <v>1</v>
      </c>
      <c r="L134" s="14" t="str">
        <f ca="1">CONCATENATE("'",Grunddaten!Z131,"'")</f>
        <v>'14548'</v>
      </c>
      <c r="M134" s="14" t="str">
        <f>CONCATENATE("'",Grunddaten!AA131,"'")</f>
        <v>'Schwielowsee'</v>
      </c>
      <c r="N134" s="14" t="str">
        <f>CONCATENATE("'",Grunddaten!AB131,"'")</f>
        <v>'New-Orleans-Allee'</v>
      </c>
      <c r="O134" s="14" t="str">
        <f>CONCATENATE("'",Grunddaten!AC131,"'")</f>
        <v>'45A'</v>
      </c>
      <c r="P134" s="14">
        <f>Grunddaten!AD131</f>
        <v>1</v>
      </c>
      <c r="R134" s="13">
        <f>Grunddaten!A131</f>
        <v>129</v>
      </c>
      <c r="S134" s="13">
        <f>Grunddaten!AF131</f>
        <v>1</v>
      </c>
      <c r="T134" s="13" t="str">
        <f>CONCATENATE("'",Grunddaten!AG131,"'")</f>
        <v>'03327'</v>
      </c>
      <c r="U134" s="13" t="str">
        <f ca="1">CONCATENATE("'",Grunddaten!AH131,"'")</f>
        <v>'98358'</v>
      </c>
      <c r="V134" s="13">
        <f>Grunddaten!AI131</f>
        <v>1</v>
      </c>
      <c r="Z134" s="2" t="str" cm="1">
        <f t="array" ref="Z134">CONCATENATE("                   ",Liste(B134:H134),IF(Z135&lt;&gt;"",",",""))</f>
        <v xml:space="preserve">                   (129, 'Gerlach', 'Johannes', 1, 1, NULL, '1968-05-01'),</v>
      </c>
      <c r="AB134" s="2" t="str" cm="1">
        <f t="array" aca="1" ref="AB134" ca="1">CONCATENATE("                    ",Liste(J134:P134),IF(AB135&lt;&gt;"",",",""))</f>
        <v xml:space="preserve">                    (129, 1, '14548', 'Schwielowsee', 'New-Orleans-Allee', '45A', 1),</v>
      </c>
      <c r="AD134" s="2" t="str" cm="1">
        <f t="array" aca="1" ref="AD134" ca="1">CONCATENATE("                   ",Liste(R134:V134),IF(AD135&lt;&gt;"",",",""))</f>
        <v xml:space="preserve">                   (129, 1, '03327', '98358', 1),</v>
      </c>
    </row>
    <row r="135" spans="2:30" x14ac:dyDescent="0.45">
      <c r="B135" s="4">
        <f>Grunddaten!A132</f>
        <v>130</v>
      </c>
      <c r="C135" s="4" t="str">
        <f>CONCATENATE("'",Grunddaten!F132,"'")</f>
        <v>'Tille'</v>
      </c>
      <c r="D135" s="4" t="str">
        <f>CONCATENATE("'",Grunddaten!E132,"'")</f>
        <v>'Bärbel'</v>
      </c>
      <c r="E135" s="4">
        <f>VLOOKUP(Grunddaten!D132,FormOfAddress,2,TRUE)</f>
        <v>2</v>
      </c>
      <c r="F135" s="4">
        <f>VLOOKUP(Grunddaten!I132,FamilyStatus,2,FALSE)</f>
        <v>2</v>
      </c>
      <c r="G135" s="4" t="str">
        <f>IF(Grunddaten!J132&lt;&gt;"",CONCATENATE("'",TEXT(Grunddaten!J132,"JJJJ-MM-tt"),"'"),"NULL")</f>
        <v>'1999-05-10'</v>
      </c>
      <c r="H135" s="4" t="str">
        <f>CONCATENATE("'",TEXT(Grunddaten!G132,"JJJJ-MM-tt"),"'")</f>
        <v>'1975-05-18'</v>
      </c>
      <c r="J135" s="14">
        <f>Grunddaten!A132</f>
        <v>130</v>
      </c>
      <c r="K135" s="14">
        <f>Grunddaten!Y132</f>
        <v>1</v>
      </c>
      <c r="L135" s="14" t="str">
        <f ca="1">CONCATENATE("'",Grunddaten!Z132,"'")</f>
        <v>'13581'</v>
      </c>
      <c r="M135" s="14" t="str">
        <f>CONCATENATE("'",Grunddaten!AA132,"'")</f>
        <v>'Berlin'</v>
      </c>
      <c r="N135" s="14" t="str">
        <f>CONCATENATE("'",Grunddaten!AB132,"'")</f>
        <v>'Elsternweg'</v>
      </c>
      <c r="O135" s="14" t="str">
        <f>CONCATENATE("'",Grunddaten!AC132,"'")</f>
        <v>'11'</v>
      </c>
      <c r="P135" s="14">
        <f>Grunddaten!AD132</f>
        <v>1</v>
      </c>
      <c r="R135" s="13">
        <f>Grunddaten!A132</f>
        <v>130</v>
      </c>
      <c r="S135" s="13">
        <f>Grunddaten!AF132</f>
        <v>1</v>
      </c>
      <c r="T135" s="13" t="str">
        <f>CONCATENATE("'",Grunddaten!AG132,"'")</f>
        <v>'030'</v>
      </c>
      <c r="U135" s="13" t="str">
        <f ca="1">CONCATENATE("'",Grunddaten!AH132,"'")</f>
        <v>'68043627'</v>
      </c>
      <c r="V135" s="13">
        <f>Grunddaten!AI132</f>
        <v>1</v>
      </c>
      <c r="Z135" s="2" t="str" cm="1">
        <f t="array" ref="Z135">CONCATENATE("                   ",Liste(B135:H135),IF(Z136&lt;&gt;"",",",""))</f>
        <v xml:space="preserve">                   (130, 'Tille', 'Bärbel', 2, 2, '1999-05-10', '1975-05-18'),</v>
      </c>
      <c r="AB135" s="2" t="str" cm="1">
        <f t="array" aca="1" ref="AB135" ca="1">CONCATENATE("                    ",Liste(J135:P135),IF(AB136&lt;&gt;"",",",""))</f>
        <v xml:space="preserve">                    (130, 1, '13581', 'Berlin', 'Elsternweg', '11', 1),</v>
      </c>
      <c r="AD135" s="2" t="str" cm="1">
        <f t="array" aca="1" ref="AD135" ca="1">CONCATENATE("                   ",Liste(R135:V135),IF(AD136&lt;&gt;"",",",""))</f>
        <v xml:space="preserve">                   (130, 1, '030', '68043627', 1),</v>
      </c>
    </row>
    <row r="136" spans="2:30" x14ac:dyDescent="0.45">
      <c r="B136" s="4">
        <f>Grunddaten!A133</f>
        <v>131</v>
      </c>
      <c r="C136" s="4" t="str">
        <f>CONCATENATE("'",Grunddaten!F133,"'")</f>
        <v>'Meierhoff'</v>
      </c>
      <c r="D136" s="4" t="str">
        <f>CONCATENATE("'",Grunddaten!E133,"'")</f>
        <v>'Harald'</v>
      </c>
      <c r="E136" s="4">
        <f>VLOOKUP(Grunddaten!D133,FormOfAddress,2,TRUE)</f>
        <v>1</v>
      </c>
      <c r="F136" s="4">
        <f>VLOOKUP(Grunddaten!I133,FamilyStatus,2,FALSE)</f>
        <v>3</v>
      </c>
      <c r="G136" s="4" t="str">
        <f>IF(Grunddaten!J133&lt;&gt;"",CONCATENATE("'",TEXT(Grunddaten!J133,"JJJJ-MM-tt"),"'"),"NULL")</f>
        <v>'2016-11-25'</v>
      </c>
      <c r="H136" s="4" t="str">
        <f>CONCATENATE("'",TEXT(Grunddaten!G133,"JJJJ-MM-tt"),"'")</f>
        <v>'1960-04-02'</v>
      </c>
      <c r="J136" s="14">
        <f>Grunddaten!A133</f>
        <v>131</v>
      </c>
      <c r="K136" s="14">
        <f>Grunddaten!Y133</f>
        <v>1</v>
      </c>
      <c r="L136" s="14" t="str">
        <f ca="1">CONCATENATE("'",Grunddaten!Z133,"'")</f>
        <v>'13597'</v>
      </c>
      <c r="M136" s="14" t="str">
        <f>CONCATENATE("'",Grunddaten!AA133,"'")</f>
        <v>'Berlin'</v>
      </c>
      <c r="N136" s="14" t="str">
        <f>CONCATENATE("'",Grunddaten!AB133,"'")</f>
        <v>'Oslostraße'</v>
      </c>
      <c r="O136" s="14" t="str">
        <f>CONCATENATE("'",Grunddaten!AC133,"'")</f>
        <v>'71D'</v>
      </c>
      <c r="P136" s="14">
        <f>Grunddaten!AD133</f>
        <v>1</v>
      </c>
      <c r="R136" s="13">
        <f>Grunddaten!A133</f>
        <v>131</v>
      </c>
      <c r="S136" s="13">
        <f>Grunddaten!AF133</f>
        <v>1</v>
      </c>
      <c r="T136" s="13" t="str">
        <f>CONCATENATE("'",Grunddaten!AG133,"'")</f>
        <v>'030'</v>
      </c>
      <c r="U136" s="13" t="str">
        <f ca="1">CONCATENATE("'",Grunddaten!AH133,"'")</f>
        <v>'99985880'</v>
      </c>
      <c r="V136" s="13">
        <f>Grunddaten!AI133</f>
        <v>1</v>
      </c>
      <c r="Z136" s="2" t="str" cm="1">
        <f t="array" ref="Z136">CONCATENATE("                   ",Liste(B136:H136),IF(Z137&lt;&gt;"",",",""))</f>
        <v xml:space="preserve">                   (131, 'Meierhoff', 'Harald', 1, 3, '2016-11-25', '1960-04-02'),</v>
      </c>
      <c r="AB136" s="2" t="str" cm="1">
        <f t="array" aca="1" ref="AB136" ca="1">CONCATENATE("                    ",Liste(J136:P136),IF(AB137&lt;&gt;"",",",""))</f>
        <v xml:space="preserve">                    (131, 1, '13597', 'Berlin', 'Oslostraße', '71D', 1),</v>
      </c>
      <c r="AD136" s="2" t="str" cm="1">
        <f t="array" aca="1" ref="AD136" ca="1">CONCATENATE("                   ",Liste(R136:V136),IF(AD137&lt;&gt;"",",",""))</f>
        <v xml:space="preserve">                   (131, 1, '030', '99985880', 1),</v>
      </c>
    </row>
    <row r="137" spans="2:30" x14ac:dyDescent="0.45">
      <c r="B137" s="4">
        <f>Grunddaten!A134</f>
        <v>132</v>
      </c>
      <c r="C137" s="4" t="str">
        <f>CONCATENATE("'",Grunddaten!F134,"'")</f>
        <v>'Hohenstein'</v>
      </c>
      <c r="D137" s="4" t="str">
        <f>CONCATENATE("'",Grunddaten!E134,"'")</f>
        <v>'Stefan'</v>
      </c>
      <c r="E137" s="4">
        <f>VLOOKUP(Grunddaten!D134,FormOfAddress,2,TRUE)</f>
        <v>1</v>
      </c>
      <c r="F137" s="4">
        <f>VLOOKUP(Grunddaten!I134,FamilyStatus,2,FALSE)</f>
        <v>2</v>
      </c>
      <c r="G137" s="4" t="str">
        <f>IF(Grunddaten!J134&lt;&gt;"",CONCATENATE("'",TEXT(Grunddaten!J134,"JJJJ-MM-tt"),"'"),"NULL")</f>
        <v>'2005-04-21'</v>
      </c>
      <c r="H137" s="4" t="str">
        <f>CONCATENATE("'",TEXT(Grunddaten!G134,"JJJJ-MM-tt"),"'")</f>
        <v>'1985-05-02'</v>
      </c>
      <c r="J137" s="14">
        <f>Grunddaten!A134</f>
        <v>132</v>
      </c>
      <c r="K137" s="14">
        <f>Grunddaten!Y134</f>
        <v>1</v>
      </c>
      <c r="L137" s="14" t="str">
        <f ca="1">CONCATENATE("'",Grunddaten!Z134,"'")</f>
        <v>'14778'</v>
      </c>
      <c r="M137" s="14" t="str">
        <f>CONCATENATE("'",Grunddaten!AA134,"'")</f>
        <v>'Päwesin'</v>
      </c>
      <c r="N137" s="14" t="str">
        <f>CONCATENATE("'",Grunddaten!AB134,"'")</f>
        <v>'Löwenweg'</v>
      </c>
      <c r="O137" s="14" t="str">
        <f>CONCATENATE("'",Grunddaten!AC134,"'")</f>
        <v>'13B'</v>
      </c>
      <c r="P137" s="14">
        <f>Grunddaten!AD134</f>
        <v>1</v>
      </c>
      <c r="R137" s="13">
        <f>Grunddaten!A134</f>
        <v>132</v>
      </c>
      <c r="S137" s="13">
        <f>Grunddaten!AF134</f>
        <v>1</v>
      </c>
      <c r="T137" s="13" t="str">
        <f>CONCATENATE("'",Grunddaten!AG134,"'")</f>
        <v>'03381'</v>
      </c>
      <c r="U137" s="13" t="str">
        <f ca="1">CONCATENATE("'",Grunddaten!AH134,"'")</f>
        <v>'85140'</v>
      </c>
      <c r="V137" s="13">
        <f>Grunddaten!AI134</f>
        <v>1</v>
      </c>
      <c r="Z137" s="2" t="str" cm="1">
        <f t="array" ref="Z137">CONCATENATE("                   ",Liste(B137:H137),IF(Z138&lt;&gt;"",",",""))</f>
        <v xml:space="preserve">                   (132, 'Hohenstein', 'Stefan', 1, 2, '2005-04-21', '1985-05-02'),</v>
      </c>
      <c r="AB137" s="2" t="str" cm="1">
        <f t="array" aca="1" ref="AB137" ca="1">CONCATENATE("                    ",Liste(J137:P137),IF(AB138&lt;&gt;"",",",""))</f>
        <v xml:space="preserve">                    (132, 1, '14778', 'Päwesin', 'Löwenweg', '13B', 1),</v>
      </c>
      <c r="AD137" s="2" t="str" cm="1">
        <f t="array" aca="1" ref="AD137" ca="1">CONCATENATE("                   ",Liste(R137:V137),IF(AD138&lt;&gt;"",",",""))</f>
        <v xml:space="preserve">                   (132, 1, '03381', '85140', 1),</v>
      </c>
    </row>
    <row r="138" spans="2:30" x14ac:dyDescent="0.45">
      <c r="B138" s="4">
        <f>Grunddaten!A135</f>
        <v>133</v>
      </c>
      <c r="C138" s="4" t="str">
        <f>CONCATENATE("'",Grunddaten!F135,"'")</f>
        <v>'Wilmers'</v>
      </c>
      <c r="D138" s="4" t="str">
        <f>CONCATENATE("'",Grunddaten!E135,"'")</f>
        <v>'Edith'</v>
      </c>
      <c r="E138" s="4">
        <f>VLOOKUP(Grunddaten!D135,FormOfAddress,2,TRUE)</f>
        <v>2</v>
      </c>
      <c r="F138" s="4">
        <f>VLOOKUP(Grunddaten!I135,FamilyStatus,2,FALSE)</f>
        <v>2</v>
      </c>
      <c r="G138" s="4" t="str">
        <f>IF(Grunddaten!J135&lt;&gt;"",CONCATENATE("'",TEXT(Grunddaten!J135,"JJJJ-MM-tt"),"'"),"NULL")</f>
        <v>'2005-08-07'</v>
      </c>
      <c r="H138" s="4" t="str">
        <f>CONCATENATE("'",TEXT(Grunddaten!G135,"JJJJ-MM-tt"),"'")</f>
        <v>'1979-08-13'</v>
      </c>
      <c r="J138" s="14">
        <f>Grunddaten!A135</f>
        <v>133</v>
      </c>
      <c r="K138" s="14">
        <f>Grunddaten!Y135</f>
        <v>1</v>
      </c>
      <c r="L138" s="14" t="str">
        <f ca="1">CONCATENATE("'",Grunddaten!Z135,"'")</f>
        <v>'14052'</v>
      </c>
      <c r="M138" s="14" t="str">
        <f>CONCATENATE("'",Grunddaten!AA135,"'")</f>
        <v>'Berlin'</v>
      </c>
      <c r="N138" s="14" t="str">
        <f>CONCATENATE("'",Grunddaten!AB135,"'")</f>
        <v>'Budapeststraße'</v>
      </c>
      <c r="O138" s="14" t="str">
        <f>CONCATENATE("'",Grunddaten!AC135,"'")</f>
        <v>'9'</v>
      </c>
      <c r="P138" s="14">
        <f>Grunddaten!AD135</f>
        <v>1</v>
      </c>
      <c r="R138" s="13">
        <f>Grunddaten!A135</f>
        <v>133</v>
      </c>
      <c r="S138" s="13">
        <f>Grunddaten!AF135</f>
        <v>1</v>
      </c>
      <c r="T138" s="13" t="str">
        <f>CONCATENATE("'",Grunddaten!AG135,"'")</f>
        <v>'030'</v>
      </c>
      <c r="U138" s="13" t="str">
        <f ca="1">CONCATENATE("'",Grunddaten!AH135,"'")</f>
        <v>'68511764'</v>
      </c>
      <c r="V138" s="13">
        <f>Grunddaten!AI135</f>
        <v>1</v>
      </c>
      <c r="Z138" s="2" t="str" cm="1">
        <f t="array" ref="Z138">CONCATENATE("                   ",Liste(B138:H138),IF(Z139&lt;&gt;"",",",""))</f>
        <v xml:space="preserve">                   (133, 'Wilmers', 'Edith', 2, 2, '2005-08-07', '1979-08-13'),</v>
      </c>
      <c r="AB138" s="2" t="str" cm="1">
        <f t="array" aca="1" ref="AB138" ca="1">CONCATENATE("                    ",Liste(J138:P138),IF(AB139&lt;&gt;"",",",""))</f>
        <v xml:space="preserve">                    (133, 1, '14052', 'Berlin', 'Budapeststraße', '9', 1),</v>
      </c>
      <c r="AD138" s="2" t="str" cm="1">
        <f t="array" aca="1" ref="AD138" ca="1">CONCATENATE("                   ",Liste(R138:V138),IF(AD139&lt;&gt;"",",",""))</f>
        <v xml:space="preserve">                   (133, 1, '030', '68511764', 1),</v>
      </c>
    </row>
    <row r="139" spans="2:30" x14ac:dyDescent="0.45">
      <c r="B139" s="4">
        <f>Grunddaten!A136</f>
        <v>134</v>
      </c>
      <c r="C139" s="4" t="str">
        <f>CONCATENATE("'",Grunddaten!F136,"'")</f>
        <v>'Volkmann'</v>
      </c>
      <c r="D139" s="4" t="str">
        <f>CONCATENATE("'",Grunddaten!E136,"'")</f>
        <v>'Maria'</v>
      </c>
      <c r="E139" s="4">
        <f>VLOOKUP(Grunddaten!D136,FormOfAddress,2,TRUE)</f>
        <v>2</v>
      </c>
      <c r="F139" s="4">
        <f>VLOOKUP(Grunddaten!I136,FamilyStatus,2,FALSE)</f>
        <v>2</v>
      </c>
      <c r="G139" s="4" t="str">
        <f>IF(Grunddaten!J136&lt;&gt;"",CONCATENATE("'",TEXT(Grunddaten!J136,"JJJJ-MM-tt"),"'"),"NULL")</f>
        <v>'1993-07-22'</v>
      </c>
      <c r="H139" s="4" t="str">
        <f>CONCATENATE("'",TEXT(Grunddaten!G136,"JJJJ-MM-tt"),"'")</f>
        <v>'1961-04-18'</v>
      </c>
      <c r="J139" s="14">
        <f>Grunddaten!A136</f>
        <v>134</v>
      </c>
      <c r="K139" s="14">
        <f>Grunddaten!Y136</f>
        <v>1</v>
      </c>
      <c r="L139" s="14" t="str">
        <f ca="1">CONCATENATE("'",Grunddaten!Z136,"'")</f>
        <v>'13581'</v>
      </c>
      <c r="M139" s="14" t="str">
        <f>CONCATENATE("'",Grunddaten!AA136,"'")</f>
        <v>'Berlin'</v>
      </c>
      <c r="N139" s="14" t="str">
        <f>CONCATENATE("'",Grunddaten!AB136,"'")</f>
        <v>'Los-Angeles-Straße'</v>
      </c>
      <c r="O139" s="14" t="str">
        <f>CONCATENATE("'",Grunddaten!AC136,"'")</f>
        <v>'91F'</v>
      </c>
      <c r="P139" s="14">
        <f>Grunddaten!AD136</f>
        <v>1</v>
      </c>
      <c r="R139" s="13">
        <f>Grunddaten!A136</f>
        <v>134</v>
      </c>
      <c r="S139" s="13">
        <f>Grunddaten!AF136</f>
        <v>1</v>
      </c>
      <c r="T139" s="13" t="str">
        <f>CONCATENATE("'",Grunddaten!AG136,"'")</f>
        <v>'030'</v>
      </c>
      <c r="U139" s="13" t="str">
        <f ca="1">CONCATENATE("'",Grunddaten!AH136,"'")</f>
        <v>'76217304'</v>
      </c>
      <c r="V139" s="13">
        <f>Grunddaten!AI136</f>
        <v>1</v>
      </c>
      <c r="Z139" s="2" t="str" cm="1">
        <f t="array" ref="Z139">CONCATENATE("                   ",Liste(B139:H139),IF(Z140&lt;&gt;"",",",""))</f>
        <v xml:space="preserve">                   (134, 'Volkmann', 'Maria', 2, 2, '1993-07-22', '1961-04-18'),</v>
      </c>
      <c r="AB139" s="2" t="str" cm="1">
        <f t="array" aca="1" ref="AB139" ca="1">CONCATENATE("                    ",Liste(J139:P139),IF(AB140&lt;&gt;"",",",""))</f>
        <v xml:space="preserve">                    (134, 1, '13581', 'Berlin', 'Los-Angeles-Straße', '91F', 1),</v>
      </c>
      <c r="AD139" s="2" t="str" cm="1">
        <f t="array" aca="1" ref="AD139" ca="1">CONCATENATE("                   ",Liste(R139:V139),IF(AD140&lt;&gt;"",",",""))</f>
        <v xml:space="preserve">                   (134, 1, '030', '76217304', 1),</v>
      </c>
    </row>
    <row r="140" spans="2:30" x14ac:dyDescent="0.45">
      <c r="B140" s="4">
        <f>Grunddaten!A137</f>
        <v>135</v>
      </c>
      <c r="C140" s="4" t="str">
        <f>CONCATENATE("'",Grunddaten!F137,"'")</f>
        <v>'Schmidt'</v>
      </c>
      <c r="D140" s="4" t="str">
        <f>CONCATENATE("'",Grunddaten!E137,"'")</f>
        <v>'Benno'</v>
      </c>
      <c r="E140" s="4">
        <f>VLOOKUP(Grunddaten!D137,FormOfAddress,2,TRUE)</f>
        <v>1</v>
      </c>
      <c r="F140" s="4">
        <f>VLOOKUP(Grunddaten!I137,FamilyStatus,2,FALSE)</f>
        <v>4</v>
      </c>
      <c r="G140" s="4" t="str">
        <f>IF(Grunddaten!J137&lt;&gt;"",CONCATENATE("'",TEXT(Grunddaten!J137,"JJJJ-MM-tt"),"'"),"NULL")</f>
        <v>'2021-08-27'</v>
      </c>
      <c r="H140" s="4" t="str">
        <f>CONCATENATE("'",TEXT(Grunddaten!G137,"JJJJ-MM-tt"),"'")</f>
        <v>'1957-09-22'</v>
      </c>
      <c r="J140" s="14">
        <f>Grunddaten!A137</f>
        <v>135</v>
      </c>
      <c r="K140" s="14">
        <f>Grunddaten!Y137</f>
        <v>1</v>
      </c>
      <c r="L140" s="14" t="str">
        <f ca="1">CONCATENATE("'",Grunddaten!Z137,"'")</f>
        <v>'14778'</v>
      </c>
      <c r="M140" s="14" t="str">
        <f>CONCATENATE("'",Grunddaten!AA137,"'")</f>
        <v>'Beetzsee'</v>
      </c>
      <c r="N140" s="14" t="str">
        <f>CONCATENATE("'",Grunddaten!AB137,"'")</f>
        <v>'Cincinnati-Straße'</v>
      </c>
      <c r="O140" s="14" t="str">
        <f>CONCATENATE("'",Grunddaten!AC137,"'")</f>
        <v>'5'</v>
      </c>
      <c r="P140" s="14">
        <f>Grunddaten!AD137</f>
        <v>1</v>
      </c>
      <c r="R140" s="13">
        <f>Grunddaten!A137</f>
        <v>135</v>
      </c>
      <c r="S140" s="13">
        <f>Grunddaten!AF137</f>
        <v>1</v>
      </c>
      <c r="T140" s="13" t="str">
        <f>CONCATENATE("'",Grunddaten!AG137,"'")</f>
        <v>'03381'</v>
      </c>
      <c r="U140" s="13" t="str">
        <f ca="1">CONCATENATE("'",Grunddaten!AH137,"'")</f>
        <v>'93191'</v>
      </c>
      <c r="V140" s="13">
        <f>Grunddaten!AI137</f>
        <v>1</v>
      </c>
      <c r="Z140" s="2" t="str" cm="1">
        <f t="array" ref="Z140">CONCATENATE("                   ",Liste(B140:H140),IF(Z141&lt;&gt;"",",",""))</f>
        <v xml:space="preserve">                   (135, 'Schmidt', 'Benno', 1, 4, '2021-08-27', '1957-09-22'),</v>
      </c>
      <c r="AB140" s="2" t="str" cm="1">
        <f t="array" aca="1" ref="AB140" ca="1">CONCATENATE("                    ",Liste(J140:P140),IF(AB141&lt;&gt;"",",",""))</f>
        <v xml:space="preserve">                    (135, 1, '14778', 'Beetzsee', 'Cincinnati-Straße', '5', 1),</v>
      </c>
      <c r="AD140" s="2" t="str" cm="1">
        <f t="array" aca="1" ref="AD140" ca="1">CONCATENATE("                   ",Liste(R140:V140),IF(AD141&lt;&gt;"",",",""))</f>
        <v xml:space="preserve">                   (135, 1, '03381', '93191', 1),</v>
      </c>
    </row>
    <row r="141" spans="2:30" x14ac:dyDescent="0.45">
      <c r="B141" s="4">
        <f>Grunddaten!A138</f>
        <v>136</v>
      </c>
      <c r="C141" s="4" t="str">
        <f>CONCATENATE("'",Grunddaten!F138,"'")</f>
        <v>'Thaika'</v>
      </c>
      <c r="D141" s="4" t="str">
        <f>CONCATENATE("'",Grunddaten!E138,"'")</f>
        <v>'Klaus'</v>
      </c>
      <c r="E141" s="4">
        <f>VLOOKUP(Grunddaten!D138,FormOfAddress,2,TRUE)</f>
        <v>1</v>
      </c>
      <c r="F141" s="4">
        <f>VLOOKUP(Grunddaten!I138,FamilyStatus,2,FALSE)</f>
        <v>1</v>
      </c>
      <c r="G141" s="4" t="str">
        <f>IF(Grunddaten!J138&lt;&gt;"",CONCATENATE("'",TEXT(Grunddaten!J138,"JJJJ-MM-tt"),"'"),"NULL")</f>
        <v>NULL</v>
      </c>
      <c r="H141" s="4" t="str">
        <f>CONCATENATE("'",TEXT(Grunddaten!G138,"JJJJ-MM-tt"),"'")</f>
        <v>'1959-04-06'</v>
      </c>
      <c r="J141" s="14">
        <f>Grunddaten!A138</f>
        <v>136</v>
      </c>
      <c r="K141" s="14">
        <f>Grunddaten!Y138</f>
        <v>1</v>
      </c>
      <c r="L141" s="14" t="str">
        <f ca="1">CONCATENATE("'",Grunddaten!Z138,"'")</f>
        <v>'14052'</v>
      </c>
      <c r="M141" s="14" t="str">
        <f>CONCATENATE("'",Grunddaten!AA138,"'")</f>
        <v>'Berlin'</v>
      </c>
      <c r="N141" s="14" t="str">
        <f>CONCATENATE("'",Grunddaten!AB138,"'")</f>
        <v>'Mozartweg'</v>
      </c>
      <c r="O141" s="14" t="str">
        <f>CONCATENATE("'",Grunddaten!AC138,"'")</f>
        <v>'14'</v>
      </c>
      <c r="P141" s="14">
        <f>Grunddaten!AD138</f>
        <v>1</v>
      </c>
      <c r="R141" s="13">
        <f>Grunddaten!A138</f>
        <v>136</v>
      </c>
      <c r="S141" s="13">
        <f>Grunddaten!AF138</f>
        <v>1</v>
      </c>
      <c r="T141" s="13" t="str">
        <f>CONCATENATE("'",Grunddaten!AG138,"'")</f>
        <v>'030'</v>
      </c>
      <c r="U141" s="13" t="str">
        <f ca="1">CONCATENATE("'",Grunddaten!AH138,"'")</f>
        <v>'65997914'</v>
      </c>
      <c r="V141" s="13">
        <f>Grunddaten!AI138</f>
        <v>1</v>
      </c>
      <c r="Z141" s="2" t="str" cm="1">
        <f t="array" ref="Z141">CONCATENATE("                   ",Liste(B141:H141),IF(Z142&lt;&gt;"",",",""))</f>
        <v xml:space="preserve">                   (136, 'Thaika', 'Klaus', 1, 1, NULL, '1959-04-06'),</v>
      </c>
      <c r="AB141" s="2" t="str" cm="1">
        <f t="array" aca="1" ref="AB141" ca="1">CONCATENATE("                    ",Liste(J141:P141),IF(AB142&lt;&gt;"",",",""))</f>
        <v xml:space="preserve">                    (136, 1, '14052', 'Berlin', 'Mozartweg', '14', 1),</v>
      </c>
      <c r="AD141" s="2" t="str" cm="1">
        <f t="array" aca="1" ref="AD141" ca="1">CONCATENATE("                   ",Liste(R141:V141),IF(AD142&lt;&gt;"",",",""))</f>
        <v xml:space="preserve">                   (136, 1, '030', '65997914', 1),</v>
      </c>
    </row>
    <row r="142" spans="2:30" x14ac:dyDescent="0.45">
      <c r="B142" s="4">
        <f>Grunddaten!A139</f>
        <v>137</v>
      </c>
      <c r="C142" s="4" t="str">
        <f>CONCATENATE("'",Grunddaten!F139,"'")</f>
        <v>'Michalski'</v>
      </c>
      <c r="D142" s="4" t="str">
        <f>CONCATENATE("'",Grunddaten!E139,"'")</f>
        <v>'Ingrid'</v>
      </c>
      <c r="E142" s="4">
        <f>VLOOKUP(Grunddaten!D139,FormOfAddress,2,TRUE)</f>
        <v>2</v>
      </c>
      <c r="F142" s="4">
        <f>VLOOKUP(Grunddaten!I139,FamilyStatus,2,FALSE)</f>
        <v>2</v>
      </c>
      <c r="G142" s="4" t="str">
        <f>IF(Grunddaten!J139&lt;&gt;"",CONCATENATE("'",TEXT(Grunddaten!J139,"JJJJ-MM-tt"),"'"),"NULL")</f>
        <v>'1996-04-20'</v>
      </c>
      <c r="H142" s="4" t="str">
        <f>CONCATENATE("'",TEXT(Grunddaten!G139,"JJJJ-MM-tt"),"'")</f>
        <v>'1963-05-12'</v>
      </c>
      <c r="J142" s="14">
        <f>Grunddaten!A139</f>
        <v>137</v>
      </c>
      <c r="K142" s="14">
        <f>Grunddaten!Y139</f>
        <v>1</v>
      </c>
      <c r="L142" s="14" t="str">
        <f ca="1">CONCATENATE("'",Grunddaten!Z139,"'")</f>
        <v>'14052'</v>
      </c>
      <c r="M142" s="14" t="str">
        <f>CONCATENATE("'",Grunddaten!AA139,"'")</f>
        <v>'Berlin'</v>
      </c>
      <c r="N142" s="14" t="str">
        <f>CONCATENATE("'",Grunddaten!AB139,"'")</f>
        <v>'Gerhard-Schröder-Straße'</v>
      </c>
      <c r="O142" s="14" t="str">
        <f>CONCATENATE("'",Grunddaten!AC139,"'")</f>
        <v>'64'</v>
      </c>
      <c r="P142" s="14">
        <f>Grunddaten!AD139</f>
        <v>1</v>
      </c>
      <c r="R142" s="13">
        <f>Grunddaten!A139</f>
        <v>137</v>
      </c>
      <c r="S142" s="13">
        <f>Grunddaten!AF139</f>
        <v>1</v>
      </c>
      <c r="T142" s="13" t="str">
        <f>CONCATENATE("'",Grunddaten!AG139,"'")</f>
        <v>'030'</v>
      </c>
      <c r="U142" s="13" t="str">
        <f ca="1">CONCATENATE("'",Grunddaten!AH139,"'")</f>
        <v>'92803435'</v>
      </c>
      <c r="V142" s="13">
        <f>Grunddaten!AI139</f>
        <v>1</v>
      </c>
      <c r="Z142" s="2" t="str" cm="1">
        <f t="array" ref="Z142">CONCATENATE("                   ",Liste(B142:H142),IF(Z143&lt;&gt;"",",",""))</f>
        <v xml:space="preserve">                   (137, 'Michalski', 'Ingrid', 2, 2, '1996-04-20', '1963-05-12'),</v>
      </c>
      <c r="AB142" s="2" t="str" cm="1">
        <f t="array" aca="1" ref="AB142" ca="1">CONCATENATE("                    ",Liste(J142:P142),IF(AB143&lt;&gt;"",",",""))</f>
        <v xml:space="preserve">                    (137, 1, '14052', 'Berlin', 'Gerhard-Schröder-Straße', '64', 1),</v>
      </c>
      <c r="AD142" s="2" t="str" cm="1">
        <f t="array" aca="1" ref="AD142" ca="1">CONCATENATE("                   ",Liste(R142:V142),IF(AD143&lt;&gt;"",",",""))</f>
        <v xml:space="preserve">                   (137, 1, '030', '92803435', 1),</v>
      </c>
    </row>
    <row r="143" spans="2:30" x14ac:dyDescent="0.45">
      <c r="B143" s="4">
        <f>Grunddaten!A140</f>
        <v>138</v>
      </c>
      <c r="C143" s="4" t="str">
        <f>CONCATENATE("'",Grunddaten!F140,"'")</f>
        <v>'Peters'</v>
      </c>
      <c r="D143" s="4" t="str">
        <f>CONCATENATE("'",Grunddaten!E140,"'")</f>
        <v>'Hugo'</v>
      </c>
      <c r="E143" s="4">
        <f>VLOOKUP(Grunddaten!D140,FormOfAddress,2,TRUE)</f>
        <v>1</v>
      </c>
      <c r="F143" s="4">
        <f>VLOOKUP(Grunddaten!I140,FamilyStatus,2,FALSE)</f>
        <v>2</v>
      </c>
      <c r="G143" s="4" t="str">
        <f>IF(Grunddaten!J140&lt;&gt;"",CONCATENATE("'",TEXT(Grunddaten!J140,"JJJJ-MM-tt"),"'"),"NULL")</f>
        <v>'1998-03-08'</v>
      </c>
      <c r="H143" s="4" t="str">
        <f>CONCATENATE("'",TEXT(Grunddaten!G140,"JJJJ-MM-tt"),"'")</f>
        <v>'1961-01-10'</v>
      </c>
      <c r="J143" s="14">
        <f>Grunddaten!A140</f>
        <v>138</v>
      </c>
      <c r="K143" s="14">
        <f>Grunddaten!Y140</f>
        <v>1</v>
      </c>
      <c r="L143" s="14" t="str">
        <f ca="1">CONCATENATE("'",Grunddaten!Z140,"'")</f>
        <v>'12057'</v>
      </c>
      <c r="M143" s="14" t="str">
        <f>CONCATENATE("'",Grunddaten!AA140,"'")</f>
        <v>'Berlin'</v>
      </c>
      <c r="N143" s="14" t="str">
        <f>CONCATENATE("'",Grunddaten!AB140,"'")</f>
        <v>'Breite Straße'</v>
      </c>
      <c r="O143" s="14" t="str">
        <f>CONCATENATE("'",Grunddaten!AC140,"'")</f>
        <v>'27'</v>
      </c>
      <c r="P143" s="14">
        <f>Grunddaten!AD140</f>
        <v>1</v>
      </c>
      <c r="R143" s="13">
        <f>Grunddaten!A140</f>
        <v>138</v>
      </c>
      <c r="S143" s="13">
        <f>Grunddaten!AF140</f>
        <v>1</v>
      </c>
      <c r="T143" s="13" t="str">
        <f>CONCATENATE("'",Grunddaten!AG140,"'")</f>
        <v>'030'</v>
      </c>
      <c r="U143" s="13" t="str">
        <f ca="1">CONCATENATE("'",Grunddaten!AH140,"'")</f>
        <v>'55642174'</v>
      </c>
      <c r="V143" s="13">
        <f>Grunddaten!AI140</f>
        <v>1</v>
      </c>
      <c r="Z143" s="2" t="str" cm="1">
        <f t="array" ref="Z143">CONCATENATE("                   ",Liste(B143:H143),IF(Z144&lt;&gt;"",",",""))</f>
        <v xml:space="preserve">                   (138, 'Peters', 'Hugo', 1, 2, '1998-03-08', '1961-01-10'),</v>
      </c>
      <c r="AB143" s="2" t="str" cm="1">
        <f t="array" aca="1" ref="AB143" ca="1">CONCATENATE("                    ",Liste(J143:P143),IF(AB144&lt;&gt;"",",",""))</f>
        <v xml:space="preserve">                    (138, 1, '12057', 'Berlin', 'Breite Straße', '27', 1),</v>
      </c>
      <c r="AD143" s="2" t="str" cm="1">
        <f t="array" aca="1" ref="AD143" ca="1">CONCATENATE("                   ",Liste(R143:V143),IF(AD144&lt;&gt;"",",",""))</f>
        <v xml:space="preserve">                   (138, 1, '030', '55642174', 1),</v>
      </c>
    </row>
    <row r="144" spans="2:30" x14ac:dyDescent="0.45">
      <c r="B144" s="4">
        <f>Grunddaten!A141</f>
        <v>139</v>
      </c>
      <c r="C144" s="4" t="str">
        <f>CONCATENATE("'",Grunddaten!F141,"'")</f>
        <v>'Ferdinand'</v>
      </c>
      <c r="D144" s="4" t="str">
        <f>CONCATENATE("'",Grunddaten!E141,"'")</f>
        <v>'Horst'</v>
      </c>
      <c r="E144" s="4">
        <f>VLOOKUP(Grunddaten!D141,FormOfAddress,2,TRUE)</f>
        <v>1</v>
      </c>
      <c r="F144" s="4">
        <f>VLOOKUP(Grunddaten!I141,FamilyStatus,2,FALSE)</f>
        <v>2</v>
      </c>
      <c r="G144" s="4" t="str">
        <f>IF(Grunddaten!J141&lt;&gt;"",CONCATENATE("'",TEXT(Grunddaten!J141,"JJJJ-MM-tt"),"'"),"NULL")</f>
        <v>'2023-10-27'</v>
      </c>
      <c r="H144" s="4" t="str">
        <f>CONCATENATE("'",TEXT(Grunddaten!G141,"JJJJ-MM-tt"),"'")</f>
        <v>'1997-08-23'</v>
      </c>
      <c r="J144" s="14">
        <f>Grunddaten!A141</f>
        <v>139</v>
      </c>
      <c r="K144" s="14">
        <f>Grunddaten!Y141</f>
        <v>1</v>
      </c>
      <c r="L144" s="14" t="str">
        <f ca="1">CONCATENATE("'",Grunddaten!Z141,"'")</f>
        <v>'14052'</v>
      </c>
      <c r="M144" s="14" t="str">
        <f>CONCATENATE("'",Grunddaten!AA141,"'")</f>
        <v>'Berlin'</v>
      </c>
      <c r="N144" s="14" t="str">
        <f>CONCATENATE("'",Grunddaten!AB141,"'")</f>
        <v>'Gustav-Stresemann-Straße'</v>
      </c>
      <c r="O144" s="14" t="str">
        <f>CONCATENATE("'",Grunddaten!AC141,"'")</f>
        <v>'71'</v>
      </c>
      <c r="P144" s="14">
        <f>Grunddaten!AD141</f>
        <v>1</v>
      </c>
      <c r="R144" s="13">
        <f>Grunddaten!A141</f>
        <v>139</v>
      </c>
      <c r="S144" s="13">
        <f>Grunddaten!AF141</f>
        <v>1</v>
      </c>
      <c r="T144" s="13" t="str">
        <f>CONCATENATE("'",Grunddaten!AG141,"'")</f>
        <v>'030'</v>
      </c>
      <c r="U144" s="13" t="str">
        <f ca="1">CONCATENATE("'",Grunddaten!AH141,"'")</f>
        <v>'85565693'</v>
      </c>
      <c r="V144" s="13">
        <f>Grunddaten!AI141</f>
        <v>1</v>
      </c>
      <c r="Z144" s="2" t="str" cm="1">
        <f t="array" ref="Z144">CONCATENATE("                   ",Liste(B144:H144),IF(Z145&lt;&gt;"",",",""))</f>
        <v xml:space="preserve">                   (139, 'Ferdinand', 'Horst', 1, 2, '2023-10-27', '1997-08-23'),</v>
      </c>
      <c r="AB144" s="2" t="str" cm="1">
        <f t="array" aca="1" ref="AB144" ca="1">CONCATENATE("                    ",Liste(J144:P144),IF(AB145&lt;&gt;"",",",""))</f>
        <v xml:space="preserve">                    (139, 1, '14052', 'Berlin', 'Gustav-Stresemann-Straße', '71', 1),</v>
      </c>
      <c r="AD144" s="2" t="str" cm="1">
        <f t="array" aca="1" ref="AD144" ca="1">CONCATENATE("                   ",Liste(R144:V144),IF(AD145&lt;&gt;"",",",""))</f>
        <v xml:space="preserve">                   (139, 1, '030', '85565693', 1),</v>
      </c>
    </row>
    <row r="145" spans="2:30" x14ac:dyDescent="0.45">
      <c r="B145" s="4">
        <f>Grunddaten!A142</f>
        <v>140</v>
      </c>
      <c r="C145" s="4" t="str">
        <f>CONCATENATE("'",Grunddaten!F142,"'")</f>
        <v>'Stahl'</v>
      </c>
      <c r="D145" s="4" t="str">
        <f>CONCATENATE("'",Grunddaten!E142,"'")</f>
        <v>'Hans-Jürgen'</v>
      </c>
      <c r="E145" s="4">
        <f>VLOOKUP(Grunddaten!D142,FormOfAddress,2,TRUE)</f>
        <v>1</v>
      </c>
      <c r="F145" s="4">
        <f>VLOOKUP(Grunddaten!I142,FamilyStatus,2,FALSE)</f>
        <v>1</v>
      </c>
      <c r="G145" s="4" t="str">
        <f>IF(Grunddaten!J142&lt;&gt;"",CONCATENATE("'",TEXT(Grunddaten!J142,"JJJJ-MM-tt"),"'"),"NULL")</f>
        <v>NULL</v>
      </c>
      <c r="H145" s="4" t="str">
        <f>CONCATENATE("'",TEXT(Grunddaten!G142,"JJJJ-MM-tt"),"'")</f>
        <v>'1995-02-01'</v>
      </c>
      <c r="J145" s="14">
        <f>Grunddaten!A142</f>
        <v>140</v>
      </c>
      <c r="K145" s="14">
        <f>Grunddaten!Y142</f>
        <v>1</v>
      </c>
      <c r="L145" s="14" t="str">
        <f ca="1">CONCATENATE("'",Grunddaten!Z142,"'")</f>
        <v>'10369'</v>
      </c>
      <c r="M145" s="14" t="str">
        <f>CONCATENATE("'",Grunddaten!AA142,"'")</f>
        <v>'Berlin'</v>
      </c>
      <c r="N145" s="14" t="str">
        <f>CONCATENATE("'",Grunddaten!AB142,"'")</f>
        <v>'Bachstraße'</v>
      </c>
      <c r="O145" s="14" t="str">
        <f>CONCATENATE("'",Grunddaten!AC142,"'")</f>
        <v>'32'</v>
      </c>
      <c r="P145" s="14">
        <f>Grunddaten!AD142</f>
        <v>1</v>
      </c>
      <c r="R145" s="13">
        <f>Grunddaten!A142</f>
        <v>140</v>
      </c>
      <c r="S145" s="13">
        <f>Grunddaten!AF142</f>
        <v>1</v>
      </c>
      <c r="T145" s="13" t="str">
        <f>CONCATENATE("'",Grunddaten!AG142,"'")</f>
        <v>'030'</v>
      </c>
      <c r="U145" s="13" t="str">
        <f ca="1">CONCATENATE("'",Grunddaten!AH142,"'")</f>
        <v>'96228092'</v>
      </c>
      <c r="V145" s="13">
        <f>Grunddaten!AI142</f>
        <v>1</v>
      </c>
      <c r="Z145" s="2" t="str" cm="1">
        <f t="array" ref="Z145">CONCATENATE("                   ",Liste(B145:H145),IF(Z146&lt;&gt;"",",",""))</f>
        <v xml:space="preserve">                   (140, 'Stahl', 'Hans-Jürgen', 1, 1, NULL, '1995-02-01'),</v>
      </c>
      <c r="AB145" s="2" t="str" cm="1">
        <f t="array" aca="1" ref="AB145" ca="1">CONCATENATE("                    ",Liste(J145:P145),IF(AB146&lt;&gt;"",",",""))</f>
        <v xml:space="preserve">                    (140, 1, '10369', 'Berlin', 'Bachstraße', '32', 1),</v>
      </c>
      <c r="AD145" s="2" t="str" cm="1">
        <f t="array" aca="1" ref="AD145" ca="1">CONCATENATE("                   ",Liste(R145:V145),IF(AD146&lt;&gt;"",",",""))</f>
        <v xml:space="preserve">                   (140, 1, '030', '96228092', 1),</v>
      </c>
    </row>
    <row r="146" spans="2:30" x14ac:dyDescent="0.45">
      <c r="B146" s="4">
        <f>Grunddaten!A143</f>
        <v>141</v>
      </c>
      <c r="C146" s="4" t="str">
        <f>CONCATENATE("'",Grunddaten!F143,"'")</f>
        <v>'Baumann'</v>
      </c>
      <c r="D146" s="4" t="str">
        <f>CONCATENATE("'",Grunddaten!E143,"'")</f>
        <v>'Heinz'</v>
      </c>
      <c r="E146" s="4">
        <f>VLOOKUP(Grunddaten!D143,FormOfAddress,2,TRUE)</f>
        <v>1</v>
      </c>
      <c r="F146" s="4">
        <f>VLOOKUP(Grunddaten!I143,FamilyStatus,2,FALSE)</f>
        <v>1</v>
      </c>
      <c r="G146" s="4" t="str">
        <f>IF(Grunddaten!J143&lt;&gt;"",CONCATENATE("'",TEXT(Grunddaten!J143,"JJJJ-MM-tt"),"'"),"NULL")</f>
        <v>NULL</v>
      </c>
      <c r="H146" s="4" t="str">
        <f>CONCATENATE("'",TEXT(Grunddaten!G143,"JJJJ-MM-tt"),"'")</f>
        <v>'1975-01-02'</v>
      </c>
      <c r="J146" s="14">
        <f>Grunddaten!A143</f>
        <v>141</v>
      </c>
      <c r="K146" s="14">
        <f>Grunddaten!Y143</f>
        <v>1</v>
      </c>
      <c r="L146" s="14" t="str">
        <f ca="1">CONCATENATE("'",Grunddaten!Z143,"'")</f>
        <v>'14621'</v>
      </c>
      <c r="M146" s="14" t="str">
        <f>CONCATENATE("'",Grunddaten!AA143,"'")</f>
        <v>'Paaren im Glien'</v>
      </c>
      <c r="N146" s="14" t="str">
        <f>CONCATENATE("'",Grunddaten!AB143,"'")</f>
        <v>'Löwenweg'</v>
      </c>
      <c r="O146" s="14" t="str">
        <f>CONCATENATE("'",Grunddaten!AC143,"'")</f>
        <v>'2'</v>
      </c>
      <c r="P146" s="14">
        <f>Grunddaten!AD143</f>
        <v>1</v>
      </c>
      <c r="R146" s="13">
        <f>Grunddaten!A143</f>
        <v>141</v>
      </c>
      <c r="S146" s="13">
        <f>Grunddaten!AF143</f>
        <v>1</v>
      </c>
      <c r="T146" s="13" t="str">
        <f>CONCATENATE("'",Grunddaten!AG143,"'")</f>
        <v>'033230'</v>
      </c>
      <c r="U146" s="13" t="str">
        <f ca="1">CONCATENATE("'",Grunddaten!AH143,"'")</f>
        <v>'4165'</v>
      </c>
      <c r="V146" s="13">
        <f>Grunddaten!AI143</f>
        <v>1</v>
      </c>
      <c r="Z146" s="2" t="str" cm="1">
        <f t="array" ref="Z146">CONCATENATE("                   ",Liste(B146:H146),IF(Z147&lt;&gt;"",",",""))</f>
        <v xml:space="preserve">                   (141, 'Baumann', 'Heinz', 1, 1, NULL, '1975-01-02'),</v>
      </c>
      <c r="AB146" s="2" t="str" cm="1">
        <f t="array" aca="1" ref="AB146" ca="1">CONCATENATE("                    ",Liste(J146:P146),IF(AB147&lt;&gt;"",",",""))</f>
        <v xml:space="preserve">                    (141, 1, '14621', 'Paaren im Glien', 'Löwenweg', '2', 1),</v>
      </c>
      <c r="AD146" s="2" t="str" cm="1">
        <f t="array" aca="1" ref="AD146" ca="1">CONCATENATE("                   ",Liste(R146:V146),IF(AD147&lt;&gt;"",",",""))</f>
        <v xml:space="preserve">                   (141, 1, '033230', '4165', 1),</v>
      </c>
    </row>
    <row r="147" spans="2:30" x14ac:dyDescent="0.45">
      <c r="B147" s="4">
        <f>Grunddaten!A144</f>
        <v>142</v>
      </c>
      <c r="C147" s="4" t="str">
        <f>CONCATENATE("'",Grunddaten!F144,"'")</f>
        <v>'Kleine'</v>
      </c>
      <c r="D147" s="4" t="str">
        <f>CONCATENATE("'",Grunddaten!E144,"'")</f>
        <v>'Elisabeth'</v>
      </c>
      <c r="E147" s="4">
        <f>VLOOKUP(Grunddaten!D144,FormOfAddress,2,TRUE)</f>
        <v>2</v>
      </c>
      <c r="F147" s="4">
        <f>VLOOKUP(Grunddaten!I144,FamilyStatus,2,FALSE)</f>
        <v>2</v>
      </c>
      <c r="G147" s="4" t="str">
        <f>IF(Grunddaten!J144&lt;&gt;"",CONCATENATE("'",TEXT(Grunddaten!J144,"JJJJ-MM-tt"),"'"),"NULL")</f>
        <v>'2013-03-06'</v>
      </c>
      <c r="H147" s="4" t="str">
        <f>CONCATENATE("'",TEXT(Grunddaten!G144,"JJJJ-MM-tt"),"'")</f>
        <v>'1974-10-24'</v>
      </c>
      <c r="J147" s="14">
        <f>Grunddaten!A144</f>
        <v>142</v>
      </c>
      <c r="K147" s="14">
        <f>Grunddaten!Y144</f>
        <v>1</v>
      </c>
      <c r="L147" s="14" t="str">
        <f ca="1">CONCATENATE("'",Grunddaten!Z144,"'")</f>
        <v>'14554'</v>
      </c>
      <c r="M147" s="14" t="str">
        <f>CONCATENATE("'",Grunddaten!AA144,"'")</f>
        <v>'Seddiner See'</v>
      </c>
      <c r="N147" s="14" t="str">
        <f>CONCATENATE("'",Grunddaten!AB144,"'")</f>
        <v>'Lindenstraße'</v>
      </c>
      <c r="O147" s="14" t="str">
        <f>CONCATENATE("'",Grunddaten!AC144,"'")</f>
        <v>'28'</v>
      </c>
      <c r="P147" s="14">
        <f>Grunddaten!AD144</f>
        <v>1</v>
      </c>
      <c r="R147" s="13">
        <f>Grunddaten!A144</f>
        <v>142</v>
      </c>
      <c r="S147" s="13">
        <f>Grunddaten!AF144</f>
        <v>1</v>
      </c>
      <c r="T147" s="13" t="str">
        <f>CONCATENATE("'",Grunddaten!AG144,"'")</f>
        <v>'033205'</v>
      </c>
      <c r="U147" s="13" t="str">
        <f ca="1">CONCATENATE("'",Grunddaten!AH144,"'")</f>
        <v>'9614'</v>
      </c>
      <c r="V147" s="13">
        <f>Grunddaten!AI144</f>
        <v>1</v>
      </c>
      <c r="Z147" s="2" t="str" cm="1">
        <f t="array" ref="Z147">CONCATENATE("                   ",Liste(B147:H147),IF(Z148&lt;&gt;"",",",""))</f>
        <v xml:space="preserve">                   (142, 'Kleine', 'Elisabeth', 2, 2, '2013-03-06', '1974-10-24'),</v>
      </c>
      <c r="AB147" s="2" t="str" cm="1">
        <f t="array" aca="1" ref="AB147" ca="1">CONCATENATE("                    ",Liste(J147:P147),IF(AB148&lt;&gt;"",",",""))</f>
        <v xml:space="preserve">                    (142, 1, '14554', 'Seddiner See', 'Lindenstraße', '28', 1),</v>
      </c>
      <c r="AD147" s="2" t="str" cm="1">
        <f t="array" aca="1" ref="AD147" ca="1">CONCATENATE("                   ",Liste(R147:V147),IF(AD148&lt;&gt;"",",",""))</f>
        <v xml:space="preserve">                   (142, 1, '033205', '9614', 1),</v>
      </c>
    </row>
    <row r="148" spans="2:30" x14ac:dyDescent="0.45">
      <c r="B148" s="4">
        <f>Grunddaten!A145</f>
        <v>143</v>
      </c>
      <c r="C148" s="4" t="str">
        <f>CONCATENATE("'",Grunddaten!F145,"'")</f>
        <v>'Sommer'</v>
      </c>
      <c r="D148" s="4" t="str">
        <f>CONCATENATE("'",Grunddaten!E145,"'")</f>
        <v>'Elke'</v>
      </c>
      <c r="E148" s="4">
        <f>VLOOKUP(Grunddaten!D145,FormOfAddress,2,TRUE)</f>
        <v>2</v>
      </c>
      <c r="F148" s="4">
        <f>VLOOKUP(Grunddaten!I145,FamilyStatus,2,FALSE)</f>
        <v>2</v>
      </c>
      <c r="G148" s="4" t="str">
        <f>IF(Grunddaten!J145&lt;&gt;"",CONCATENATE("'",TEXT(Grunddaten!J145,"JJJJ-MM-tt"),"'"),"NULL")</f>
        <v>'1974-09-06'</v>
      </c>
      <c r="H148" s="4" t="str">
        <f>CONCATENATE("'",TEXT(Grunddaten!G145,"JJJJ-MM-tt"),"'")</f>
        <v>'1951-12-07'</v>
      </c>
      <c r="J148" s="14">
        <f>Grunddaten!A145</f>
        <v>143</v>
      </c>
      <c r="K148" s="14">
        <f>Grunddaten!Y145</f>
        <v>1</v>
      </c>
      <c r="L148" s="14" t="str">
        <f ca="1">CONCATENATE("'",Grunddaten!Z145,"'")</f>
        <v>'14163'</v>
      </c>
      <c r="M148" s="14" t="str">
        <f>CONCATENATE("'",Grunddaten!AA145,"'")</f>
        <v>'Berlin'</v>
      </c>
      <c r="N148" s="14" t="str">
        <f>CONCATENATE("'",Grunddaten!AB145,"'")</f>
        <v>'Friedrich-Engels-Straße'</v>
      </c>
      <c r="O148" s="14" t="str">
        <f>CONCATENATE("'",Grunddaten!AC145,"'")</f>
        <v>'11D/E'</v>
      </c>
      <c r="P148" s="14">
        <f>Grunddaten!AD145</f>
        <v>1</v>
      </c>
      <c r="R148" s="13">
        <f>Grunddaten!A145</f>
        <v>143</v>
      </c>
      <c r="S148" s="13">
        <f>Grunddaten!AF145</f>
        <v>1</v>
      </c>
      <c r="T148" s="13" t="str">
        <f>CONCATENATE("'",Grunddaten!AG145,"'")</f>
        <v>'030'</v>
      </c>
      <c r="U148" s="13" t="str">
        <f ca="1">CONCATENATE("'",Grunddaten!AH145,"'")</f>
        <v>'81041231'</v>
      </c>
      <c r="V148" s="13">
        <f>Grunddaten!AI145</f>
        <v>1</v>
      </c>
      <c r="Z148" s="2" t="str" cm="1">
        <f t="array" ref="Z148">CONCATENATE("                   ",Liste(B148:H148),IF(Z149&lt;&gt;"",",",""))</f>
        <v xml:space="preserve">                   (143, 'Sommer', 'Elke', 2, 2, '1974-09-06', '1951-12-07'),</v>
      </c>
      <c r="AB148" s="2" t="str" cm="1">
        <f t="array" aca="1" ref="AB148" ca="1">CONCATENATE("                    ",Liste(J148:P148),IF(AB149&lt;&gt;"",",",""))</f>
        <v xml:space="preserve">                    (143, 1, '14163', 'Berlin', 'Friedrich-Engels-Straße', '11D/E', 1),</v>
      </c>
      <c r="AD148" s="2" t="str" cm="1">
        <f t="array" aca="1" ref="AD148" ca="1">CONCATENATE("                   ",Liste(R148:V148),IF(AD149&lt;&gt;"",",",""))</f>
        <v xml:space="preserve">                   (143, 1, '030', '81041231', 1),</v>
      </c>
    </row>
    <row r="149" spans="2:30" x14ac:dyDescent="0.45">
      <c r="B149" s="4">
        <f>Grunddaten!A146</f>
        <v>144</v>
      </c>
      <c r="C149" s="4" t="str">
        <f>CONCATENATE("'",Grunddaten!F146,"'")</f>
        <v>'Wander'</v>
      </c>
      <c r="D149" s="4" t="str">
        <f>CONCATENATE("'",Grunddaten!E146,"'")</f>
        <v>'Maximilan'</v>
      </c>
      <c r="E149" s="4">
        <f>VLOOKUP(Grunddaten!D146,FormOfAddress,2,TRUE)</f>
        <v>1</v>
      </c>
      <c r="F149" s="4">
        <f>VLOOKUP(Grunddaten!I146,FamilyStatus,2,FALSE)</f>
        <v>1</v>
      </c>
      <c r="G149" s="4" t="str">
        <f>IF(Grunddaten!J146&lt;&gt;"",CONCATENATE("'",TEXT(Grunddaten!J146,"JJJJ-MM-tt"),"'"),"NULL")</f>
        <v>NULL</v>
      </c>
      <c r="H149" s="4" t="str">
        <f>CONCATENATE("'",TEXT(Grunddaten!G146,"JJJJ-MM-tt"),"'")</f>
        <v>'1995-03-31'</v>
      </c>
      <c r="J149" s="14">
        <f>Grunddaten!A146</f>
        <v>144</v>
      </c>
      <c r="K149" s="14">
        <f>Grunddaten!Y146</f>
        <v>1</v>
      </c>
      <c r="L149" s="14" t="str">
        <f ca="1">CONCATENATE("'",Grunddaten!Z146,"'")</f>
        <v>'13581'</v>
      </c>
      <c r="M149" s="14" t="str">
        <f>CONCATENATE("'",Grunddaten!AA146,"'")</f>
        <v>'Berlin'</v>
      </c>
      <c r="N149" s="14" t="str">
        <f>CONCATENATE("'",Grunddaten!AB146,"'")</f>
        <v>'Friedrich-Schiller-Straße'</v>
      </c>
      <c r="O149" s="14" t="str">
        <f>CONCATENATE("'",Grunddaten!AC146,"'")</f>
        <v>'76'</v>
      </c>
      <c r="P149" s="14">
        <f>Grunddaten!AD146</f>
        <v>1</v>
      </c>
      <c r="R149" s="13">
        <f>Grunddaten!A146</f>
        <v>144</v>
      </c>
      <c r="S149" s="13">
        <f>Grunddaten!AF146</f>
        <v>1</v>
      </c>
      <c r="T149" s="13" t="str">
        <f>CONCATENATE("'",Grunddaten!AG146,"'")</f>
        <v>'030'</v>
      </c>
      <c r="U149" s="13" t="str">
        <f ca="1">CONCATENATE("'",Grunddaten!AH146,"'")</f>
        <v>'61020202'</v>
      </c>
      <c r="V149" s="13">
        <f>Grunddaten!AI146</f>
        <v>1</v>
      </c>
      <c r="Z149" s="2" t="str" cm="1">
        <f t="array" ref="Z149">CONCATENATE("                   ",Liste(B149:H149),IF(Z150&lt;&gt;"",",",""))</f>
        <v xml:space="preserve">                   (144, 'Wander', 'Maximilan', 1, 1, NULL, '1995-03-31'),</v>
      </c>
      <c r="AB149" s="2" t="str" cm="1">
        <f t="array" aca="1" ref="AB149" ca="1">CONCATENATE("                    ",Liste(J149:P149),IF(AB150&lt;&gt;"",",",""))</f>
        <v xml:space="preserve">                    (144, 1, '13581', 'Berlin', 'Friedrich-Schiller-Straße', '76', 1),</v>
      </c>
      <c r="AD149" s="2" t="str" cm="1">
        <f t="array" aca="1" ref="AD149" ca="1">CONCATENATE("                   ",Liste(R149:V149),IF(AD150&lt;&gt;"",",",""))</f>
        <v xml:space="preserve">                   (144, 1, '030', '61020202', 1),</v>
      </c>
    </row>
    <row r="150" spans="2:30" x14ac:dyDescent="0.45">
      <c r="B150" s="4">
        <f>Grunddaten!A147</f>
        <v>145</v>
      </c>
      <c r="C150" s="4" t="str">
        <f>CONCATENATE("'",Grunddaten!F147,"'")</f>
        <v>'Krämer'</v>
      </c>
      <c r="D150" s="4" t="str">
        <f>CONCATENATE("'",Grunddaten!E147,"'")</f>
        <v>'Mark'</v>
      </c>
      <c r="E150" s="4">
        <f>VLOOKUP(Grunddaten!D147,FormOfAddress,2,TRUE)</f>
        <v>1</v>
      </c>
      <c r="F150" s="4">
        <f>VLOOKUP(Grunddaten!I147,FamilyStatus,2,FALSE)</f>
        <v>4</v>
      </c>
      <c r="G150" s="4" t="str">
        <f>IF(Grunddaten!J147&lt;&gt;"",CONCATENATE("'",TEXT(Grunddaten!J147,"JJJJ-MM-tt"),"'"),"NULL")</f>
        <v>'2020-05-26'</v>
      </c>
      <c r="H150" s="4" t="str">
        <f>CONCATENATE("'",TEXT(Grunddaten!G147,"JJJJ-MM-tt"),"'")</f>
        <v>'1970-06-03'</v>
      </c>
      <c r="J150" s="14">
        <f>Grunddaten!A147</f>
        <v>145</v>
      </c>
      <c r="K150" s="14">
        <f>Grunddaten!Y147</f>
        <v>1</v>
      </c>
      <c r="L150" s="14" t="str">
        <f ca="1">CONCATENATE("'",Grunddaten!Z147,"'")</f>
        <v>'14797'</v>
      </c>
      <c r="M150" s="14" t="str">
        <f>CONCATENATE("'",Grunddaten!AA147,"'")</f>
        <v>'Lehnin'</v>
      </c>
      <c r="N150" s="14" t="str">
        <f>CONCATENATE("'",Grunddaten!AB147,"'")</f>
        <v>'Mozartgasse'</v>
      </c>
      <c r="O150" s="14" t="str">
        <f>CONCATENATE("'",Grunddaten!AC147,"'")</f>
        <v>'30'</v>
      </c>
      <c r="P150" s="14">
        <f>Grunddaten!AD147</f>
        <v>1</v>
      </c>
      <c r="R150" s="13">
        <f>Grunddaten!A147</f>
        <v>145</v>
      </c>
      <c r="S150" s="13">
        <f>Grunddaten!AF147</f>
        <v>1</v>
      </c>
      <c r="T150" s="13" t="str">
        <f>CONCATENATE("'",Grunddaten!AG147,"'")</f>
        <v>'033835'</v>
      </c>
      <c r="U150" s="13" t="str">
        <f ca="1">CONCATENATE("'",Grunddaten!AH147,"'")</f>
        <v>'6546'</v>
      </c>
      <c r="V150" s="13">
        <f>Grunddaten!AI147</f>
        <v>1</v>
      </c>
      <c r="Z150" s="2" t="str" cm="1">
        <f t="array" ref="Z150">CONCATENATE("                   ",Liste(B150:H150),IF(Z151&lt;&gt;"",",",""))</f>
        <v xml:space="preserve">                   (145, 'Krämer', 'Mark', 1, 4, '2020-05-26', '1970-06-03'),</v>
      </c>
      <c r="AB150" s="2" t="str" cm="1">
        <f t="array" aca="1" ref="AB150" ca="1">CONCATENATE("                    ",Liste(J150:P150),IF(AB151&lt;&gt;"",",",""))</f>
        <v xml:space="preserve">                    (145, 1, '14797', 'Lehnin', 'Mozartgasse', '30', 1),</v>
      </c>
      <c r="AD150" s="2" t="str" cm="1">
        <f t="array" aca="1" ref="AD150" ca="1">CONCATENATE("                   ",Liste(R150:V150),IF(AD151&lt;&gt;"",",",""))</f>
        <v xml:space="preserve">                   (145, 1, '033835', '6546', 1),</v>
      </c>
    </row>
    <row r="151" spans="2:30" x14ac:dyDescent="0.45">
      <c r="B151" s="4">
        <f>Grunddaten!A148</f>
        <v>146</v>
      </c>
      <c r="C151" s="4" t="str">
        <f>CONCATENATE("'",Grunddaten!F148,"'")</f>
        <v>'Müller'</v>
      </c>
      <c r="D151" s="4" t="str">
        <f>CONCATENATE("'",Grunddaten!E148,"'")</f>
        <v>'Karin'</v>
      </c>
      <c r="E151" s="4">
        <f>VLOOKUP(Grunddaten!D148,FormOfAddress,2,TRUE)</f>
        <v>2</v>
      </c>
      <c r="F151" s="4">
        <f>VLOOKUP(Grunddaten!I148,FamilyStatus,2,FALSE)</f>
        <v>1</v>
      </c>
      <c r="G151" s="4" t="str">
        <f>IF(Grunddaten!J148&lt;&gt;"",CONCATENATE("'",TEXT(Grunddaten!J148,"JJJJ-MM-tt"),"'"),"NULL")</f>
        <v>NULL</v>
      </c>
      <c r="H151" s="4" t="str">
        <f>CONCATENATE("'",TEXT(Grunddaten!G148,"JJJJ-MM-tt"),"'")</f>
        <v>'1983-04-25'</v>
      </c>
      <c r="J151" s="14">
        <f>Grunddaten!A148</f>
        <v>146</v>
      </c>
      <c r="K151" s="14">
        <f>Grunddaten!Y148</f>
        <v>1</v>
      </c>
      <c r="L151" s="14" t="str">
        <f ca="1">CONCATENATE("'",Grunddaten!Z148,"'")</f>
        <v>'14554'</v>
      </c>
      <c r="M151" s="14" t="str">
        <f>CONCATENATE("'",Grunddaten!AA148,"'")</f>
        <v>'Seddiner See'</v>
      </c>
      <c r="N151" s="14" t="str">
        <f>CONCATENATE("'",Grunddaten!AB148,"'")</f>
        <v>'Hauptplatz'</v>
      </c>
      <c r="O151" s="14" t="str">
        <f>CONCATENATE("'",Grunddaten!AC148,"'")</f>
        <v>'2'</v>
      </c>
      <c r="P151" s="14">
        <f>Grunddaten!AD148</f>
        <v>1</v>
      </c>
      <c r="R151" s="13">
        <f>Grunddaten!A148</f>
        <v>146</v>
      </c>
      <c r="S151" s="13">
        <f>Grunddaten!AF148</f>
        <v>1</v>
      </c>
      <c r="T151" s="13" t="str">
        <f>CONCATENATE("'",Grunddaten!AG148,"'")</f>
        <v>'033205'</v>
      </c>
      <c r="U151" s="13" t="str">
        <f ca="1">CONCATENATE("'",Grunddaten!AH148,"'")</f>
        <v>'8323'</v>
      </c>
      <c r="V151" s="13">
        <f>Grunddaten!AI148</f>
        <v>1</v>
      </c>
      <c r="Z151" s="2" t="str" cm="1">
        <f t="array" ref="Z151">CONCATENATE("                   ",Liste(B151:H151),IF(Z152&lt;&gt;"",",",""))</f>
        <v xml:space="preserve">                   (146, 'Müller', 'Karin', 2, 1, NULL, '1983-04-25'),</v>
      </c>
      <c r="AB151" s="2" t="str" cm="1">
        <f t="array" aca="1" ref="AB151" ca="1">CONCATENATE("                    ",Liste(J151:P151),IF(AB152&lt;&gt;"",",",""))</f>
        <v xml:space="preserve">                    (146, 1, '14554', 'Seddiner See', 'Hauptplatz', '2', 1),</v>
      </c>
      <c r="AD151" s="2" t="str" cm="1">
        <f t="array" aca="1" ref="AD151" ca="1">CONCATENATE("                   ",Liste(R151:V151),IF(AD152&lt;&gt;"",",",""))</f>
        <v xml:space="preserve">                   (146, 1, '033205', '8323', 1),</v>
      </c>
    </row>
    <row r="152" spans="2:30" x14ac:dyDescent="0.45">
      <c r="B152" s="4">
        <f>Grunddaten!A149</f>
        <v>147</v>
      </c>
      <c r="C152" s="4" t="str">
        <f>CONCATENATE("'",Grunddaten!F149,"'")</f>
        <v>'Brandstedter'</v>
      </c>
      <c r="D152" s="4" t="str">
        <f>CONCATENATE("'",Grunddaten!E149,"'")</f>
        <v>'Kaus'</v>
      </c>
      <c r="E152" s="4">
        <f>VLOOKUP(Grunddaten!D149,FormOfAddress,2,TRUE)</f>
        <v>1</v>
      </c>
      <c r="F152" s="4">
        <f>VLOOKUP(Grunddaten!I149,FamilyStatus,2,FALSE)</f>
        <v>2</v>
      </c>
      <c r="G152" s="4" t="str">
        <f>IF(Grunddaten!J149&lt;&gt;"",CONCATENATE("'",TEXT(Grunddaten!J149,"JJJJ-MM-tt"),"'"),"NULL")</f>
        <v>'2008-05-27'</v>
      </c>
      <c r="H152" s="4" t="str">
        <f>CONCATENATE("'",TEXT(Grunddaten!G149,"JJJJ-MM-tt"),"'")</f>
        <v>'1982-11-07'</v>
      </c>
      <c r="J152" s="14">
        <f>Grunddaten!A149</f>
        <v>147</v>
      </c>
      <c r="K152" s="14">
        <f>Grunddaten!Y149</f>
        <v>1</v>
      </c>
      <c r="L152" s="14" t="str">
        <f ca="1">CONCATENATE("'",Grunddaten!Z149,"'")</f>
        <v>'14772'</v>
      </c>
      <c r="M152" s="14" t="str">
        <f>CONCATENATE("'",Grunddaten!AA149,"'")</f>
        <v>'Hohenstücken'</v>
      </c>
      <c r="N152" s="14" t="str">
        <f>CONCATENATE("'",Grunddaten!AB149,"'")</f>
        <v>'Hermann-Hesse-Straße'</v>
      </c>
      <c r="O152" s="14" t="str">
        <f>CONCATENATE("'",Grunddaten!AC149,"'")</f>
        <v>'7'</v>
      </c>
      <c r="P152" s="14">
        <f>Grunddaten!AD149</f>
        <v>1</v>
      </c>
      <c r="R152" s="13">
        <f>Grunddaten!A149</f>
        <v>147</v>
      </c>
      <c r="S152" s="13">
        <f>Grunddaten!AF149</f>
        <v>1</v>
      </c>
      <c r="T152" s="13" t="str">
        <f>CONCATENATE("'",Grunddaten!AG149,"'")</f>
        <v>'03381'</v>
      </c>
      <c r="U152" s="13" t="str">
        <f ca="1">CONCATENATE("'",Grunddaten!AH149,"'")</f>
        <v>'81959'</v>
      </c>
      <c r="V152" s="13">
        <f>Grunddaten!AI149</f>
        <v>1</v>
      </c>
      <c r="Z152" s="2" t="str" cm="1">
        <f t="array" ref="Z152">CONCATENATE("                   ",Liste(B152:H152),IF(Z153&lt;&gt;"",",",""))</f>
        <v xml:space="preserve">                   (147, 'Brandstedter', 'Kaus', 1, 2, '2008-05-27', '1982-11-07'),</v>
      </c>
      <c r="AB152" s="2" t="str" cm="1">
        <f t="array" aca="1" ref="AB152" ca="1">CONCATENATE("                    ",Liste(J152:P152),IF(AB153&lt;&gt;"",",",""))</f>
        <v xml:space="preserve">                    (147, 1, '14772', 'Hohenstücken', 'Hermann-Hesse-Straße', '7', 1),</v>
      </c>
      <c r="AD152" s="2" t="str" cm="1">
        <f t="array" aca="1" ref="AD152" ca="1">CONCATENATE("                   ",Liste(R152:V152),IF(AD153&lt;&gt;"",",",""))</f>
        <v xml:space="preserve">                   (147, 1, '03381', '81959', 1),</v>
      </c>
    </row>
    <row r="153" spans="2:30" x14ac:dyDescent="0.45">
      <c r="B153" s="4">
        <f>Grunddaten!A150</f>
        <v>148</v>
      </c>
      <c r="C153" s="4" t="str">
        <f>CONCATENATE("'",Grunddaten!F150,"'")</f>
        <v>'Engel'</v>
      </c>
      <c r="D153" s="4" t="str">
        <f>CONCATENATE("'",Grunddaten!E150,"'")</f>
        <v>'Gerd'</v>
      </c>
      <c r="E153" s="4">
        <f>VLOOKUP(Grunddaten!D150,FormOfAddress,2,TRUE)</f>
        <v>1</v>
      </c>
      <c r="F153" s="4">
        <f>VLOOKUP(Grunddaten!I150,FamilyStatus,2,FALSE)</f>
        <v>2</v>
      </c>
      <c r="G153" s="4" t="str">
        <f>IF(Grunddaten!J150&lt;&gt;"",CONCATENATE("'",TEXT(Grunddaten!J150,"JJJJ-MM-tt"),"'"),"NULL")</f>
        <v>'1997-06-27'</v>
      </c>
      <c r="H153" s="4" t="str">
        <f>CONCATENATE("'",TEXT(Grunddaten!G150,"JJJJ-MM-tt"),"'")</f>
        <v>'1961-11-04'</v>
      </c>
      <c r="J153" s="14">
        <f>Grunddaten!A150</f>
        <v>148</v>
      </c>
      <c r="K153" s="14">
        <f>Grunddaten!Y150</f>
        <v>1</v>
      </c>
      <c r="L153" s="14" t="str">
        <f ca="1">CONCATENATE("'",Grunddaten!Z150,"'")</f>
        <v>'14778'</v>
      </c>
      <c r="M153" s="14" t="str">
        <f>CONCATENATE("'",Grunddaten!AA150,"'")</f>
        <v>'Päwesin'</v>
      </c>
      <c r="N153" s="14" t="str">
        <f>CONCATENATE("'",Grunddaten!AB150,"'")</f>
        <v>'Nashvilleplatz'</v>
      </c>
      <c r="O153" s="14" t="str">
        <f>CONCATENATE("'",Grunddaten!AC150,"'")</f>
        <v>'83'</v>
      </c>
      <c r="P153" s="14">
        <f>Grunddaten!AD150</f>
        <v>1</v>
      </c>
      <c r="R153" s="13">
        <f>Grunddaten!A150</f>
        <v>148</v>
      </c>
      <c r="S153" s="13">
        <f>Grunddaten!AF150</f>
        <v>1</v>
      </c>
      <c r="T153" s="13" t="str">
        <f>CONCATENATE("'",Grunddaten!AG150,"'")</f>
        <v>'03381'</v>
      </c>
      <c r="U153" s="13" t="str">
        <f ca="1">CONCATENATE("'",Grunddaten!AH150,"'")</f>
        <v>'83871'</v>
      </c>
      <c r="V153" s="13">
        <f>Grunddaten!AI150</f>
        <v>1</v>
      </c>
      <c r="Z153" s="2" t="str" cm="1">
        <f t="array" ref="Z153">CONCATENATE("                   ",Liste(B153:H153),IF(Z154&lt;&gt;"",",",""))</f>
        <v xml:space="preserve">                   (148, 'Engel', 'Gerd', 1, 2, '1997-06-27', '1961-11-04'),</v>
      </c>
      <c r="AB153" s="2" t="str" cm="1">
        <f t="array" aca="1" ref="AB153" ca="1">CONCATENATE("                    ",Liste(J153:P153),IF(AB154&lt;&gt;"",",",""))</f>
        <v xml:space="preserve">                    (148, 1, '14778', 'Päwesin', 'Nashvilleplatz', '83', 1),</v>
      </c>
      <c r="AD153" s="2" t="str" cm="1">
        <f t="array" aca="1" ref="AD153" ca="1">CONCATENATE("                   ",Liste(R153:V153),IF(AD154&lt;&gt;"",",",""))</f>
        <v xml:space="preserve">                   (148, 1, '03381', '83871', 1),</v>
      </c>
    </row>
    <row r="154" spans="2:30" x14ac:dyDescent="0.45">
      <c r="B154" s="4">
        <f>Grunddaten!A151</f>
        <v>149</v>
      </c>
      <c r="C154" s="4" t="str">
        <f>CONCATENATE("'",Grunddaten!F151,"'")</f>
        <v>'Hahn'</v>
      </c>
      <c r="D154" s="4" t="str">
        <f>CONCATENATE("'",Grunddaten!E151,"'")</f>
        <v>'Sylvia'</v>
      </c>
      <c r="E154" s="4">
        <f>VLOOKUP(Grunddaten!D151,FormOfAddress,2,TRUE)</f>
        <v>2</v>
      </c>
      <c r="F154" s="4">
        <f>VLOOKUP(Grunddaten!I151,FamilyStatus,2,FALSE)</f>
        <v>1</v>
      </c>
      <c r="G154" s="4" t="str">
        <f>IF(Grunddaten!J151&lt;&gt;"",CONCATENATE("'",TEXT(Grunddaten!J151,"JJJJ-MM-tt"),"'"),"NULL")</f>
        <v>NULL</v>
      </c>
      <c r="H154" s="4" t="str">
        <f>CONCATENATE("'",TEXT(Grunddaten!G151,"JJJJ-MM-tt"),"'")</f>
        <v>'1989-06-24'</v>
      </c>
      <c r="J154" s="14">
        <f>Grunddaten!A151</f>
        <v>149</v>
      </c>
      <c r="K154" s="14">
        <f>Grunddaten!Y151</f>
        <v>1</v>
      </c>
      <c r="L154" s="14" t="str">
        <f ca="1">CONCATENATE("'",Grunddaten!Z151,"'")</f>
        <v>'14052'</v>
      </c>
      <c r="M154" s="14" t="str">
        <f>CONCATENATE("'",Grunddaten!AA151,"'")</f>
        <v>'Berlin'</v>
      </c>
      <c r="N154" s="14" t="str">
        <f>CONCATENATE("'",Grunddaten!AB151,"'")</f>
        <v>'Siedlungsstraße'</v>
      </c>
      <c r="O154" s="14" t="str">
        <f>CONCATENATE("'",Grunddaten!AC151,"'")</f>
        <v>'16'</v>
      </c>
      <c r="P154" s="14">
        <f>Grunddaten!AD151</f>
        <v>1</v>
      </c>
      <c r="R154" s="13">
        <f>Grunddaten!A151</f>
        <v>149</v>
      </c>
      <c r="S154" s="13">
        <f>Grunddaten!AF151</f>
        <v>1</v>
      </c>
      <c r="T154" s="13" t="str">
        <f>CONCATENATE("'",Grunddaten!AG151,"'")</f>
        <v>'030'</v>
      </c>
      <c r="U154" s="13" t="str">
        <f ca="1">CONCATENATE("'",Grunddaten!AH151,"'")</f>
        <v>'45972043'</v>
      </c>
      <c r="V154" s="13">
        <f>Grunddaten!AI151</f>
        <v>1</v>
      </c>
      <c r="Z154" s="2" t="str" cm="1">
        <f t="array" ref="Z154">CONCATENATE("                   ",Liste(B154:H154),IF(Z155&lt;&gt;"",",",""))</f>
        <v xml:space="preserve">                   (149, 'Hahn', 'Sylvia', 2, 1, NULL, '1989-06-24')</v>
      </c>
      <c r="AB154" s="2" t="str" cm="1">
        <f t="array" aca="1" ref="AB154" ca="1">CONCATENATE("                    ",Liste(J154:P154),IF(AB155&lt;&gt;"",",",""))</f>
        <v xml:space="preserve">                    (149, 1, '14052', 'Berlin', 'Siedlungsstraße', '16', 1)</v>
      </c>
      <c r="AD154" s="2" t="str" cm="1">
        <f t="array" aca="1" ref="AD154" ca="1">CONCATENATE("                   ",Liste(R154:V154),IF(AD155&lt;&gt;"",",",""))</f>
        <v xml:space="preserve">                   (149, 1, '030', '45972043', 1)</v>
      </c>
    </row>
    <row r="155" spans="2:30" x14ac:dyDescent="0.45">
      <c r="V155" s="13">
        <f>Grunddaten!AI152</f>
        <v>1</v>
      </c>
      <c r="Z155" s="2"/>
    </row>
    <row r="156" spans="2:30" x14ac:dyDescent="0.45">
      <c r="V156" s="13">
        <f>Grunddaten!AI153</f>
        <v>1</v>
      </c>
      <c r="Z156" s="2" t="str" cm="1">
        <f t="array" ref="Z156">CONCATENATE("INSERT INTO ",A$1," ",Liste(B$1:H$1)," VALUES")</f>
        <v>INSERT INTO Person (ID, Name, FirstName, FormOfAddress, FamilyStatus, FamilyStatusSince, Birthday) VALUES</v>
      </c>
      <c r="AB156" s="2" t="str" cm="1">
        <f t="array" ref="AB156">CONCATENATE("INSERT INTO ",I$1," ",Liste(J$1:P$1)," VALUES")</f>
        <v>INSERT INTO Address (ID, AddressType, Zipcode, City, Street, StreetNumber, Country) VALUES</v>
      </c>
      <c r="AD156" s="2" t="str" cm="1">
        <f t="array" ref="AD156">CONCATENATE("INSERT INTO ",Q$1," ",Liste(R$1:V$1)," VALUES")</f>
        <v>INSERT INTO Phone (ID, PhoneType, AreaCode, CallNumber, Country) VALUES</v>
      </c>
    </row>
    <row r="157" spans="2:30" x14ac:dyDescent="0.45">
      <c r="B157" s="4">
        <f>Grunddaten!A152</f>
        <v>150</v>
      </c>
      <c r="C157" s="4" t="str">
        <f>CONCATENATE("'",Grunddaten!F152,"'")</f>
        <v>'Gotthard'</v>
      </c>
      <c r="D157" s="4" t="str">
        <f>CONCATENATE("'",Grunddaten!E152,"'")</f>
        <v>'Ursula'</v>
      </c>
      <c r="E157" s="4">
        <f>VLOOKUP(Grunddaten!D152,FormOfAddress,2,TRUE)</f>
        <v>2</v>
      </c>
      <c r="F157" s="4">
        <f>VLOOKUP(Grunddaten!I152,FamilyStatus,2,FALSE)</f>
        <v>2</v>
      </c>
      <c r="G157" s="4" t="str">
        <f>IF(Grunddaten!J152&lt;&gt;"",CONCATENATE("'",TEXT(Grunddaten!J152,"JJJJ-MM-tt"),"'"),"NULL")</f>
        <v>'2003-05-09'</v>
      </c>
      <c r="H157" s="4" t="str">
        <f>CONCATENATE("'",TEXT(Grunddaten!G152,"JJJJ-MM-tt"),"'")</f>
        <v>'1976-10-15'</v>
      </c>
      <c r="J157" s="14">
        <f>Grunddaten!A152</f>
        <v>150</v>
      </c>
      <c r="K157" s="14">
        <f>Grunddaten!Y152</f>
        <v>1</v>
      </c>
      <c r="L157" s="14" t="str">
        <f ca="1">CONCATENATE("'",Grunddaten!Z152,"'")</f>
        <v>'13435'</v>
      </c>
      <c r="M157" s="14" t="str">
        <f>CONCATENATE("'",Grunddaten!AA152,"'")</f>
        <v>'Berlin'</v>
      </c>
      <c r="N157" s="14" t="str">
        <f>CONCATENATE("'",Grunddaten!AB152,"'")</f>
        <v>'Kurt-Tucholsky-Straße'</v>
      </c>
      <c r="O157" s="14" t="str">
        <f>CONCATENATE("'",Grunddaten!AC152,"'")</f>
        <v>'18B/C'</v>
      </c>
      <c r="P157" s="14">
        <f>Grunddaten!AD152</f>
        <v>1</v>
      </c>
      <c r="R157" s="13">
        <f>Grunddaten!A152</f>
        <v>150</v>
      </c>
      <c r="S157" s="13">
        <f>Grunddaten!AF152</f>
        <v>1</v>
      </c>
      <c r="T157" s="13" t="str">
        <f>CONCATENATE("'",Grunddaten!AG152,"'")</f>
        <v>'030'</v>
      </c>
      <c r="U157" s="13" t="str">
        <f ca="1">CONCATENATE("'",Grunddaten!AH152,"'")</f>
        <v>'41182080'</v>
      </c>
      <c r="V157" s="13">
        <f>Grunddaten!AI154</f>
        <v>1</v>
      </c>
      <c r="Z157" s="2" t="str" cm="1">
        <f t="array" ref="Z157">CONCATENATE("                   ",Liste(B157:H157),IF(Z158&lt;&gt;"",",",""))</f>
        <v xml:space="preserve">                   (150, 'Gotthard', 'Ursula', 2, 2, '2003-05-09', '1976-10-15'),</v>
      </c>
      <c r="AB157" s="2" t="str" cm="1">
        <f t="array" aca="1" ref="AB157" ca="1">CONCATENATE("                    ",Liste(J157:P157),IF(AB158&lt;&gt;"",",",""))</f>
        <v xml:space="preserve">                    (150, 1, '13435', 'Berlin', 'Kurt-Tucholsky-Straße', '18B/C', 1),</v>
      </c>
      <c r="AD157" s="2" t="str" cm="1">
        <f t="array" aca="1" ref="AD157" ca="1">CONCATENATE("                   ",Liste(R157:V157),IF(AD158&lt;&gt;"",",",""))</f>
        <v xml:space="preserve">                   (150, 1, '030', '41182080', 1),</v>
      </c>
    </row>
    <row r="158" spans="2:30" x14ac:dyDescent="0.45">
      <c r="B158" s="4">
        <f>Grunddaten!A153</f>
        <v>151</v>
      </c>
      <c r="C158" s="4" t="str">
        <f>CONCATENATE("'",Grunddaten!F153,"'")</f>
        <v>'Frey'</v>
      </c>
      <c r="D158" s="4" t="str">
        <f>CONCATENATE("'",Grunddaten!E153,"'")</f>
        <v>'Linda'</v>
      </c>
      <c r="E158" s="4">
        <f>VLOOKUP(Grunddaten!D153,FormOfAddress,2,TRUE)</f>
        <v>2</v>
      </c>
      <c r="F158" s="4">
        <f>VLOOKUP(Grunddaten!I153,FamilyStatus,2,FALSE)</f>
        <v>2</v>
      </c>
      <c r="G158" s="4" t="str">
        <f>IF(Grunddaten!J153&lt;&gt;"",CONCATENATE("'",TEXT(Grunddaten!J153,"JJJJ-MM-tt"),"'"),"NULL")</f>
        <v>'1991-07-27'</v>
      </c>
      <c r="H158" s="4" t="str">
        <f>CONCATENATE("'",TEXT(Grunddaten!G153,"JJJJ-MM-tt"),"'")</f>
        <v>'1972-03-09'</v>
      </c>
      <c r="J158" s="14">
        <f>Grunddaten!A153</f>
        <v>151</v>
      </c>
      <c r="K158" s="14">
        <f>Grunddaten!Y153</f>
        <v>1</v>
      </c>
      <c r="L158" s="14" t="str">
        <f ca="1">CONCATENATE("'",Grunddaten!Z153,"'")</f>
        <v>'10115'</v>
      </c>
      <c r="M158" s="14" t="str">
        <f>CONCATENATE("'",Grunddaten!AA153,"'")</f>
        <v>'Berlin'</v>
      </c>
      <c r="N158" s="14" t="str">
        <f>CONCATENATE("'",Grunddaten!AB153,"'")</f>
        <v>'San-Antonio-Weg'</v>
      </c>
      <c r="O158" s="14" t="str">
        <f>CONCATENATE("'",Grunddaten!AC153,"'")</f>
        <v>'9F'</v>
      </c>
      <c r="P158" s="14">
        <f>Grunddaten!AD153</f>
        <v>1</v>
      </c>
      <c r="R158" s="13">
        <f>Grunddaten!A153</f>
        <v>151</v>
      </c>
      <c r="S158" s="13">
        <f>Grunddaten!AF153</f>
        <v>1</v>
      </c>
      <c r="T158" s="13" t="str">
        <f>CONCATENATE("'",Grunddaten!AG153,"'")</f>
        <v>'030'</v>
      </c>
      <c r="U158" s="13" t="str">
        <f ca="1">CONCATENATE("'",Grunddaten!AH153,"'")</f>
        <v>'82245606'</v>
      </c>
      <c r="V158" s="13">
        <f>Grunddaten!AI155</f>
        <v>1</v>
      </c>
      <c r="Z158" s="2" t="str" cm="1">
        <f t="array" ref="Z158">CONCATENATE("                   ",Liste(B158:H158),IF(Z159&lt;&gt;"",",",""))</f>
        <v xml:space="preserve">                   (151, 'Frey', 'Linda', 2, 2, '1991-07-27', '1972-03-09'),</v>
      </c>
      <c r="AB158" s="2" t="str" cm="1">
        <f t="array" aca="1" ref="AB158" ca="1">CONCATENATE("                    ",Liste(J158:P158),IF(AB159&lt;&gt;"",",",""))</f>
        <v xml:space="preserve">                    (151, 1, '10115', 'Berlin', 'San-Antonio-Weg', '9F', 1),</v>
      </c>
      <c r="AD158" s="2" t="str" cm="1">
        <f t="array" aca="1" ref="AD158" ca="1">CONCATENATE("                   ",Liste(R158:V158),IF(AD159&lt;&gt;"",",",""))</f>
        <v xml:space="preserve">                   (151, 1, '030', '82245606', 1),</v>
      </c>
    </row>
    <row r="159" spans="2:30" x14ac:dyDescent="0.45">
      <c r="B159" s="4">
        <f>Grunddaten!A154</f>
        <v>152</v>
      </c>
      <c r="C159" s="4" t="str">
        <f>CONCATENATE("'",Grunddaten!F154,"'")</f>
        <v>'Gerlach'</v>
      </c>
      <c r="D159" s="4" t="str">
        <f>CONCATENATE("'",Grunddaten!E154,"'")</f>
        <v>'Rudi'</v>
      </c>
      <c r="E159" s="4">
        <f>VLOOKUP(Grunddaten!D154,FormOfAddress,2,TRUE)</f>
        <v>1</v>
      </c>
      <c r="F159" s="4">
        <f>VLOOKUP(Grunddaten!I154,FamilyStatus,2,FALSE)</f>
        <v>1</v>
      </c>
      <c r="G159" s="4" t="str">
        <f>IF(Grunddaten!J154&lt;&gt;"",CONCATENATE("'",TEXT(Grunddaten!J154,"JJJJ-MM-tt"),"'"),"NULL")</f>
        <v>NULL</v>
      </c>
      <c r="H159" s="4" t="str">
        <f>CONCATENATE("'",TEXT(Grunddaten!G154,"JJJJ-MM-tt"),"'")</f>
        <v>'2005-03-22'</v>
      </c>
      <c r="J159" s="14">
        <f>Grunddaten!A154</f>
        <v>152</v>
      </c>
      <c r="K159" s="14">
        <f>Grunddaten!Y154</f>
        <v>1</v>
      </c>
      <c r="L159" s="14" t="str">
        <f ca="1">CONCATENATE("'",Grunddaten!Z154,"'")</f>
        <v>'12043'</v>
      </c>
      <c r="M159" s="14" t="str">
        <f>CONCATENATE("'",Grunddaten!AA154,"'")</f>
        <v>'Berlin'</v>
      </c>
      <c r="N159" s="14" t="str">
        <f>CONCATENATE("'",Grunddaten!AB154,"'")</f>
        <v>'Dallas-Allee'</v>
      </c>
      <c r="O159" s="14" t="str">
        <f>CONCATENATE("'",Grunddaten!AC154,"'")</f>
        <v>'14'</v>
      </c>
      <c r="P159" s="14">
        <f>Grunddaten!AD154</f>
        <v>1</v>
      </c>
      <c r="R159" s="13">
        <f>Grunddaten!A154</f>
        <v>152</v>
      </c>
      <c r="S159" s="13">
        <f>Grunddaten!AF154</f>
        <v>1</v>
      </c>
      <c r="T159" s="13" t="str">
        <f>CONCATENATE("'",Grunddaten!AG154,"'")</f>
        <v>'030'</v>
      </c>
      <c r="U159" s="13" t="str">
        <f ca="1">CONCATENATE("'",Grunddaten!AH154,"'")</f>
        <v>'48877596'</v>
      </c>
      <c r="V159" s="13">
        <f>Grunddaten!AI156</f>
        <v>1</v>
      </c>
      <c r="Z159" s="2" t="str" cm="1">
        <f t="array" ref="Z159">CONCATENATE("                   ",Liste(B159:H159),IF(Z160&lt;&gt;"",",",""))</f>
        <v xml:space="preserve">                   (152, 'Gerlach', 'Rudi', 1, 1, NULL, '2005-03-22'),</v>
      </c>
      <c r="AB159" s="2" t="str" cm="1">
        <f t="array" aca="1" ref="AB159" ca="1">CONCATENATE("                    ",Liste(J159:P159),IF(AB160&lt;&gt;"",",",""))</f>
        <v xml:space="preserve">                    (152, 1, '12043', 'Berlin', 'Dallas-Allee', '14', 1),</v>
      </c>
      <c r="AD159" s="2" t="str" cm="1">
        <f t="array" aca="1" ref="AD159" ca="1">CONCATENATE("                   ",Liste(R159:V159),IF(AD160&lt;&gt;"",",",""))</f>
        <v xml:space="preserve">                   (152, 1, '030', '48877596', 1),</v>
      </c>
    </row>
    <row r="160" spans="2:30" x14ac:dyDescent="0.45">
      <c r="B160" s="4">
        <f>Grunddaten!A155</f>
        <v>153</v>
      </c>
      <c r="C160" s="4" t="str">
        <f>CONCATENATE("'",Grunddaten!F155,"'")</f>
        <v>'Hauptmann'</v>
      </c>
      <c r="D160" s="4" t="str">
        <f>CONCATENATE("'",Grunddaten!E155,"'")</f>
        <v>'Michaela'</v>
      </c>
      <c r="E160" s="4">
        <f>VLOOKUP(Grunddaten!D155,FormOfAddress,2,TRUE)</f>
        <v>2</v>
      </c>
      <c r="F160" s="4">
        <f>VLOOKUP(Grunddaten!I155,FamilyStatus,2,FALSE)</f>
        <v>2</v>
      </c>
      <c r="G160" s="4" t="str">
        <f>IF(Grunddaten!J155&lt;&gt;"",CONCATENATE("'",TEXT(Grunddaten!J155,"JJJJ-MM-tt"),"'"),"NULL")</f>
        <v>'1982-03-20'</v>
      </c>
      <c r="H160" s="4" t="str">
        <f>CONCATENATE("'",TEXT(Grunddaten!G155,"JJJJ-MM-tt"),"'")</f>
        <v>'1952-12-05'</v>
      </c>
      <c r="J160" s="14">
        <f>Grunddaten!A155</f>
        <v>153</v>
      </c>
      <c r="K160" s="14">
        <f>Grunddaten!Y155</f>
        <v>1</v>
      </c>
      <c r="L160" s="14" t="str">
        <f ca="1">CONCATENATE("'",Grunddaten!Z155,"'")</f>
        <v>'13597'</v>
      </c>
      <c r="M160" s="14" t="str">
        <f>CONCATENATE("'",Grunddaten!AA155,"'")</f>
        <v>'Berlin'</v>
      </c>
      <c r="N160" s="14" t="str">
        <f>CONCATENATE("'",Grunddaten!AB155,"'")</f>
        <v>'Bergweg'</v>
      </c>
      <c r="O160" s="14" t="str">
        <f>CONCATENATE("'",Grunddaten!AC155,"'")</f>
        <v>'14'</v>
      </c>
      <c r="P160" s="14">
        <f>Grunddaten!AD155</f>
        <v>1</v>
      </c>
      <c r="R160" s="13">
        <f>Grunddaten!A155</f>
        <v>153</v>
      </c>
      <c r="S160" s="13">
        <f>Grunddaten!AF155</f>
        <v>1</v>
      </c>
      <c r="T160" s="13" t="str">
        <f>CONCATENATE("'",Grunddaten!AG155,"'")</f>
        <v>'030'</v>
      </c>
      <c r="U160" s="13" t="str">
        <f ca="1">CONCATENATE("'",Grunddaten!AH155,"'")</f>
        <v>'69286020'</v>
      </c>
      <c r="V160" s="13">
        <f>Grunddaten!AI157</f>
        <v>1</v>
      </c>
      <c r="Z160" s="2" t="str" cm="1">
        <f t="array" ref="Z160">CONCATENATE("                   ",Liste(B160:H160),IF(Z161&lt;&gt;"",",",""))</f>
        <v xml:space="preserve">                   (153, 'Hauptmann', 'Michaela', 2, 2, '1982-03-20', '1952-12-05'),</v>
      </c>
      <c r="AB160" s="2" t="str" cm="1">
        <f t="array" aca="1" ref="AB160" ca="1">CONCATENATE("                    ",Liste(J160:P160),IF(AB161&lt;&gt;"",",",""))</f>
        <v xml:space="preserve">                    (153, 1, '13597', 'Berlin', 'Bergweg', '14', 1),</v>
      </c>
      <c r="AD160" s="2" t="str" cm="1">
        <f t="array" aca="1" ref="AD160" ca="1">CONCATENATE("                   ",Liste(R160:V160),IF(AD161&lt;&gt;"",",",""))</f>
        <v xml:space="preserve">                   (153, 1, '030', '69286020', 1),</v>
      </c>
    </row>
    <row r="161" spans="2:30" x14ac:dyDescent="0.45">
      <c r="B161" s="4">
        <f>Grunddaten!A156</f>
        <v>154</v>
      </c>
      <c r="C161" s="4" t="str">
        <f>CONCATENATE("'",Grunddaten!F156,"'")</f>
        <v>'Pastor'</v>
      </c>
      <c r="D161" s="4" t="str">
        <f>CONCATENATE("'",Grunddaten!E156,"'")</f>
        <v>'Melanie'</v>
      </c>
      <c r="E161" s="4">
        <f>VLOOKUP(Grunddaten!D156,FormOfAddress,2,TRUE)</f>
        <v>2</v>
      </c>
      <c r="F161" s="4">
        <f>VLOOKUP(Grunddaten!I156,FamilyStatus,2,FALSE)</f>
        <v>1</v>
      </c>
      <c r="G161" s="4" t="str">
        <f>IF(Grunddaten!J156&lt;&gt;"",CONCATENATE("'",TEXT(Grunddaten!J156,"JJJJ-MM-tt"),"'"),"NULL")</f>
        <v>NULL</v>
      </c>
      <c r="H161" s="4" t="str">
        <f>CONCATENATE("'",TEXT(Grunddaten!G156,"JJJJ-MM-tt"),"'")</f>
        <v>'2002-08-28'</v>
      </c>
      <c r="J161" s="14">
        <f>Grunddaten!A156</f>
        <v>154</v>
      </c>
      <c r="K161" s="14">
        <f>Grunddaten!Y156</f>
        <v>1</v>
      </c>
      <c r="L161" s="14" t="str">
        <f ca="1">CONCATENATE("'",Grunddaten!Z156,"'")</f>
        <v>'13581'</v>
      </c>
      <c r="M161" s="14" t="str">
        <f>CONCATENATE("'",Grunddaten!AA156,"'")</f>
        <v>'Berlin'</v>
      </c>
      <c r="N161" s="14" t="str">
        <f>CONCATENATE("'",Grunddaten!AB156,"'")</f>
        <v>'Franz-Kafka-Straße'</v>
      </c>
      <c r="O161" s="14" t="str">
        <f>CONCATENATE("'",Grunddaten!AC156,"'")</f>
        <v>'15D'</v>
      </c>
      <c r="P161" s="14">
        <f>Grunddaten!AD156</f>
        <v>1</v>
      </c>
      <c r="R161" s="13">
        <f>Grunddaten!A156</f>
        <v>154</v>
      </c>
      <c r="S161" s="13">
        <f>Grunddaten!AF156</f>
        <v>1</v>
      </c>
      <c r="T161" s="13" t="str">
        <f>CONCATENATE("'",Grunddaten!AG156,"'")</f>
        <v>'030'</v>
      </c>
      <c r="U161" s="13" t="str">
        <f ca="1">CONCATENATE("'",Grunddaten!AH156,"'")</f>
        <v>'99866156'</v>
      </c>
      <c r="V161" s="13">
        <f>Grunddaten!AI158</f>
        <v>1</v>
      </c>
      <c r="Z161" s="2" t="str" cm="1">
        <f t="array" ref="Z161">CONCATENATE("                   ",Liste(B161:H161),IF(Z162&lt;&gt;"",",",""))</f>
        <v xml:space="preserve">                   (154, 'Pastor', 'Melanie', 2, 1, NULL, '2002-08-28'),</v>
      </c>
      <c r="AB161" s="2" t="str" cm="1">
        <f t="array" aca="1" ref="AB161" ca="1">CONCATENATE("                    ",Liste(J161:P161),IF(AB162&lt;&gt;"",",",""))</f>
        <v xml:space="preserve">                    (154, 1, '13581', 'Berlin', 'Franz-Kafka-Straße', '15D', 1),</v>
      </c>
      <c r="AD161" s="2" t="str" cm="1">
        <f t="array" aca="1" ref="AD161" ca="1">CONCATENATE("                   ",Liste(R161:V161),IF(AD162&lt;&gt;"",",",""))</f>
        <v xml:space="preserve">                   (154, 1, '030', '99866156', 1),</v>
      </c>
    </row>
    <row r="162" spans="2:30" x14ac:dyDescent="0.45">
      <c r="B162" s="4">
        <f>Grunddaten!A157</f>
        <v>155</v>
      </c>
      <c r="C162" s="4" t="str">
        <f>CONCATENATE("'",Grunddaten!F157,"'")</f>
        <v>'Sommer'</v>
      </c>
      <c r="D162" s="4" t="str">
        <f>CONCATENATE("'",Grunddaten!E157,"'")</f>
        <v>'Gabriele'</v>
      </c>
      <c r="E162" s="4">
        <f>VLOOKUP(Grunddaten!D157,FormOfAddress,2,TRUE)</f>
        <v>2</v>
      </c>
      <c r="F162" s="4">
        <f>VLOOKUP(Grunddaten!I157,FamilyStatus,2,FALSE)</f>
        <v>2</v>
      </c>
      <c r="G162" s="4" t="str">
        <f>IF(Grunddaten!J157&lt;&gt;"",CONCATENATE("'",TEXT(Grunddaten!J157,"JJJJ-MM-tt"),"'"),"NULL")</f>
        <v>'2002-10-29'</v>
      </c>
      <c r="H162" s="4" t="str">
        <f>CONCATENATE("'",TEXT(Grunddaten!G157,"JJJJ-MM-tt"),"'")</f>
        <v>'1963-09-28'</v>
      </c>
      <c r="J162" s="14">
        <f>Grunddaten!A157</f>
        <v>155</v>
      </c>
      <c r="K162" s="14">
        <f>Grunddaten!Y157</f>
        <v>1</v>
      </c>
      <c r="L162" s="14" t="str">
        <f ca="1">CONCATENATE("'",Grunddaten!Z157,"'")</f>
        <v>'14715'</v>
      </c>
      <c r="M162" s="14" t="str">
        <f>CONCATENATE("'",Grunddaten!AA157,"'")</f>
        <v>'Berge'</v>
      </c>
      <c r="N162" s="14" t="str">
        <f>CONCATENATE("'",Grunddaten!AB157,"'")</f>
        <v>'Hauptstraße'</v>
      </c>
      <c r="O162" s="14" t="str">
        <f>CONCATENATE("'",Grunddaten!AC157,"'")</f>
        <v>'62A/B'</v>
      </c>
      <c r="P162" s="14">
        <f>Grunddaten!AD157</f>
        <v>1</v>
      </c>
      <c r="R162" s="13">
        <f>Grunddaten!A157</f>
        <v>155</v>
      </c>
      <c r="S162" s="13">
        <f>Grunddaten!AF157</f>
        <v>1</v>
      </c>
      <c r="T162" s="13" t="str">
        <f>CONCATENATE("'",Grunddaten!AG157,"'")</f>
        <v>'033874'</v>
      </c>
      <c r="U162" s="13" t="str">
        <f ca="1">CONCATENATE("'",Grunddaten!AH157,"'")</f>
        <v>'5278'</v>
      </c>
      <c r="V162" s="13">
        <f>Grunddaten!AI159</f>
        <v>1</v>
      </c>
      <c r="Z162" s="2" t="str" cm="1">
        <f t="array" ref="Z162">CONCATENATE("                   ",Liste(B162:H162),IF(Z163&lt;&gt;"",",",""))</f>
        <v xml:space="preserve">                   (155, 'Sommer', 'Gabriele', 2, 2, '2002-10-29', '1963-09-28'),</v>
      </c>
      <c r="AB162" s="2" t="str" cm="1">
        <f t="array" aca="1" ref="AB162" ca="1">CONCATENATE("                    ",Liste(J162:P162),IF(AB163&lt;&gt;"",",",""))</f>
        <v xml:space="preserve">                    (155, 1, '14715', 'Berge', 'Hauptstraße', '62A/B', 1),</v>
      </c>
      <c r="AD162" s="2" t="str" cm="1">
        <f t="array" aca="1" ref="AD162" ca="1">CONCATENATE("                   ",Liste(R162:V162),IF(AD163&lt;&gt;"",",",""))</f>
        <v xml:space="preserve">                   (155, 1, '033874', '5278', 1),</v>
      </c>
    </row>
    <row r="163" spans="2:30" x14ac:dyDescent="0.45">
      <c r="B163" s="4">
        <f>Grunddaten!A158</f>
        <v>156</v>
      </c>
      <c r="C163" s="4" t="str">
        <f>CONCATENATE("'",Grunddaten!F158,"'")</f>
        <v>'Werner'</v>
      </c>
      <c r="D163" s="4" t="str">
        <f>CONCATENATE("'",Grunddaten!E158,"'")</f>
        <v>'Angelika'</v>
      </c>
      <c r="E163" s="4">
        <f>VLOOKUP(Grunddaten!D158,FormOfAddress,2,TRUE)</f>
        <v>2</v>
      </c>
      <c r="F163" s="4">
        <f>VLOOKUP(Grunddaten!I158,FamilyStatus,2,FALSE)</f>
        <v>2</v>
      </c>
      <c r="G163" s="4" t="str">
        <f>IF(Grunddaten!J158&lt;&gt;"",CONCATENATE("'",TEXT(Grunddaten!J158,"JJJJ-MM-tt"),"'"),"NULL")</f>
        <v>'2032-12-19'</v>
      </c>
      <c r="H163" s="4" t="str">
        <f>CONCATENATE("'",TEXT(Grunddaten!G158,"JJJJ-MM-tt"),"'")</f>
        <v>'1995-06-24'</v>
      </c>
      <c r="J163" s="14">
        <f>Grunddaten!A158</f>
        <v>156</v>
      </c>
      <c r="K163" s="14">
        <f>Grunddaten!Y158</f>
        <v>1</v>
      </c>
      <c r="L163" s="14" t="str">
        <f ca="1">CONCATENATE("'",Grunddaten!Z158,"'")</f>
        <v>'10317'</v>
      </c>
      <c r="M163" s="14" t="str">
        <f>CONCATENATE("'",Grunddaten!AA158,"'")</f>
        <v>'Berlin'</v>
      </c>
      <c r="N163" s="14" t="str">
        <f>CONCATENATE("'",Grunddaten!AB158,"'")</f>
        <v>'Fasanenweg'</v>
      </c>
      <c r="O163" s="14" t="str">
        <f>CONCATENATE("'",Grunddaten!AC158,"'")</f>
        <v>'19'</v>
      </c>
      <c r="P163" s="14">
        <f>Grunddaten!AD158</f>
        <v>1</v>
      </c>
      <c r="R163" s="13">
        <f>Grunddaten!A158</f>
        <v>156</v>
      </c>
      <c r="S163" s="13">
        <f>Grunddaten!AF158</f>
        <v>1</v>
      </c>
      <c r="T163" s="13" t="str">
        <f>CONCATENATE("'",Grunddaten!AG158,"'")</f>
        <v>'030'</v>
      </c>
      <c r="U163" s="13" t="str">
        <f ca="1">CONCATENATE("'",Grunddaten!AH158,"'")</f>
        <v>'61355489'</v>
      </c>
      <c r="V163" s="13">
        <f>Grunddaten!AI160</f>
        <v>1</v>
      </c>
      <c r="Z163" s="2" t="str" cm="1">
        <f t="array" ref="Z163">CONCATENATE("                   ",Liste(B163:H163),IF(Z164&lt;&gt;"",",",""))</f>
        <v xml:space="preserve">                   (156, 'Werner', 'Angelika', 2, 2, '2032-12-19', '1995-06-24'),</v>
      </c>
      <c r="AB163" s="2" t="str" cm="1">
        <f t="array" aca="1" ref="AB163" ca="1">CONCATENATE("                    ",Liste(J163:P163),IF(AB164&lt;&gt;"",",",""))</f>
        <v xml:space="preserve">                    (156, 1, '10317', 'Berlin', 'Fasanenweg', '19', 1),</v>
      </c>
      <c r="AD163" s="2" t="str" cm="1">
        <f t="array" aca="1" ref="AD163" ca="1">CONCATENATE("                   ",Liste(R163:V163),IF(AD164&lt;&gt;"",",",""))</f>
        <v xml:space="preserve">                   (156, 1, '030', '61355489', 1),</v>
      </c>
    </row>
    <row r="164" spans="2:30" x14ac:dyDescent="0.45">
      <c r="B164" s="4">
        <f>Grunddaten!A159</f>
        <v>157</v>
      </c>
      <c r="C164" s="4" t="str">
        <f>CONCATENATE("'",Grunddaten!F159,"'")</f>
        <v>'Frey'</v>
      </c>
      <c r="D164" s="4" t="str">
        <f>CONCATENATE("'",Grunddaten!E159,"'")</f>
        <v>'Wolfgang'</v>
      </c>
      <c r="E164" s="4">
        <f>VLOOKUP(Grunddaten!D159,FormOfAddress,2,TRUE)</f>
        <v>1</v>
      </c>
      <c r="F164" s="4">
        <f>VLOOKUP(Grunddaten!I159,FamilyStatus,2,FALSE)</f>
        <v>1</v>
      </c>
      <c r="G164" s="4" t="str">
        <f>IF(Grunddaten!J159&lt;&gt;"",CONCATENATE("'",TEXT(Grunddaten!J159,"JJJJ-MM-tt"),"'"),"NULL")</f>
        <v>NULL</v>
      </c>
      <c r="H164" s="4" t="str">
        <f>CONCATENATE("'",TEXT(Grunddaten!G159,"JJJJ-MM-tt"),"'")</f>
        <v>'2003-07-05'</v>
      </c>
      <c r="J164" s="14">
        <f>Grunddaten!A159</f>
        <v>157</v>
      </c>
      <c r="K164" s="14">
        <f>Grunddaten!Y159</f>
        <v>1</v>
      </c>
      <c r="L164" s="14" t="str">
        <f ca="1">CONCATENATE("'",Grunddaten!Z159,"'")</f>
        <v>'14776'</v>
      </c>
      <c r="M164" s="14" t="str">
        <f>CONCATENATE("'",Grunddaten!AA159,"'")</f>
        <v>'Brandenburg an der Havel'</v>
      </c>
      <c r="N164" s="14" t="str">
        <f>CONCATENATE("'",Grunddaten!AB159,"'")</f>
        <v>'Johannes-Gutenberg-Straße'</v>
      </c>
      <c r="O164" s="14" t="str">
        <f>CONCATENATE("'",Grunddaten!AC159,"'")</f>
        <v>'99D'</v>
      </c>
      <c r="P164" s="14">
        <f>Grunddaten!AD159</f>
        <v>1</v>
      </c>
      <c r="R164" s="13">
        <f>Grunddaten!A159</f>
        <v>157</v>
      </c>
      <c r="S164" s="13">
        <f>Grunddaten!AF159</f>
        <v>1</v>
      </c>
      <c r="T164" s="13" t="str">
        <f>CONCATENATE("'",Grunddaten!AG159,"'")</f>
        <v>'03381'</v>
      </c>
      <c r="U164" s="13" t="str">
        <f ca="1">CONCATENATE("'",Grunddaten!AH159,"'")</f>
        <v>'84191'</v>
      </c>
      <c r="V164" s="13">
        <f>Grunddaten!AI161</f>
        <v>1</v>
      </c>
      <c r="Z164" s="2" t="str" cm="1">
        <f t="array" ref="Z164">CONCATENATE("                   ",Liste(B164:H164),IF(Z165&lt;&gt;"",",",""))</f>
        <v xml:space="preserve">                   (157, 'Frey', 'Wolfgang', 1, 1, NULL, '2003-07-05'),</v>
      </c>
      <c r="AB164" s="2" t="str" cm="1">
        <f t="array" aca="1" ref="AB164" ca="1">CONCATENATE("                    ",Liste(J164:P164),IF(AB165&lt;&gt;"",",",""))</f>
        <v xml:space="preserve">                    (157, 1, '14776', 'Brandenburg an der Havel', 'Johannes-Gutenberg-Straße', '99D', 1),</v>
      </c>
      <c r="AD164" s="2" t="str" cm="1">
        <f t="array" aca="1" ref="AD164" ca="1">CONCATENATE("                   ",Liste(R164:V164),IF(AD165&lt;&gt;"",",",""))</f>
        <v xml:space="preserve">                   (157, 1, '03381', '84191', 1),</v>
      </c>
    </row>
    <row r="165" spans="2:30" x14ac:dyDescent="0.45">
      <c r="B165" s="4">
        <f>Grunddaten!A160</f>
        <v>158</v>
      </c>
      <c r="C165" s="4" t="str">
        <f>CONCATENATE("'",Grunddaten!F160,"'")</f>
        <v>'Kaspar'</v>
      </c>
      <c r="D165" s="4" t="str">
        <f>CONCATENATE("'",Grunddaten!E160,"'")</f>
        <v>'Wilhelm'</v>
      </c>
      <c r="E165" s="4">
        <f>VLOOKUP(Grunddaten!D160,FormOfAddress,2,TRUE)</f>
        <v>1</v>
      </c>
      <c r="F165" s="4">
        <f>VLOOKUP(Grunddaten!I160,FamilyStatus,2,FALSE)</f>
        <v>2</v>
      </c>
      <c r="G165" s="4" t="str">
        <f>IF(Grunddaten!J160&lt;&gt;"",CONCATENATE("'",TEXT(Grunddaten!J160,"JJJJ-MM-tt"),"'"),"NULL")</f>
        <v>'1999-12-12'</v>
      </c>
      <c r="H165" s="4" t="str">
        <f>CONCATENATE("'",TEXT(Grunddaten!G160,"JJJJ-MM-tt"),"'")</f>
        <v>'1970-07-21'</v>
      </c>
      <c r="J165" s="14">
        <f>Grunddaten!A160</f>
        <v>158</v>
      </c>
      <c r="K165" s="14">
        <f>Grunddaten!Y160</f>
        <v>1</v>
      </c>
      <c r="L165" s="14" t="str">
        <f ca="1">CONCATENATE("'",Grunddaten!Z160,"'")</f>
        <v>'12679'</v>
      </c>
      <c r="M165" s="14" t="str">
        <f>CONCATENATE("'",Grunddaten!AA160,"'")</f>
        <v>'Berlin'</v>
      </c>
      <c r="N165" s="14" t="str">
        <f>CONCATENATE("'",Grunddaten!AB160,"'")</f>
        <v>'Atlantastraße'</v>
      </c>
      <c r="O165" s="14" t="str">
        <f>CONCATENATE("'",Grunddaten!AC160,"'")</f>
        <v>'26'</v>
      </c>
      <c r="P165" s="14">
        <f>Grunddaten!AD160</f>
        <v>1</v>
      </c>
      <c r="R165" s="13">
        <f>Grunddaten!A160</f>
        <v>158</v>
      </c>
      <c r="S165" s="13">
        <f>Grunddaten!AF160</f>
        <v>1</v>
      </c>
      <c r="T165" s="13" t="str">
        <f>CONCATENATE("'",Grunddaten!AG160,"'")</f>
        <v>'030'</v>
      </c>
      <c r="U165" s="13" t="str">
        <f ca="1">CONCATENATE("'",Grunddaten!AH160,"'")</f>
        <v>'42069521'</v>
      </c>
      <c r="V165" s="13">
        <f>Grunddaten!AI162</f>
        <v>1</v>
      </c>
      <c r="Z165" s="2" t="str" cm="1">
        <f t="array" ref="Z165">CONCATENATE("                   ",Liste(B165:H165),IF(Z166&lt;&gt;"",",",""))</f>
        <v xml:space="preserve">                   (158, 'Kaspar', 'Wilhelm', 1, 2, '1999-12-12', '1970-07-21'),</v>
      </c>
      <c r="AB165" s="2" t="str" cm="1">
        <f t="array" aca="1" ref="AB165" ca="1">CONCATENATE("                    ",Liste(J165:P165),IF(AB166&lt;&gt;"",",",""))</f>
        <v xml:space="preserve">                    (158, 1, '12679', 'Berlin', 'Atlantastraße', '26', 1),</v>
      </c>
      <c r="AD165" s="2" t="str" cm="1">
        <f t="array" aca="1" ref="AD165" ca="1">CONCATENATE("                   ",Liste(R165:V165),IF(AD166&lt;&gt;"",",",""))</f>
        <v xml:space="preserve">                   (158, 1, '030', '42069521', 1),</v>
      </c>
    </row>
    <row r="166" spans="2:30" x14ac:dyDescent="0.45">
      <c r="B166" s="4">
        <f>Grunddaten!A161</f>
        <v>159</v>
      </c>
      <c r="C166" s="4" t="str">
        <f>CONCATENATE("'",Grunddaten!F161,"'")</f>
        <v>'Leineweber'</v>
      </c>
      <c r="D166" s="4" t="str">
        <f>CONCATENATE("'",Grunddaten!E161,"'")</f>
        <v>'Gustav'</v>
      </c>
      <c r="E166" s="4">
        <f>VLOOKUP(Grunddaten!D161,FormOfAddress,2,TRUE)</f>
        <v>1</v>
      </c>
      <c r="F166" s="4">
        <f>VLOOKUP(Grunddaten!I161,FamilyStatus,2,FALSE)</f>
        <v>3</v>
      </c>
      <c r="G166" s="4" t="str">
        <f>IF(Grunddaten!J161&lt;&gt;"",CONCATENATE("'",TEXT(Grunddaten!J161,"JJJJ-MM-tt"),"'"),"NULL")</f>
        <v>'2016-01-24'</v>
      </c>
      <c r="H166" s="4" t="str">
        <f>CONCATENATE("'",TEXT(Grunddaten!G161,"JJJJ-MM-tt"),"'")</f>
        <v>'1950-07-26'</v>
      </c>
      <c r="J166" s="14">
        <f>Grunddaten!A161</f>
        <v>159</v>
      </c>
      <c r="K166" s="14">
        <f>Grunddaten!Y161</f>
        <v>1</v>
      </c>
      <c r="L166" s="14" t="str">
        <f ca="1">CONCATENATE("'",Grunddaten!Z161,"'")</f>
        <v>'14641'</v>
      </c>
      <c r="M166" s="14" t="str">
        <f>CONCATENATE("'",Grunddaten!AA161,"'")</f>
        <v>'Elstal'</v>
      </c>
      <c r="N166" s="14" t="str">
        <f>CONCATENATE("'",Grunddaten!AB161,"'")</f>
        <v>'Sternweg'</v>
      </c>
      <c r="O166" s="14" t="str">
        <f>CONCATENATE("'",Grunddaten!AC161,"'")</f>
        <v>'21'</v>
      </c>
      <c r="P166" s="14">
        <f>Grunddaten!AD161</f>
        <v>1</v>
      </c>
      <c r="R166" s="13">
        <f>Grunddaten!A161</f>
        <v>159</v>
      </c>
      <c r="S166" s="13">
        <f>Grunddaten!AF161</f>
        <v>1</v>
      </c>
      <c r="T166" s="13" t="str">
        <f>CONCATENATE("'",Grunddaten!AG161,"'")</f>
        <v>'033234'</v>
      </c>
      <c r="U166" s="13" t="str">
        <f ca="1">CONCATENATE("'",Grunddaten!AH161,"'")</f>
        <v>'8796'</v>
      </c>
      <c r="V166" s="13">
        <f>Grunddaten!AI163</f>
        <v>1</v>
      </c>
      <c r="Z166" s="2" t="str" cm="1">
        <f t="array" ref="Z166">CONCATENATE("                   ",Liste(B166:H166),IF(Z167&lt;&gt;"",",",""))</f>
        <v xml:space="preserve">                   (159, 'Leineweber', 'Gustav', 1, 3, '2016-01-24', '1950-07-26'),</v>
      </c>
      <c r="AB166" s="2" t="str" cm="1">
        <f t="array" aca="1" ref="AB166" ca="1">CONCATENATE("                    ",Liste(J166:P166),IF(AB167&lt;&gt;"",",",""))</f>
        <v xml:space="preserve">                    (159, 1, '14641', 'Elstal', 'Sternweg', '21', 1),</v>
      </c>
      <c r="AD166" s="2" t="str" cm="1">
        <f t="array" aca="1" ref="AD166" ca="1">CONCATENATE("                   ",Liste(R166:V166),IF(AD167&lt;&gt;"",",",""))</f>
        <v xml:space="preserve">                   (159, 1, '033234', '8796', 1),</v>
      </c>
    </row>
    <row r="167" spans="2:30" x14ac:dyDescent="0.45">
      <c r="B167" s="4">
        <f>Grunddaten!A162</f>
        <v>160</v>
      </c>
      <c r="C167" s="4" t="str">
        <f>CONCATENATE("'",Grunddaten!F162,"'")</f>
        <v>'Mayer'</v>
      </c>
      <c r="D167" s="4" t="str">
        <f>CONCATENATE("'",Grunddaten!E162,"'")</f>
        <v>'Hans'</v>
      </c>
      <c r="E167" s="4">
        <f>VLOOKUP(Grunddaten!D162,FormOfAddress,2,TRUE)</f>
        <v>1</v>
      </c>
      <c r="F167" s="4">
        <f>VLOOKUP(Grunddaten!I162,FamilyStatus,2,FALSE)</f>
        <v>2</v>
      </c>
      <c r="G167" s="4" t="str">
        <f>IF(Grunddaten!J162&lt;&gt;"",CONCATENATE("'",TEXT(Grunddaten!J162,"JJJJ-MM-tt"),"'"),"NULL")</f>
        <v>'2006-05-03'</v>
      </c>
      <c r="H167" s="4" t="str">
        <f>CONCATENATE("'",TEXT(Grunddaten!G162,"JJJJ-MM-tt"),"'")</f>
        <v>'1977-10-20'</v>
      </c>
      <c r="J167" s="14">
        <f>Grunddaten!A162</f>
        <v>160</v>
      </c>
      <c r="K167" s="14">
        <f>Grunddaten!Y162</f>
        <v>1</v>
      </c>
      <c r="L167" s="14" t="str">
        <f ca="1">CONCATENATE("'",Grunddaten!Z162,"'")</f>
        <v>'14467'</v>
      </c>
      <c r="M167" s="14" t="str">
        <f>CONCATENATE("'",Grunddaten!AA162,"'")</f>
        <v>'Potsdam'</v>
      </c>
      <c r="N167" s="14" t="str">
        <f>CONCATENATE("'",Grunddaten!AB162,"'")</f>
        <v>'Lissabonstraße'</v>
      </c>
      <c r="O167" s="14" t="str">
        <f>CONCATENATE("'",Grunddaten!AC162,"'")</f>
        <v>'7'</v>
      </c>
      <c r="P167" s="14">
        <f>Grunddaten!AD162</f>
        <v>1</v>
      </c>
      <c r="R167" s="13">
        <f>Grunddaten!A162</f>
        <v>160</v>
      </c>
      <c r="S167" s="13">
        <f>Grunddaten!AF162</f>
        <v>1</v>
      </c>
      <c r="T167" s="13" t="str">
        <f>CONCATENATE("'",Grunddaten!AG162,"'")</f>
        <v>'0331'</v>
      </c>
      <c r="U167" s="13" t="str">
        <f ca="1">CONCATENATE("'",Grunddaten!AH162,"'")</f>
        <v>'66867'</v>
      </c>
      <c r="V167" s="13">
        <f>Grunddaten!AI164</f>
        <v>1</v>
      </c>
      <c r="Z167" s="2" t="str" cm="1">
        <f t="array" ref="Z167">CONCATENATE("                   ",Liste(B167:H167),IF(Z168&lt;&gt;"",",",""))</f>
        <v xml:space="preserve">                   (160, 'Mayer', 'Hans', 1, 2, '2006-05-03', '1977-10-20'),</v>
      </c>
      <c r="AB167" s="2" t="str" cm="1">
        <f t="array" aca="1" ref="AB167" ca="1">CONCATENATE("                    ",Liste(J167:P167),IF(AB168&lt;&gt;"",",",""))</f>
        <v xml:space="preserve">                    (160, 1, '14467', 'Potsdam', 'Lissabonstraße', '7', 1),</v>
      </c>
      <c r="AD167" s="2" t="str" cm="1">
        <f t="array" aca="1" ref="AD167" ca="1">CONCATENATE("                   ",Liste(R167:V167),IF(AD168&lt;&gt;"",",",""))</f>
        <v xml:space="preserve">                   (160, 1, '0331', '66867', 1),</v>
      </c>
    </row>
    <row r="168" spans="2:30" x14ac:dyDescent="0.45">
      <c r="B168" s="4">
        <f>Grunddaten!A163</f>
        <v>161</v>
      </c>
      <c r="C168" s="4" t="str">
        <f>CONCATENATE("'",Grunddaten!F163,"'")</f>
        <v>'Fischer'</v>
      </c>
      <c r="D168" s="4" t="str">
        <f>CONCATENATE("'",Grunddaten!E163,"'")</f>
        <v>'Rüdiger'</v>
      </c>
      <c r="E168" s="4">
        <f>VLOOKUP(Grunddaten!D163,FormOfAddress,2,TRUE)</f>
        <v>1</v>
      </c>
      <c r="F168" s="4">
        <f>VLOOKUP(Grunddaten!I163,FamilyStatus,2,FALSE)</f>
        <v>1</v>
      </c>
      <c r="G168" s="4" t="str">
        <f>IF(Grunddaten!J163&lt;&gt;"",CONCATENATE("'",TEXT(Grunddaten!J163,"JJJJ-MM-tt"),"'"),"NULL")</f>
        <v>NULL</v>
      </c>
      <c r="H168" s="4" t="str">
        <f>CONCATENATE("'",TEXT(Grunddaten!G163,"JJJJ-MM-tt"),"'")</f>
        <v>'1964-04-25'</v>
      </c>
      <c r="J168" s="14">
        <f>Grunddaten!A163</f>
        <v>161</v>
      </c>
      <c r="K168" s="14">
        <f>Grunddaten!Y163</f>
        <v>1</v>
      </c>
      <c r="L168" s="14" t="str">
        <f ca="1">CONCATENATE("'",Grunddaten!Z163,"'")</f>
        <v>'14778'</v>
      </c>
      <c r="M168" s="14" t="str">
        <f>CONCATENATE("'",Grunddaten!AA163,"'")</f>
        <v>'Beetzsee'</v>
      </c>
      <c r="N168" s="14" t="str">
        <f>CONCATENATE("'",Grunddaten!AB163,"'")</f>
        <v>'Brahmsweg'</v>
      </c>
      <c r="O168" s="14" t="str">
        <f>CONCATENATE("'",Grunddaten!AC163,"'")</f>
        <v>'7'</v>
      </c>
      <c r="P168" s="14">
        <f>Grunddaten!AD163</f>
        <v>1</v>
      </c>
      <c r="R168" s="13">
        <f>Grunddaten!A163</f>
        <v>161</v>
      </c>
      <c r="S168" s="13">
        <f>Grunddaten!AF163</f>
        <v>1</v>
      </c>
      <c r="T168" s="13" t="str">
        <f>CONCATENATE("'",Grunddaten!AG163,"'")</f>
        <v>'03381'</v>
      </c>
      <c r="U168" s="13" t="str">
        <f ca="1">CONCATENATE("'",Grunddaten!AH163,"'")</f>
        <v>'57284'</v>
      </c>
      <c r="V168" s="13">
        <f>Grunddaten!AI165</f>
        <v>1</v>
      </c>
      <c r="Z168" s="2" t="str" cm="1">
        <f t="array" ref="Z168">CONCATENATE("                   ",Liste(B168:H168),IF(Z169&lt;&gt;"",",",""))</f>
        <v xml:space="preserve">                   (161, 'Fischer', 'Rüdiger', 1, 1, NULL, '1964-04-25'),</v>
      </c>
      <c r="AB168" s="2" t="str" cm="1">
        <f t="array" aca="1" ref="AB168" ca="1">CONCATENATE("                    ",Liste(J168:P168),IF(AB169&lt;&gt;"",",",""))</f>
        <v xml:space="preserve">                    (161, 1, '14778', 'Beetzsee', 'Brahmsweg', '7', 1),</v>
      </c>
      <c r="AD168" s="2" t="str" cm="1">
        <f t="array" aca="1" ref="AD168" ca="1">CONCATENATE("                   ",Liste(R168:V168),IF(AD169&lt;&gt;"",",",""))</f>
        <v xml:space="preserve">                   (161, 1, '03381', '57284', 1),</v>
      </c>
    </row>
    <row r="169" spans="2:30" x14ac:dyDescent="0.45">
      <c r="B169" s="4">
        <f>Grunddaten!A164</f>
        <v>162</v>
      </c>
      <c r="C169" s="4" t="str">
        <f>CONCATENATE("'",Grunddaten!F164,"'")</f>
        <v>'Rademacher'</v>
      </c>
      <c r="D169" s="4" t="str">
        <f>CONCATENATE("'",Grunddaten!E164,"'")</f>
        <v>'Fred'</v>
      </c>
      <c r="E169" s="4">
        <f>VLOOKUP(Grunddaten!D164,FormOfAddress,2,TRUE)</f>
        <v>1</v>
      </c>
      <c r="F169" s="4">
        <f>VLOOKUP(Grunddaten!I164,FamilyStatus,2,FALSE)</f>
        <v>2</v>
      </c>
      <c r="G169" s="4" t="str">
        <f>IF(Grunddaten!J164&lt;&gt;"",CONCATENATE("'",TEXT(Grunddaten!J164,"JJJJ-MM-tt"),"'"),"NULL")</f>
        <v>'2006-08-03'</v>
      </c>
      <c r="H169" s="4" t="str">
        <f>CONCATENATE("'",TEXT(Grunddaten!G164,"JJJJ-MM-tt"),"'")</f>
        <v>'1982-12-04'</v>
      </c>
      <c r="J169" s="14">
        <f>Grunddaten!A164</f>
        <v>162</v>
      </c>
      <c r="K169" s="14">
        <f>Grunddaten!Y164</f>
        <v>1</v>
      </c>
      <c r="L169" s="14" t="str">
        <f ca="1">CONCATENATE("'",Grunddaten!Z164,"'")</f>
        <v>'14542'</v>
      </c>
      <c r="M169" s="14" t="str">
        <f>CONCATENATE("'",Grunddaten!AA164,"'")</f>
        <v>'Werder (Havel)'</v>
      </c>
      <c r="N169" s="14" t="str">
        <f>CONCATENATE("'",Grunddaten!AB164,"'")</f>
        <v>'Oslostraße'</v>
      </c>
      <c r="O169" s="14" t="str">
        <f>CONCATENATE("'",Grunddaten!AC164,"'")</f>
        <v>'35'</v>
      </c>
      <c r="P169" s="14">
        <f>Grunddaten!AD164</f>
        <v>1</v>
      </c>
      <c r="R169" s="13">
        <f>Grunddaten!A164</f>
        <v>162</v>
      </c>
      <c r="S169" s="13">
        <f>Grunddaten!AF164</f>
        <v>1</v>
      </c>
      <c r="T169" s="13" t="str">
        <f>CONCATENATE("'",Grunddaten!AG164,"'")</f>
        <v>'03327'</v>
      </c>
      <c r="U169" s="13" t="str">
        <f ca="1">CONCATENATE("'",Grunddaten!AH164,"'")</f>
        <v>'78675'</v>
      </c>
      <c r="V169" s="13">
        <f>Grunddaten!AI166</f>
        <v>1</v>
      </c>
      <c r="Z169" s="2" t="str" cm="1">
        <f t="array" ref="Z169">CONCATENATE("                   ",Liste(B169:H169),IF(Z170&lt;&gt;"",",",""))</f>
        <v xml:space="preserve">                   (162, 'Rademacher', 'Fred', 1, 2, '2006-08-03', '1982-12-04'),</v>
      </c>
      <c r="AB169" s="2" t="str" cm="1">
        <f t="array" aca="1" ref="AB169" ca="1">CONCATENATE("                    ",Liste(J169:P169),IF(AB170&lt;&gt;"",",",""))</f>
        <v xml:space="preserve">                    (162, 1, '14542', 'Werder (Havel)', 'Oslostraße', '35', 1),</v>
      </c>
      <c r="AD169" s="2" t="str" cm="1">
        <f t="array" aca="1" ref="AD169" ca="1">CONCATENATE("                   ",Liste(R169:V169),IF(AD170&lt;&gt;"",",",""))</f>
        <v xml:space="preserve">                   (162, 1, '03327', '78675', 1),</v>
      </c>
    </row>
    <row r="170" spans="2:30" x14ac:dyDescent="0.45">
      <c r="B170" s="4">
        <f>Grunddaten!A165</f>
        <v>163</v>
      </c>
      <c r="C170" s="4" t="str">
        <f>CONCATENATE("'",Grunddaten!F165,"'")</f>
        <v>'Lange'</v>
      </c>
      <c r="D170" s="4" t="str">
        <f>CONCATENATE("'",Grunddaten!E165,"'")</f>
        <v>'Peter'</v>
      </c>
      <c r="E170" s="4">
        <f>VLOOKUP(Grunddaten!D165,FormOfAddress,2,TRUE)</f>
        <v>1</v>
      </c>
      <c r="F170" s="4">
        <f>VLOOKUP(Grunddaten!I165,FamilyStatus,2,FALSE)</f>
        <v>1</v>
      </c>
      <c r="G170" s="4" t="str">
        <f>IF(Grunddaten!J165&lt;&gt;"",CONCATENATE("'",TEXT(Grunddaten!J165,"JJJJ-MM-tt"),"'"),"NULL")</f>
        <v>NULL</v>
      </c>
      <c r="H170" s="4" t="str">
        <f>CONCATENATE("'",TEXT(Grunddaten!G165,"JJJJ-MM-tt"),"'")</f>
        <v>'1962-11-08'</v>
      </c>
      <c r="J170" s="14">
        <f>Grunddaten!A165</f>
        <v>163</v>
      </c>
      <c r="K170" s="14">
        <f>Grunddaten!Y165</f>
        <v>1</v>
      </c>
      <c r="L170" s="14" t="str">
        <f ca="1">CONCATENATE("'",Grunddaten!Z165,"'")</f>
        <v>'14542'</v>
      </c>
      <c r="M170" s="14" t="str">
        <f>CONCATENATE("'",Grunddaten!AA165,"'")</f>
        <v>'Werder'</v>
      </c>
      <c r="N170" s="14" t="str">
        <f>CONCATENATE("'",Grunddaten!AB165,"'")</f>
        <v>'Nashvilleplatz'</v>
      </c>
      <c r="O170" s="14" t="str">
        <f>CONCATENATE("'",Grunddaten!AC165,"'")</f>
        <v>'22'</v>
      </c>
      <c r="P170" s="14">
        <f>Grunddaten!AD165</f>
        <v>1</v>
      </c>
      <c r="R170" s="13">
        <f>Grunddaten!A165</f>
        <v>163</v>
      </c>
      <c r="S170" s="13">
        <f>Grunddaten!AF165</f>
        <v>1</v>
      </c>
      <c r="T170" s="13" t="str">
        <f>CONCATENATE("'",Grunddaten!AG165,"'")</f>
        <v>'033202'</v>
      </c>
      <c r="U170" s="13" t="str">
        <f ca="1">CONCATENATE("'",Grunddaten!AH165,"'")</f>
        <v>'8249'</v>
      </c>
      <c r="V170" s="13">
        <f>Grunddaten!AI167</f>
        <v>1</v>
      </c>
      <c r="Z170" s="2" t="str" cm="1">
        <f t="array" ref="Z170">CONCATENATE("                   ",Liste(B170:H170),IF(Z171&lt;&gt;"",",",""))</f>
        <v xml:space="preserve">                   (163, 'Lange', 'Peter', 1, 1, NULL, '1962-11-08'),</v>
      </c>
      <c r="AB170" s="2" t="str" cm="1">
        <f t="array" aca="1" ref="AB170" ca="1">CONCATENATE("                    ",Liste(J170:P170),IF(AB171&lt;&gt;"",",",""))</f>
        <v xml:space="preserve">                    (163, 1, '14542', 'Werder', 'Nashvilleplatz', '22', 1),</v>
      </c>
      <c r="AD170" s="2" t="str" cm="1">
        <f t="array" aca="1" ref="AD170" ca="1">CONCATENATE("                   ",Liste(R170:V170),IF(AD171&lt;&gt;"",",",""))</f>
        <v xml:space="preserve">                   (163, 1, '033202', '8249', 1),</v>
      </c>
    </row>
    <row r="171" spans="2:30" x14ac:dyDescent="0.45">
      <c r="B171" s="4">
        <f>Grunddaten!A166</f>
        <v>164</v>
      </c>
      <c r="C171" s="4" t="str">
        <f>CONCATENATE("'",Grunddaten!F166,"'")</f>
        <v>'Schreck'</v>
      </c>
      <c r="D171" s="4" t="str">
        <f>CONCATENATE("'",Grunddaten!E166,"'")</f>
        <v>'Ingolf'</v>
      </c>
      <c r="E171" s="4">
        <f>VLOOKUP(Grunddaten!D166,FormOfAddress,2,TRUE)</f>
        <v>1</v>
      </c>
      <c r="F171" s="4">
        <f>VLOOKUP(Grunddaten!I166,FamilyStatus,2,FALSE)</f>
        <v>2</v>
      </c>
      <c r="G171" s="4" t="str">
        <f>IF(Grunddaten!J166&lt;&gt;"",CONCATENATE("'",TEXT(Grunddaten!J166,"JJJJ-MM-tt"),"'"),"NULL")</f>
        <v>'1998-01-21'</v>
      </c>
      <c r="H171" s="4" t="str">
        <f>CONCATENATE("'",TEXT(Grunddaten!G166,"JJJJ-MM-tt"),"'")</f>
        <v>'1967-10-17'</v>
      </c>
      <c r="J171" s="14">
        <f>Grunddaten!A166</f>
        <v>164</v>
      </c>
      <c r="K171" s="14">
        <f>Grunddaten!Y166</f>
        <v>1</v>
      </c>
      <c r="L171" s="14" t="str">
        <f ca="1">CONCATENATE("'",Grunddaten!Z166,"'")</f>
        <v>'14052'</v>
      </c>
      <c r="M171" s="14" t="str">
        <f>CONCATENATE("'",Grunddaten!AA166,"'")</f>
        <v>'Berlin'</v>
      </c>
      <c r="N171" s="14" t="str">
        <f>CONCATENATE("'",Grunddaten!AB166,"'")</f>
        <v>'Am Bahnhof'</v>
      </c>
      <c r="O171" s="14" t="str">
        <f>CONCATENATE("'",Grunddaten!AC166,"'")</f>
        <v>'30'</v>
      </c>
      <c r="P171" s="14">
        <f>Grunddaten!AD166</f>
        <v>1</v>
      </c>
      <c r="R171" s="13">
        <f>Grunddaten!A166</f>
        <v>164</v>
      </c>
      <c r="S171" s="13">
        <f>Grunddaten!AF166</f>
        <v>1</v>
      </c>
      <c r="T171" s="13" t="str">
        <f>CONCATENATE("'",Grunddaten!AG166,"'")</f>
        <v>'030'</v>
      </c>
      <c r="U171" s="13" t="str">
        <f ca="1">CONCATENATE("'",Grunddaten!AH166,"'")</f>
        <v>'64113189'</v>
      </c>
      <c r="V171" s="13">
        <f>Grunddaten!AI168</f>
        <v>1</v>
      </c>
      <c r="Z171" s="2" t="str" cm="1">
        <f t="array" ref="Z171">CONCATENATE("                   ",Liste(B171:H171),IF(Z172&lt;&gt;"",",",""))</f>
        <v xml:space="preserve">                   (164, 'Schreck', 'Ingolf', 1, 2, '1998-01-21', '1967-10-17'),</v>
      </c>
      <c r="AB171" s="2" t="str" cm="1">
        <f t="array" aca="1" ref="AB171" ca="1">CONCATENATE("                    ",Liste(J171:P171),IF(AB172&lt;&gt;"",",",""))</f>
        <v xml:space="preserve">                    (164, 1, '14052', 'Berlin', 'Am Bahnhof', '30', 1),</v>
      </c>
      <c r="AD171" s="2" t="str" cm="1">
        <f t="array" aca="1" ref="AD171" ca="1">CONCATENATE("                   ",Liste(R171:V171),IF(AD172&lt;&gt;"",",",""))</f>
        <v xml:space="preserve">                   (164, 1, '030', '64113189', 1),</v>
      </c>
    </row>
    <row r="172" spans="2:30" x14ac:dyDescent="0.45">
      <c r="B172" s="4">
        <f>Grunddaten!A167</f>
        <v>165</v>
      </c>
      <c r="C172" s="4" t="str">
        <f>CONCATENATE("'",Grunddaten!F167,"'")</f>
        <v>'Müller'</v>
      </c>
      <c r="D172" s="4" t="str">
        <f>CONCATENATE("'",Grunddaten!E167,"'")</f>
        <v>'Tanja'</v>
      </c>
      <c r="E172" s="4">
        <f>VLOOKUP(Grunddaten!D167,FormOfAddress,2,TRUE)</f>
        <v>2</v>
      </c>
      <c r="F172" s="4">
        <f>VLOOKUP(Grunddaten!I167,FamilyStatus,2,FALSE)</f>
        <v>2</v>
      </c>
      <c r="G172" s="4" t="str">
        <f>IF(Grunddaten!J167&lt;&gt;"",CONCATENATE("'",TEXT(Grunddaten!J167,"JJJJ-MM-tt"),"'"),"NULL")</f>
        <v>'2011-12-15'</v>
      </c>
      <c r="H172" s="4" t="str">
        <f>CONCATENATE("'",TEXT(Grunddaten!G167,"JJJJ-MM-tt"),"'")</f>
        <v>'1978-04-13'</v>
      </c>
      <c r="J172" s="14">
        <f>Grunddaten!A167</f>
        <v>165</v>
      </c>
      <c r="K172" s="14">
        <f>Grunddaten!Y167</f>
        <v>1</v>
      </c>
      <c r="L172" s="14" t="str">
        <f ca="1">CONCATENATE("'",Grunddaten!Z167,"'")</f>
        <v>'12157'</v>
      </c>
      <c r="M172" s="14" t="str">
        <f>CONCATENATE("'",Grunddaten!AA167,"'")</f>
        <v>'Berlin'</v>
      </c>
      <c r="N172" s="14" t="str">
        <f>CONCATENATE("'",Grunddaten!AB167,"'")</f>
        <v>'Chicagostraße'</v>
      </c>
      <c r="O172" s="14" t="str">
        <f>CONCATENATE("'",Grunddaten!AC167,"'")</f>
        <v>'23'</v>
      </c>
      <c r="P172" s="14">
        <f>Grunddaten!AD167</f>
        <v>1</v>
      </c>
      <c r="R172" s="13">
        <f>Grunddaten!A167</f>
        <v>165</v>
      </c>
      <c r="S172" s="13">
        <f>Grunddaten!AF167</f>
        <v>1</v>
      </c>
      <c r="T172" s="13" t="str">
        <f>CONCATENATE("'",Grunddaten!AG167,"'")</f>
        <v>'030'</v>
      </c>
      <c r="U172" s="13" t="str">
        <f ca="1">CONCATENATE("'",Grunddaten!AH167,"'")</f>
        <v>'44177901'</v>
      </c>
      <c r="V172" s="13">
        <f>Grunddaten!AI169</f>
        <v>1</v>
      </c>
      <c r="Z172" s="2" t="str" cm="1">
        <f t="array" ref="Z172">CONCATENATE("                   ",Liste(B172:H172),IF(Z173&lt;&gt;"",",",""))</f>
        <v xml:space="preserve">                   (165, 'Müller', 'Tanja', 2, 2, '2011-12-15', '1978-04-13'),</v>
      </c>
      <c r="AB172" s="2" t="str" cm="1">
        <f t="array" aca="1" ref="AB172" ca="1">CONCATENATE("                    ",Liste(J172:P172),IF(AB173&lt;&gt;"",",",""))</f>
        <v xml:space="preserve">                    (165, 1, '12157', 'Berlin', 'Chicagostraße', '23', 1),</v>
      </c>
      <c r="AD172" s="2" t="str" cm="1">
        <f t="array" aca="1" ref="AD172" ca="1">CONCATENATE("                   ",Liste(R172:V172),IF(AD173&lt;&gt;"",",",""))</f>
        <v xml:space="preserve">                   (165, 1, '030', '44177901', 1),</v>
      </c>
    </row>
    <row r="173" spans="2:30" x14ac:dyDescent="0.45">
      <c r="B173" s="4">
        <f>Grunddaten!A168</f>
        <v>166</v>
      </c>
      <c r="C173" s="4" t="str">
        <f>CONCATENATE("'",Grunddaten!F168,"'")</f>
        <v>'Wiese'</v>
      </c>
      <c r="D173" s="4" t="str">
        <f>CONCATENATE("'",Grunddaten!E168,"'")</f>
        <v>'Fred'</v>
      </c>
      <c r="E173" s="4">
        <f>VLOOKUP(Grunddaten!D168,FormOfAddress,2,TRUE)</f>
        <v>1</v>
      </c>
      <c r="F173" s="4">
        <f>VLOOKUP(Grunddaten!I168,FamilyStatus,2,FALSE)</f>
        <v>2</v>
      </c>
      <c r="G173" s="4" t="str">
        <f>IF(Grunddaten!J168&lt;&gt;"",CONCATENATE("'",TEXT(Grunddaten!J168,"JJJJ-MM-tt"),"'"),"NULL")</f>
        <v>'2011-05-16'</v>
      </c>
      <c r="H173" s="4" t="str">
        <f>CONCATENATE("'",TEXT(Grunddaten!G168,"JJJJ-MM-tt"),"'")</f>
        <v>'1973-04-04'</v>
      </c>
      <c r="J173" s="14">
        <f>Grunddaten!A168</f>
        <v>166</v>
      </c>
      <c r="K173" s="14">
        <f>Grunddaten!Y168</f>
        <v>1</v>
      </c>
      <c r="L173" s="14" t="str">
        <f ca="1">CONCATENATE("'",Grunddaten!Z168,"'")</f>
        <v>'14797'</v>
      </c>
      <c r="M173" s="14" t="str">
        <f>CONCATENATE("'",Grunddaten!AA168,"'")</f>
        <v>'Kloster Lehnin'</v>
      </c>
      <c r="N173" s="14" t="str">
        <f>CONCATENATE("'",Grunddaten!AB168,"'")</f>
        <v>'Helmut-Kohl-Straße'</v>
      </c>
      <c r="O173" s="14" t="str">
        <f>CONCATENATE("'",Grunddaten!AC168,"'")</f>
        <v>'26'</v>
      </c>
      <c r="P173" s="14">
        <f>Grunddaten!AD168</f>
        <v>1</v>
      </c>
      <c r="R173" s="13">
        <f>Grunddaten!A168</f>
        <v>166</v>
      </c>
      <c r="S173" s="13">
        <f>Grunddaten!AF168</f>
        <v>1</v>
      </c>
      <c r="T173" s="13" t="str">
        <f>CONCATENATE("'",Grunddaten!AG168,"'")</f>
        <v>'033835'</v>
      </c>
      <c r="U173" s="13" t="str">
        <f ca="1">CONCATENATE("'",Grunddaten!AH168,"'")</f>
        <v>'9287'</v>
      </c>
      <c r="V173" s="13">
        <f>Grunddaten!AI170</f>
        <v>1</v>
      </c>
      <c r="Z173" s="2" t="str" cm="1">
        <f t="array" ref="Z173">CONCATENATE("                   ",Liste(B173:H173),IF(Z174&lt;&gt;"",",",""))</f>
        <v xml:space="preserve">                   (166, 'Wiese', 'Fred', 1, 2, '2011-05-16', '1973-04-04'),</v>
      </c>
      <c r="AB173" s="2" t="str" cm="1">
        <f t="array" aca="1" ref="AB173" ca="1">CONCATENATE("                    ",Liste(J173:P173),IF(AB174&lt;&gt;"",",",""))</f>
        <v xml:space="preserve">                    (166, 1, '14797', 'Kloster Lehnin', 'Helmut-Kohl-Straße', '26', 1),</v>
      </c>
      <c r="AD173" s="2" t="str" cm="1">
        <f t="array" aca="1" ref="AD173" ca="1">CONCATENATE("                   ",Liste(R173:V173),IF(AD174&lt;&gt;"",",",""))</f>
        <v xml:space="preserve">                   (166, 1, '033835', '9287', 1),</v>
      </c>
    </row>
    <row r="174" spans="2:30" x14ac:dyDescent="0.45">
      <c r="B174" s="4">
        <f>Grunddaten!A169</f>
        <v>167</v>
      </c>
      <c r="C174" s="4" t="str">
        <f>CONCATENATE("'",Grunddaten!F169,"'")</f>
        <v>'Wein'</v>
      </c>
      <c r="D174" s="4" t="str">
        <f>CONCATENATE("'",Grunddaten!E169,"'")</f>
        <v>'Magda'</v>
      </c>
      <c r="E174" s="4">
        <f>VLOOKUP(Grunddaten!D169,FormOfAddress,2,TRUE)</f>
        <v>2</v>
      </c>
      <c r="F174" s="4">
        <f>VLOOKUP(Grunddaten!I169,FamilyStatus,2,FALSE)</f>
        <v>1</v>
      </c>
      <c r="G174" s="4" t="str">
        <f>IF(Grunddaten!J169&lt;&gt;"",CONCATENATE("'",TEXT(Grunddaten!J169,"JJJJ-MM-tt"),"'"),"NULL")</f>
        <v>NULL</v>
      </c>
      <c r="H174" s="4" t="str">
        <f>CONCATENATE("'",TEXT(Grunddaten!G169,"JJJJ-MM-tt"),"'")</f>
        <v>'2002-09-03'</v>
      </c>
      <c r="J174" s="14">
        <f>Grunddaten!A169</f>
        <v>167</v>
      </c>
      <c r="K174" s="14">
        <f>Grunddaten!Y169</f>
        <v>1</v>
      </c>
      <c r="L174" s="14" t="str">
        <f ca="1">CONCATENATE("'",Grunddaten!Z169,"'")</f>
        <v>'12247'</v>
      </c>
      <c r="M174" s="14" t="str">
        <f>CONCATENATE("'",Grunddaten!AA169,"'")</f>
        <v>'Berlin'</v>
      </c>
      <c r="N174" s="14" t="str">
        <f>CONCATENATE("'",Grunddaten!AB169,"'")</f>
        <v>'Schillerstraße'</v>
      </c>
      <c r="O174" s="14" t="str">
        <f>CONCATENATE("'",Grunddaten!AC169,"'")</f>
        <v>'28D/E'</v>
      </c>
      <c r="P174" s="14">
        <f>Grunddaten!AD169</f>
        <v>1</v>
      </c>
      <c r="R174" s="13">
        <f>Grunddaten!A169</f>
        <v>167</v>
      </c>
      <c r="S174" s="13">
        <f>Grunddaten!AF169</f>
        <v>1</v>
      </c>
      <c r="T174" s="13" t="str">
        <f>CONCATENATE("'",Grunddaten!AG169,"'")</f>
        <v>'030'</v>
      </c>
      <c r="U174" s="13" t="str">
        <f ca="1">CONCATENATE("'",Grunddaten!AH169,"'")</f>
        <v>'45774811'</v>
      </c>
      <c r="V174" s="13">
        <f>Grunddaten!AI171</f>
        <v>1</v>
      </c>
      <c r="Z174" s="2" t="str" cm="1">
        <f t="array" ref="Z174">CONCATENATE("                   ",Liste(B174:H174),IF(Z175&lt;&gt;"",",",""))</f>
        <v xml:space="preserve">                   (167, 'Wein', 'Magda', 2, 1, NULL, '2002-09-03'),</v>
      </c>
      <c r="AB174" s="2" t="str" cm="1">
        <f t="array" aca="1" ref="AB174" ca="1">CONCATENATE("                    ",Liste(J174:P174),IF(AB175&lt;&gt;"",",",""))</f>
        <v xml:space="preserve">                    (167, 1, '12247', 'Berlin', 'Schillerstraße', '28D/E', 1),</v>
      </c>
      <c r="AD174" s="2" t="str" cm="1">
        <f t="array" aca="1" ref="AD174" ca="1">CONCATENATE("                   ",Liste(R174:V174),IF(AD175&lt;&gt;"",",",""))</f>
        <v xml:space="preserve">                   (167, 1, '030', '45774811', 1),</v>
      </c>
    </row>
    <row r="175" spans="2:30" x14ac:dyDescent="0.45">
      <c r="B175" s="4">
        <f>Grunddaten!A170</f>
        <v>168</v>
      </c>
      <c r="C175" s="4" t="str">
        <f>CONCATENATE("'",Grunddaten!F170,"'")</f>
        <v>'Friedrich'</v>
      </c>
      <c r="D175" s="4" t="str">
        <f>CONCATENATE("'",Grunddaten!E170,"'")</f>
        <v>'Konstanze'</v>
      </c>
      <c r="E175" s="4">
        <f>VLOOKUP(Grunddaten!D170,FormOfAddress,2,TRUE)</f>
        <v>2</v>
      </c>
      <c r="F175" s="4">
        <f>VLOOKUP(Grunddaten!I170,FamilyStatus,2,FALSE)</f>
        <v>4</v>
      </c>
      <c r="G175" s="4" t="str">
        <f>IF(Grunddaten!J170&lt;&gt;"",CONCATENATE("'",TEXT(Grunddaten!J170,"JJJJ-MM-tt"),"'"),"NULL")</f>
        <v>'2018-02-05'</v>
      </c>
      <c r="H175" s="4" t="str">
        <f>CONCATENATE("'",TEXT(Grunddaten!G170,"JJJJ-MM-tt"),"'")</f>
        <v>'1954-12-21'</v>
      </c>
      <c r="J175" s="14">
        <f>Grunddaten!A170</f>
        <v>168</v>
      </c>
      <c r="K175" s="14">
        <f>Grunddaten!Y170</f>
        <v>1</v>
      </c>
      <c r="L175" s="14" t="str">
        <f ca="1">CONCATENATE("'",Grunddaten!Z170,"'")</f>
        <v>'14806'</v>
      </c>
      <c r="M175" s="14" t="str">
        <f>CONCATENATE("'",Grunddaten!AA170,"'")</f>
        <v>'Belzig'</v>
      </c>
      <c r="N175" s="14" t="str">
        <f>CONCATENATE("'",Grunddaten!AB170,"'")</f>
        <v>'Miamiweg'</v>
      </c>
      <c r="O175" s="14" t="str">
        <f>CONCATENATE("'",Grunddaten!AC170,"'")</f>
        <v>'11E'</v>
      </c>
      <c r="P175" s="14">
        <f>Grunddaten!AD170</f>
        <v>1</v>
      </c>
      <c r="R175" s="13">
        <f>Grunddaten!A170</f>
        <v>168</v>
      </c>
      <c r="S175" s="13">
        <f>Grunddaten!AF170</f>
        <v>1</v>
      </c>
      <c r="T175" s="13" t="str">
        <f>CONCATENATE("'",Grunddaten!AG170,"'")</f>
        <v>'033841'</v>
      </c>
      <c r="U175" s="13" t="str">
        <f ca="1">CONCATENATE("'",Grunddaten!AH170,"'")</f>
        <v>'4167'</v>
      </c>
      <c r="V175" s="13">
        <f>Grunddaten!AI172</f>
        <v>1</v>
      </c>
      <c r="Z175" s="2" t="str" cm="1">
        <f t="array" ref="Z175">CONCATENATE("                   ",Liste(B175:H175),IF(Z176&lt;&gt;"",",",""))</f>
        <v xml:space="preserve">                   (168, 'Friedrich', 'Konstanze', 2, 4, '2018-02-05', '1954-12-21'),</v>
      </c>
      <c r="AB175" s="2" t="str" cm="1">
        <f t="array" aca="1" ref="AB175" ca="1">CONCATENATE("                    ",Liste(J175:P175),IF(AB176&lt;&gt;"",",",""))</f>
        <v xml:space="preserve">                    (168, 1, '14806', 'Belzig', 'Miamiweg', '11E', 1),</v>
      </c>
      <c r="AD175" s="2" t="str" cm="1">
        <f t="array" aca="1" ref="AD175" ca="1">CONCATENATE("                   ",Liste(R175:V175),IF(AD176&lt;&gt;"",",",""))</f>
        <v xml:space="preserve">                   (168, 1, '033841', '4167', 1),</v>
      </c>
    </row>
    <row r="176" spans="2:30" x14ac:dyDescent="0.45">
      <c r="B176" s="4">
        <f>Grunddaten!A171</f>
        <v>169</v>
      </c>
      <c r="C176" s="4" t="str">
        <f>CONCATENATE("'",Grunddaten!F171,"'")</f>
        <v>'Kramer'</v>
      </c>
      <c r="D176" s="4" t="str">
        <f>CONCATENATE("'",Grunddaten!E171,"'")</f>
        <v>'Volker'</v>
      </c>
      <c r="E176" s="4">
        <f>VLOOKUP(Grunddaten!D171,FormOfAddress,2,TRUE)</f>
        <v>1</v>
      </c>
      <c r="F176" s="4">
        <f>VLOOKUP(Grunddaten!I171,FamilyStatus,2,FALSE)</f>
        <v>2</v>
      </c>
      <c r="G176" s="4" t="str">
        <f>IF(Grunddaten!J171&lt;&gt;"",CONCATENATE("'",TEXT(Grunddaten!J171,"JJJJ-MM-tt"),"'"),"NULL")</f>
        <v>'2028-07-25'</v>
      </c>
      <c r="H176" s="4" t="str">
        <f>CONCATENATE("'",TEXT(Grunddaten!G171,"JJJJ-MM-tt"),"'")</f>
        <v>'1992-07-15'</v>
      </c>
      <c r="J176" s="14">
        <f>Grunddaten!A171</f>
        <v>169</v>
      </c>
      <c r="K176" s="14">
        <f>Grunddaten!Y171</f>
        <v>1</v>
      </c>
      <c r="L176" s="14" t="str">
        <f ca="1">CONCATENATE("'",Grunddaten!Z171,"'")</f>
        <v>'10115'</v>
      </c>
      <c r="M176" s="14" t="str">
        <f>CONCATENATE("'",Grunddaten!AA171,"'")</f>
        <v>'Berlin'</v>
      </c>
      <c r="N176" s="14" t="str">
        <f>CONCATENATE("'",Grunddaten!AB171,"'")</f>
        <v>'Miamiweg'</v>
      </c>
      <c r="O176" s="14" t="str">
        <f>CONCATENATE("'",Grunddaten!AC171,"'")</f>
        <v>'2'</v>
      </c>
      <c r="P176" s="14">
        <f>Grunddaten!AD171</f>
        <v>1</v>
      </c>
      <c r="R176" s="13">
        <f>Grunddaten!A171</f>
        <v>169</v>
      </c>
      <c r="S176" s="13">
        <f>Grunddaten!AF171</f>
        <v>1</v>
      </c>
      <c r="T176" s="13" t="str">
        <f>CONCATENATE("'",Grunddaten!AG171,"'")</f>
        <v>'030'</v>
      </c>
      <c r="U176" s="13" t="str">
        <f ca="1">CONCATENATE("'",Grunddaten!AH171,"'")</f>
        <v>'53113632'</v>
      </c>
      <c r="V176" s="13">
        <f>Grunddaten!AI173</f>
        <v>1</v>
      </c>
      <c r="Z176" s="2" t="str" cm="1">
        <f t="array" ref="Z176">CONCATENATE("                   ",Liste(B176:H176),IF(Z177&lt;&gt;"",",",""))</f>
        <v xml:space="preserve">                   (169, 'Kramer', 'Volker', 1, 2, '2028-07-25', '1992-07-15'),</v>
      </c>
      <c r="AB176" s="2" t="str" cm="1">
        <f t="array" aca="1" ref="AB176" ca="1">CONCATENATE("                    ",Liste(J176:P176),IF(AB177&lt;&gt;"",",",""))</f>
        <v xml:space="preserve">                    (169, 1, '10115', 'Berlin', 'Miamiweg', '2', 1),</v>
      </c>
      <c r="AD176" s="2" t="str" cm="1">
        <f t="array" aca="1" ref="AD176" ca="1">CONCATENATE("                   ",Liste(R176:V176),IF(AD177&lt;&gt;"",",",""))</f>
        <v xml:space="preserve">                   (169, 1, '030', '53113632', 1),</v>
      </c>
    </row>
    <row r="177" spans="2:30" x14ac:dyDescent="0.45">
      <c r="B177" s="4">
        <f>Grunddaten!A172</f>
        <v>170</v>
      </c>
      <c r="C177" s="4" t="str">
        <f>CONCATENATE("'",Grunddaten!F172,"'")</f>
        <v>'Eisenhardt'</v>
      </c>
      <c r="D177" s="4" t="str">
        <f>CONCATENATE("'",Grunddaten!E172,"'")</f>
        <v>'Rosel'</v>
      </c>
      <c r="E177" s="4">
        <f>VLOOKUP(Grunddaten!D172,FormOfAddress,2,TRUE)</f>
        <v>2</v>
      </c>
      <c r="F177" s="4">
        <f>VLOOKUP(Grunddaten!I172,FamilyStatus,2,FALSE)</f>
        <v>2</v>
      </c>
      <c r="G177" s="4" t="str">
        <f>IF(Grunddaten!J172&lt;&gt;"",CONCATENATE("'",TEXT(Grunddaten!J172,"JJJJ-MM-tt"),"'"),"NULL")</f>
        <v>'1984-10-28'</v>
      </c>
      <c r="H177" s="4" t="str">
        <f>CONCATENATE("'",TEXT(Grunddaten!G172,"JJJJ-MM-tt"),"'")</f>
        <v>'1956-08-29'</v>
      </c>
      <c r="J177" s="14">
        <f>Grunddaten!A172</f>
        <v>170</v>
      </c>
      <c r="K177" s="14">
        <f>Grunddaten!Y172</f>
        <v>1</v>
      </c>
      <c r="L177" s="14" t="str">
        <f ca="1">CONCATENATE("'",Grunddaten!Z172,"'")</f>
        <v>'13187'</v>
      </c>
      <c r="M177" s="14" t="str">
        <f>CONCATENATE("'",Grunddaten!AA172,"'")</f>
        <v>'Berlin'</v>
      </c>
      <c r="N177" s="14" t="str">
        <f>CONCATENATE("'",Grunddaten!AB172,"'")</f>
        <v>'Sebastianstraße'</v>
      </c>
      <c r="O177" s="14" t="str">
        <f>CONCATENATE("'",Grunddaten!AC172,"'")</f>
        <v>'29D/E'</v>
      </c>
      <c r="P177" s="14">
        <f>Grunddaten!AD172</f>
        <v>1</v>
      </c>
      <c r="R177" s="13">
        <f>Grunddaten!A172</f>
        <v>170</v>
      </c>
      <c r="S177" s="13">
        <f>Grunddaten!AF172</f>
        <v>1</v>
      </c>
      <c r="T177" s="13" t="str">
        <f>CONCATENATE("'",Grunddaten!AG172,"'")</f>
        <v>'030'</v>
      </c>
      <c r="U177" s="13" t="str">
        <f ca="1">CONCATENATE("'",Grunddaten!AH172,"'")</f>
        <v>'78932092'</v>
      </c>
      <c r="V177" s="13">
        <f>Grunddaten!AI174</f>
        <v>1</v>
      </c>
      <c r="Z177" s="2" t="str" cm="1">
        <f t="array" ref="Z177">CONCATENATE("                   ",Liste(B177:H177),IF(Z178&lt;&gt;"",",",""))</f>
        <v xml:space="preserve">                   (170, 'Eisenhardt', 'Rosel', 2, 2, '1984-10-28', '1956-08-29'),</v>
      </c>
      <c r="AB177" s="2" t="str" cm="1">
        <f t="array" aca="1" ref="AB177" ca="1">CONCATENATE("                    ",Liste(J177:P177),IF(AB178&lt;&gt;"",",",""))</f>
        <v xml:space="preserve">                    (170, 1, '13187', 'Berlin', 'Sebastianstraße', '29D/E', 1),</v>
      </c>
      <c r="AD177" s="2" t="str" cm="1">
        <f t="array" aca="1" ref="AD177" ca="1">CONCATENATE("                   ",Liste(R177:V177),IF(AD178&lt;&gt;"",",",""))</f>
        <v xml:space="preserve">                   (170, 1, '030', '78932092', 1),</v>
      </c>
    </row>
    <row r="178" spans="2:30" x14ac:dyDescent="0.45">
      <c r="B178" s="4">
        <f>Grunddaten!A173</f>
        <v>171</v>
      </c>
      <c r="C178" s="4" t="str">
        <f>CONCATENATE("'",Grunddaten!F173,"'")</f>
        <v>'Ullmann'</v>
      </c>
      <c r="D178" s="4" t="str">
        <f>CONCATENATE("'",Grunddaten!E173,"'")</f>
        <v>'Britt'</v>
      </c>
      <c r="E178" s="4">
        <f>VLOOKUP(Grunddaten!D173,FormOfAddress,2,TRUE)</f>
        <v>2</v>
      </c>
      <c r="F178" s="4">
        <f>VLOOKUP(Grunddaten!I173,FamilyStatus,2,FALSE)</f>
        <v>2</v>
      </c>
      <c r="G178" s="4" t="str">
        <f>IF(Grunddaten!J173&lt;&gt;"",CONCATENATE("'",TEXT(Grunddaten!J173,"JJJJ-MM-tt"),"'"),"NULL")</f>
        <v>'1996-01-06'</v>
      </c>
      <c r="H178" s="4" t="str">
        <f>CONCATENATE("'",TEXT(Grunddaten!G173,"JJJJ-MM-tt"),"'")</f>
        <v>'1959-03-15'</v>
      </c>
      <c r="J178" s="14">
        <f>Grunddaten!A173</f>
        <v>171</v>
      </c>
      <c r="K178" s="14">
        <f>Grunddaten!Y173</f>
        <v>1</v>
      </c>
      <c r="L178" s="14" t="str">
        <f ca="1">CONCATENATE("'",Grunddaten!Z173,"'")</f>
        <v>'13597'</v>
      </c>
      <c r="M178" s="14" t="str">
        <f>CONCATENATE("'",Grunddaten!AA173,"'")</f>
        <v>'Berlin'</v>
      </c>
      <c r="N178" s="14" t="str">
        <f>CONCATENATE("'",Grunddaten!AB173,"'")</f>
        <v>'Sonnenplatz'</v>
      </c>
      <c r="O178" s="14" t="str">
        <f>CONCATENATE("'",Grunddaten!AC173,"'")</f>
        <v>'40'</v>
      </c>
      <c r="P178" s="14">
        <f>Grunddaten!AD173</f>
        <v>1</v>
      </c>
      <c r="R178" s="13">
        <f>Grunddaten!A173</f>
        <v>171</v>
      </c>
      <c r="S178" s="13">
        <f>Grunddaten!AF173</f>
        <v>1</v>
      </c>
      <c r="T178" s="13" t="str">
        <f>CONCATENATE("'",Grunddaten!AG173,"'")</f>
        <v>'030'</v>
      </c>
      <c r="U178" s="13" t="str">
        <f ca="1">CONCATENATE("'",Grunddaten!AH173,"'")</f>
        <v>'84212966'</v>
      </c>
      <c r="V178" s="13">
        <f>Grunddaten!AI175</f>
        <v>1</v>
      </c>
      <c r="Z178" s="2" t="str" cm="1">
        <f t="array" ref="Z178">CONCATENATE("                   ",Liste(B178:H178),IF(Z179&lt;&gt;"",",",""))</f>
        <v xml:space="preserve">                   (171, 'Ullmann', 'Britt', 2, 2, '1996-01-06', '1959-03-15'),</v>
      </c>
      <c r="AB178" s="2" t="str" cm="1">
        <f t="array" aca="1" ref="AB178" ca="1">CONCATENATE("                    ",Liste(J178:P178),IF(AB179&lt;&gt;"",",",""))</f>
        <v xml:space="preserve">                    (171, 1, '13597', 'Berlin', 'Sonnenplatz', '40', 1),</v>
      </c>
      <c r="AD178" s="2" t="str" cm="1">
        <f t="array" aca="1" ref="AD178" ca="1">CONCATENATE("                   ",Liste(R178:V178),IF(AD179&lt;&gt;"",",",""))</f>
        <v xml:space="preserve">                   (171, 1, '030', '84212966', 1),</v>
      </c>
    </row>
    <row r="179" spans="2:30" x14ac:dyDescent="0.45">
      <c r="B179" s="4">
        <f>Grunddaten!A174</f>
        <v>172</v>
      </c>
      <c r="C179" s="4" t="str">
        <f>CONCATENATE("'",Grunddaten!F174,"'")</f>
        <v>'Eckhardt'</v>
      </c>
      <c r="D179" s="4" t="str">
        <f>CONCATENATE("'",Grunddaten!E174,"'")</f>
        <v>'Anja'</v>
      </c>
      <c r="E179" s="4">
        <f>VLOOKUP(Grunddaten!D174,FormOfAddress,2,TRUE)</f>
        <v>2</v>
      </c>
      <c r="F179" s="4">
        <f>VLOOKUP(Grunddaten!I174,FamilyStatus,2,FALSE)</f>
        <v>1</v>
      </c>
      <c r="G179" s="4" t="str">
        <f>IF(Grunddaten!J174&lt;&gt;"",CONCATENATE("'",TEXT(Grunddaten!J174,"JJJJ-MM-tt"),"'"),"NULL")</f>
        <v>NULL</v>
      </c>
      <c r="H179" s="4" t="str">
        <f>CONCATENATE("'",TEXT(Grunddaten!G174,"JJJJ-MM-tt"),"'")</f>
        <v>'2005-12-20'</v>
      </c>
      <c r="J179" s="14">
        <f>Grunddaten!A174</f>
        <v>172</v>
      </c>
      <c r="K179" s="14">
        <f>Grunddaten!Y174</f>
        <v>1</v>
      </c>
      <c r="L179" s="14" t="str">
        <f ca="1">CONCATENATE("'",Grunddaten!Z174,"'")</f>
        <v>'13435'</v>
      </c>
      <c r="M179" s="14" t="str">
        <f>CONCATENATE("'",Grunddaten!AA174,"'")</f>
        <v>'Berlin'</v>
      </c>
      <c r="N179" s="14" t="str">
        <f>CONCATENATE("'",Grunddaten!AB174,"'")</f>
        <v>'Gutenbergstraße'</v>
      </c>
      <c r="O179" s="14" t="str">
        <f>CONCATENATE("'",Grunddaten!AC174,"'")</f>
        <v>'39'</v>
      </c>
      <c r="P179" s="14">
        <f>Grunddaten!AD174</f>
        <v>1</v>
      </c>
      <c r="R179" s="13">
        <f>Grunddaten!A174</f>
        <v>172</v>
      </c>
      <c r="S179" s="13">
        <f>Grunddaten!AF174</f>
        <v>1</v>
      </c>
      <c r="T179" s="13" t="str">
        <f>CONCATENATE("'",Grunddaten!AG174,"'")</f>
        <v>'030'</v>
      </c>
      <c r="U179" s="13" t="str">
        <f ca="1">CONCATENATE("'",Grunddaten!AH174,"'")</f>
        <v>'94436123'</v>
      </c>
      <c r="V179" s="13">
        <f>Grunddaten!AI176</f>
        <v>1</v>
      </c>
      <c r="Z179" s="2" t="str" cm="1">
        <f t="array" ref="Z179">CONCATENATE("                   ",Liste(B179:H179),IF(Z180&lt;&gt;"",",",""))</f>
        <v xml:space="preserve">                   (172, 'Eckhardt', 'Anja', 2, 1, NULL, '2005-12-20'),</v>
      </c>
      <c r="AB179" s="2" t="str" cm="1">
        <f t="array" aca="1" ref="AB179" ca="1">CONCATENATE("                    ",Liste(J179:P179),IF(AB180&lt;&gt;"",",",""))</f>
        <v xml:space="preserve">                    (172, 1, '13435', 'Berlin', 'Gutenbergstraße', '39', 1),</v>
      </c>
      <c r="AD179" s="2" t="str" cm="1">
        <f t="array" aca="1" ref="AD179" ca="1">CONCATENATE("                   ",Liste(R179:V179),IF(AD180&lt;&gt;"",",",""))</f>
        <v xml:space="preserve">                   (172, 1, '030', '94436123', 1),</v>
      </c>
    </row>
    <row r="180" spans="2:30" x14ac:dyDescent="0.45">
      <c r="B180" s="4">
        <f>Grunddaten!A175</f>
        <v>173</v>
      </c>
      <c r="C180" s="4" t="str">
        <f>CONCATENATE("'",Grunddaten!F175,"'")</f>
        <v>'Schneider'</v>
      </c>
      <c r="D180" s="4" t="str">
        <f>CONCATENATE("'",Grunddaten!E175,"'")</f>
        <v>'Frank'</v>
      </c>
      <c r="E180" s="4">
        <f>VLOOKUP(Grunddaten!D175,FormOfAddress,2,TRUE)</f>
        <v>1</v>
      </c>
      <c r="F180" s="4">
        <f>VLOOKUP(Grunddaten!I175,FamilyStatus,2,FALSE)</f>
        <v>2</v>
      </c>
      <c r="G180" s="4" t="str">
        <f>IF(Grunddaten!J175&lt;&gt;"",CONCATENATE("'",TEXT(Grunddaten!J175,"JJJJ-MM-tt"),"'"),"NULL")</f>
        <v>'1991-08-01'</v>
      </c>
      <c r="H180" s="4" t="str">
        <f>CONCATENATE("'",TEXT(Grunddaten!G175,"JJJJ-MM-tt"),"'")</f>
        <v>'1957-04-24'</v>
      </c>
      <c r="J180" s="14">
        <f>Grunddaten!A175</f>
        <v>173</v>
      </c>
      <c r="K180" s="14">
        <f>Grunddaten!Y175</f>
        <v>1</v>
      </c>
      <c r="L180" s="14" t="str">
        <f ca="1">CONCATENATE("'",Grunddaten!Z175,"'")</f>
        <v>'14050'</v>
      </c>
      <c r="M180" s="14" t="str">
        <f>CONCATENATE("'",Grunddaten!AA175,"'")</f>
        <v>'Berlin'</v>
      </c>
      <c r="N180" s="14" t="str">
        <f>CONCATENATE("'",Grunddaten!AB175,"'")</f>
        <v>'Gustav-Mahler-Straße'</v>
      </c>
      <c r="O180" s="14" t="str">
        <f>CONCATENATE("'",Grunddaten!AC175,"'")</f>
        <v>'15'</v>
      </c>
      <c r="P180" s="14">
        <f>Grunddaten!AD175</f>
        <v>1</v>
      </c>
      <c r="R180" s="13">
        <f>Grunddaten!A175</f>
        <v>173</v>
      </c>
      <c r="S180" s="13">
        <f>Grunddaten!AF175</f>
        <v>1</v>
      </c>
      <c r="T180" s="13" t="str">
        <f>CONCATENATE("'",Grunddaten!AG175,"'")</f>
        <v>'030'</v>
      </c>
      <c r="U180" s="13" t="str">
        <f ca="1">CONCATENATE("'",Grunddaten!AH175,"'")</f>
        <v>'57419469'</v>
      </c>
      <c r="V180" s="13">
        <f>Grunddaten!AI177</f>
        <v>1</v>
      </c>
      <c r="Z180" s="2" t="str" cm="1">
        <f t="array" ref="Z180">CONCATENATE("                   ",Liste(B180:H180),IF(Z181&lt;&gt;"",",",""))</f>
        <v xml:space="preserve">                   (173, 'Schneider', 'Frank', 1, 2, '1991-08-01', '1957-04-24'),</v>
      </c>
      <c r="AB180" s="2" t="str" cm="1">
        <f t="array" aca="1" ref="AB180" ca="1">CONCATENATE("                    ",Liste(J180:P180),IF(AB181&lt;&gt;"",",",""))</f>
        <v xml:space="preserve">                    (173, 1, '14050', 'Berlin', 'Gustav-Mahler-Straße', '15', 1),</v>
      </c>
      <c r="AD180" s="2" t="str" cm="1">
        <f t="array" aca="1" ref="AD180" ca="1">CONCATENATE("                   ",Liste(R180:V180),IF(AD181&lt;&gt;"",",",""))</f>
        <v xml:space="preserve">                   (173, 1, '030', '57419469', 1),</v>
      </c>
    </row>
    <row r="181" spans="2:30" x14ac:dyDescent="0.45">
      <c r="B181" s="4">
        <f>Grunddaten!A176</f>
        <v>174</v>
      </c>
      <c r="C181" s="4" t="str">
        <f>CONCATENATE("'",Grunddaten!F176,"'")</f>
        <v>'Holzmann'</v>
      </c>
      <c r="D181" s="4" t="str">
        <f>CONCATENATE("'",Grunddaten!E176,"'")</f>
        <v>'Maria'</v>
      </c>
      <c r="E181" s="4">
        <f>VLOOKUP(Grunddaten!D176,FormOfAddress,2,TRUE)</f>
        <v>2</v>
      </c>
      <c r="F181" s="4">
        <f>VLOOKUP(Grunddaten!I176,FamilyStatus,2,FALSE)</f>
        <v>4</v>
      </c>
      <c r="G181" s="4" t="str">
        <f>IF(Grunddaten!J176&lt;&gt;"",CONCATENATE("'",TEXT(Grunddaten!J176,"JJJJ-MM-tt"),"'"),"NULL")</f>
        <v>'2021-01-30'</v>
      </c>
      <c r="H181" s="4" t="str">
        <f>CONCATENATE("'",TEXT(Grunddaten!G176,"JJJJ-MM-tt"),"'")</f>
        <v>'1957-04-22'</v>
      </c>
      <c r="J181" s="14">
        <f>Grunddaten!A176</f>
        <v>174</v>
      </c>
      <c r="K181" s="14">
        <f>Grunddaten!Y176</f>
        <v>1</v>
      </c>
      <c r="L181" s="14" t="str">
        <f ca="1">CONCATENATE("'",Grunddaten!Z176,"'")</f>
        <v>'13597'</v>
      </c>
      <c r="M181" s="14" t="str">
        <f>CONCATENATE("'",Grunddaten!AA176,"'")</f>
        <v>'Berlin'</v>
      </c>
      <c r="N181" s="14" t="str">
        <f>CONCATENATE("'",Grunddaten!AB176,"'")</f>
        <v>'Dallas-Allee'</v>
      </c>
      <c r="O181" s="14" t="str">
        <f>CONCATENATE("'",Grunddaten!AC176,"'")</f>
        <v>'10'</v>
      </c>
      <c r="P181" s="14">
        <f>Grunddaten!AD176</f>
        <v>1</v>
      </c>
      <c r="R181" s="13">
        <f>Grunddaten!A176</f>
        <v>174</v>
      </c>
      <c r="S181" s="13">
        <f>Grunddaten!AF176</f>
        <v>1</v>
      </c>
      <c r="T181" s="13" t="str">
        <f>CONCATENATE("'",Grunddaten!AG176,"'")</f>
        <v>'030'</v>
      </c>
      <c r="U181" s="13" t="str">
        <f ca="1">CONCATENATE("'",Grunddaten!AH176,"'")</f>
        <v>'41594283'</v>
      </c>
      <c r="V181" s="13">
        <f>Grunddaten!AI178</f>
        <v>1</v>
      </c>
      <c r="Z181" s="2" t="str" cm="1">
        <f t="array" ref="Z181">CONCATENATE("                   ",Liste(B181:H181),IF(Z182&lt;&gt;"",",",""))</f>
        <v xml:space="preserve">                   (174, 'Holzmann', 'Maria', 2, 4, '2021-01-30', '1957-04-22'),</v>
      </c>
      <c r="AB181" s="2" t="str" cm="1">
        <f t="array" aca="1" ref="AB181" ca="1">CONCATENATE("                    ",Liste(J181:P181),IF(AB182&lt;&gt;"",",",""))</f>
        <v xml:space="preserve">                    (174, 1, '13597', 'Berlin', 'Dallas-Allee', '10', 1),</v>
      </c>
      <c r="AD181" s="2" t="str" cm="1">
        <f t="array" aca="1" ref="AD181" ca="1">CONCATENATE("                   ",Liste(R181:V181),IF(AD182&lt;&gt;"",",",""))</f>
        <v xml:space="preserve">                   (174, 1, '030', '41594283', 1),</v>
      </c>
    </row>
    <row r="182" spans="2:30" x14ac:dyDescent="0.45">
      <c r="B182" s="4">
        <f>Grunddaten!A177</f>
        <v>175</v>
      </c>
      <c r="C182" s="4" t="str">
        <f>CONCATENATE("'",Grunddaten!F177,"'")</f>
        <v>'Jahn'</v>
      </c>
      <c r="D182" s="4" t="str">
        <f>CONCATENATE("'",Grunddaten!E177,"'")</f>
        <v>'Dieter'</v>
      </c>
      <c r="E182" s="4">
        <f>VLOOKUP(Grunddaten!D177,FormOfAddress,2,TRUE)</f>
        <v>1</v>
      </c>
      <c r="F182" s="4">
        <f>VLOOKUP(Grunddaten!I177,FamilyStatus,2,FALSE)</f>
        <v>1</v>
      </c>
      <c r="G182" s="4" t="str">
        <f>IF(Grunddaten!J177&lt;&gt;"",CONCATENATE("'",TEXT(Grunddaten!J177,"JJJJ-MM-tt"),"'"),"NULL")</f>
        <v>NULL</v>
      </c>
      <c r="H182" s="4" t="str">
        <f>CONCATENATE("'",TEXT(Grunddaten!G177,"JJJJ-MM-tt"),"'")</f>
        <v>'1984-08-19'</v>
      </c>
      <c r="J182" s="14">
        <f>Grunddaten!A177</f>
        <v>175</v>
      </c>
      <c r="K182" s="14">
        <f>Grunddaten!Y177</f>
        <v>1</v>
      </c>
      <c r="L182" s="14" t="str">
        <f ca="1">CONCATENATE("'",Grunddaten!Z177,"'")</f>
        <v>'10707'</v>
      </c>
      <c r="M182" s="14" t="str">
        <f>CONCATENATE("'",Grunddaten!AA177,"'")</f>
        <v>'Berlin'</v>
      </c>
      <c r="N182" s="14" t="str">
        <f>CONCATENATE("'",Grunddaten!AB177,"'")</f>
        <v>'Fasanenstraße'</v>
      </c>
      <c r="O182" s="14" t="str">
        <f>CONCATENATE("'",Grunddaten!AC177,"'")</f>
        <v>'16E'</v>
      </c>
      <c r="P182" s="14">
        <f>Grunddaten!AD177</f>
        <v>1</v>
      </c>
      <c r="R182" s="13">
        <f>Grunddaten!A177</f>
        <v>175</v>
      </c>
      <c r="S182" s="13">
        <f>Grunddaten!AF177</f>
        <v>1</v>
      </c>
      <c r="T182" s="13" t="str">
        <f>CONCATENATE("'",Grunddaten!AG177,"'")</f>
        <v>'030'</v>
      </c>
      <c r="U182" s="13" t="str">
        <f ca="1">CONCATENATE("'",Grunddaten!AH177,"'")</f>
        <v>'68599972'</v>
      </c>
      <c r="V182" s="13">
        <f>Grunddaten!AI179</f>
        <v>1</v>
      </c>
      <c r="Z182" s="2" t="str" cm="1">
        <f t="array" ref="Z182">CONCATENATE("                   ",Liste(B182:H182),IF(Z183&lt;&gt;"",",",""))</f>
        <v xml:space="preserve">                   (175, 'Jahn', 'Dieter', 1, 1, NULL, '1984-08-19'),</v>
      </c>
      <c r="AB182" s="2" t="str" cm="1">
        <f t="array" aca="1" ref="AB182" ca="1">CONCATENATE("                    ",Liste(J182:P182),IF(AB183&lt;&gt;"",",",""))</f>
        <v xml:space="preserve">                    (175, 1, '10707', 'Berlin', 'Fasanenstraße', '16E', 1),</v>
      </c>
      <c r="AD182" s="2" t="str" cm="1">
        <f t="array" aca="1" ref="AD182" ca="1">CONCATENATE("                   ",Liste(R182:V182),IF(AD183&lt;&gt;"",",",""))</f>
        <v xml:space="preserve">                   (175, 1, '030', '68599972', 1),</v>
      </c>
    </row>
    <row r="183" spans="2:30" x14ac:dyDescent="0.45">
      <c r="B183" s="4">
        <f>Grunddaten!A178</f>
        <v>176</v>
      </c>
      <c r="C183" s="4" t="str">
        <f>CONCATENATE("'",Grunddaten!F178,"'")</f>
        <v>'Otto'</v>
      </c>
      <c r="D183" s="4" t="str">
        <f>CONCATENATE("'",Grunddaten!E178,"'")</f>
        <v>'Nadine'</v>
      </c>
      <c r="E183" s="4">
        <f>VLOOKUP(Grunddaten!D178,FormOfAddress,2,TRUE)</f>
        <v>2</v>
      </c>
      <c r="F183" s="4">
        <f>VLOOKUP(Grunddaten!I178,FamilyStatus,2,FALSE)</f>
        <v>2</v>
      </c>
      <c r="G183" s="4" t="str">
        <f>IF(Grunddaten!J178&lt;&gt;"",CONCATENATE("'",TEXT(Grunddaten!J178,"JJJJ-MM-tt"),"'"),"NULL")</f>
        <v>'1990-04-02'</v>
      </c>
      <c r="H183" s="4" t="str">
        <f>CONCATENATE("'",TEXT(Grunddaten!G178,"JJJJ-MM-tt"),"'")</f>
        <v>'1957-07-15'</v>
      </c>
      <c r="J183" s="14">
        <f>Grunddaten!A178</f>
        <v>176</v>
      </c>
      <c r="K183" s="14">
        <f>Grunddaten!Y178</f>
        <v>1</v>
      </c>
      <c r="L183" s="14" t="str">
        <f ca="1">CONCATENATE("'",Grunddaten!Z178,"'")</f>
        <v>'14050'</v>
      </c>
      <c r="M183" s="14" t="str">
        <f>CONCATENATE("'",Grunddaten!AA178,"'")</f>
        <v>'Berlin'</v>
      </c>
      <c r="N183" s="14" t="str">
        <f>CONCATENATE("'",Grunddaten!AB178,"'")</f>
        <v>'Falkenstraße'</v>
      </c>
      <c r="O183" s="14" t="str">
        <f>CONCATENATE("'",Grunddaten!AC178,"'")</f>
        <v>'76'</v>
      </c>
      <c r="P183" s="14">
        <f>Grunddaten!AD178</f>
        <v>1</v>
      </c>
      <c r="R183" s="13">
        <f>Grunddaten!A178</f>
        <v>176</v>
      </c>
      <c r="S183" s="13">
        <f>Grunddaten!AF178</f>
        <v>1</v>
      </c>
      <c r="T183" s="13" t="str">
        <f>CONCATENATE("'",Grunddaten!AG178,"'")</f>
        <v>'030'</v>
      </c>
      <c r="U183" s="13" t="str">
        <f ca="1">CONCATENATE("'",Grunddaten!AH178,"'")</f>
        <v>'55908352'</v>
      </c>
      <c r="V183" s="13">
        <f>Grunddaten!AI180</f>
        <v>1</v>
      </c>
      <c r="Z183" s="2" t="str" cm="1">
        <f t="array" ref="Z183">CONCATENATE("                   ",Liste(B183:H183),IF(Z184&lt;&gt;"",",",""))</f>
        <v xml:space="preserve">                   (176, 'Otto', 'Nadine', 2, 2, '1990-04-02', '1957-07-15'),</v>
      </c>
      <c r="AB183" s="2" t="str" cm="1">
        <f t="array" aca="1" ref="AB183" ca="1">CONCATENATE("                    ",Liste(J183:P183),IF(AB184&lt;&gt;"",",",""))</f>
        <v xml:space="preserve">                    (176, 1, '14050', 'Berlin', 'Falkenstraße', '76', 1),</v>
      </c>
      <c r="AD183" s="2" t="str" cm="1">
        <f t="array" aca="1" ref="AD183" ca="1">CONCATENATE("                   ",Liste(R183:V183),IF(AD184&lt;&gt;"",",",""))</f>
        <v xml:space="preserve">                   (176, 1, '030', '55908352', 1),</v>
      </c>
    </row>
    <row r="184" spans="2:30" x14ac:dyDescent="0.45">
      <c r="B184" s="4">
        <f>Grunddaten!A179</f>
        <v>177</v>
      </c>
      <c r="C184" s="4" t="str">
        <f>CONCATENATE("'",Grunddaten!F179,"'")</f>
        <v>'Rau'</v>
      </c>
      <c r="D184" s="4" t="str">
        <f>CONCATENATE("'",Grunddaten!E179,"'")</f>
        <v>'Christel'</v>
      </c>
      <c r="E184" s="4">
        <f>VLOOKUP(Grunddaten!D179,FormOfAddress,2,TRUE)</f>
        <v>2</v>
      </c>
      <c r="F184" s="4">
        <f>VLOOKUP(Grunddaten!I179,FamilyStatus,2,FALSE)</f>
        <v>2</v>
      </c>
      <c r="G184" s="4" t="str">
        <f>IF(Grunddaten!J179&lt;&gt;"",CONCATENATE("'",TEXT(Grunddaten!J179,"JJJJ-MM-tt"),"'"),"NULL")</f>
        <v>'2003-06-13'</v>
      </c>
      <c r="H184" s="4" t="str">
        <f>CONCATENATE("'",TEXT(Grunddaten!G179,"JJJJ-MM-tt"),"'")</f>
        <v>'1975-06-03'</v>
      </c>
      <c r="J184" s="14">
        <f>Grunddaten!A179</f>
        <v>177</v>
      </c>
      <c r="K184" s="14">
        <f>Grunddaten!Y179</f>
        <v>1</v>
      </c>
      <c r="L184" s="14" t="str">
        <f ca="1">CONCATENATE("'",Grunddaten!Z179,"'")</f>
        <v>'13156'</v>
      </c>
      <c r="M184" s="14" t="str">
        <f>CONCATENATE("'",Grunddaten!AA179,"'")</f>
        <v>'Berlin'</v>
      </c>
      <c r="N184" s="14" t="str">
        <f>CONCATENATE("'",Grunddaten!AB179,"'")</f>
        <v>'Romstraße'</v>
      </c>
      <c r="O184" s="14" t="str">
        <f>CONCATENATE("'",Grunddaten!AC179,"'")</f>
        <v>'7'</v>
      </c>
      <c r="P184" s="14">
        <f>Grunddaten!AD179</f>
        <v>1</v>
      </c>
      <c r="R184" s="13">
        <f>Grunddaten!A179</f>
        <v>177</v>
      </c>
      <c r="S184" s="13">
        <f>Grunddaten!AF179</f>
        <v>1</v>
      </c>
      <c r="T184" s="13" t="str">
        <f>CONCATENATE("'",Grunddaten!AG179,"'")</f>
        <v>'030'</v>
      </c>
      <c r="U184" s="13" t="str">
        <f ca="1">CONCATENATE("'",Grunddaten!AH179,"'")</f>
        <v>'64542133'</v>
      </c>
      <c r="V184" s="13">
        <f>Grunddaten!AI181</f>
        <v>1</v>
      </c>
      <c r="Z184" s="2" t="str" cm="1">
        <f t="array" ref="Z184">CONCATENATE("                   ",Liste(B184:H184),IF(Z185&lt;&gt;"",",",""))</f>
        <v xml:space="preserve">                   (177, 'Rau', 'Christel', 2, 2, '2003-06-13', '1975-06-03'),</v>
      </c>
      <c r="AB184" s="2" t="str" cm="1">
        <f t="array" aca="1" ref="AB184" ca="1">CONCATENATE("                    ",Liste(J184:P184),IF(AB185&lt;&gt;"",",",""))</f>
        <v xml:space="preserve">                    (177, 1, '13156', 'Berlin', 'Romstraße', '7', 1),</v>
      </c>
      <c r="AD184" s="2" t="str" cm="1">
        <f t="array" aca="1" ref="AD184" ca="1">CONCATENATE("                   ",Liste(R184:V184),IF(AD185&lt;&gt;"",",",""))</f>
        <v xml:space="preserve">                   (177, 1, '030', '64542133', 1),</v>
      </c>
    </row>
    <row r="185" spans="2:30" x14ac:dyDescent="0.45">
      <c r="B185" s="4">
        <f>Grunddaten!A180</f>
        <v>178</v>
      </c>
      <c r="C185" s="4" t="str">
        <f>CONCATENATE("'",Grunddaten!F180,"'")</f>
        <v>'Lehmann'</v>
      </c>
      <c r="D185" s="4" t="str">
        <f>CONCATENATE("'",Grunddaten!E180,"'")</f>
        <v>'Dustin'</v>
      </c>
      <c r="E185" s="4">
        <f>VLOOKUP(Grunddaten!D180,FormOfAddress,2,TRUE)</f>
        <v>1</v>
      </c>
      <c r="F185" s="4">
        <f>VLOOKUP(Grunddaten!I180,FamilyStatus,2,FALSE)</f>
        <v>2</v>
      </c>
      <c r="G185" s="4" t="str">
        <f>IF(Grunddaten!J180&lt;&gt;"",CONCATENATE("'",TEXT(Grunddaten!J180,"JJJJ-MM-tt"),"'"),"NULL")</f>
        <v>'1978-11-30'</v>
      </c>
      <c r="H185" s="4" t="str">
        <f>CONCATENATE("'",TEXT(Grunddaten!G180,"JJJJ-MM-tt"),"'")</f>
        <v>'1954-05-21'</v>
      </c>
      <c r="J185" s="14">
        <f>Grunddaten!A180</f>
        <v>178</v>
      </c>
      <c r="K185" s="14">
        <f>Grunddaten!Y180</f>
        <v>1</v>
      </c>
      <c r="L185" s="14" t="str">
        <f ca="1">CONCATENATE("'",Grunddaten!Z180,"'")</f>
        <v>'14050'</v>
      </c>
      <c r="M185" s="14" t="str">
        <f>CONCATENATE("'",Grunddaten!AA180,"'")</f>
        <v>'Berlin'</v>
      </c>
      <c r="N185" s="14" t="str">
        <f>CONCATENATE("'",Grunddaten!AB180,"'")</f>
        <v>'Tokiostraße'</v>
      </c>
      <c r="O185" s="14" t="str">
        <f>CONCATENATE("'",Grunddaten!AC180,"'")</f>
        <v>'29'</v>
      </c>
      <c r="P185" s="14">
        <f>Grunddaten!AD180</f>
        <v>1</v>
      </c>
      <c r="R185" s="13">
        <f>Grunddaten!A180</f>
        <v>178</v>
      </c>
      <c r="S185" s="13">
        <f>Grunddaten!AF180</f>
        <v>1</v>
      </c>
      <c r="T185" s="13" t="str">
        <f>CONCATENATE("'",Grunddaten!AG180,"'")</f>
        <v>'030'</v>
      </c>
      <c r="U185" s="13" t="str">
        <f ca="1">CONCATENATE("'",Grunddaten!AH180,"'")</f>
        <v>'54972500'</v>
      </c>
      <c r="V185" s="13">
        <f>Grunddaten!AI182</f>
        <v>1</v>
      </c>
      <c r="Z185" s="2" t="str" cm="1">
        <f t="array" ref="Z185">CONCATENATE("                   ",Liste(B185:H185),IF(Z186&lt;&gt;"",",",""))</f>
        <v xml:space="preserve">                   (178, 'Lehmann', 'Dustin', 1, 2, '1978-11-30', '1954-05-21'),</v>
      </c>
      <c r="AB185" s="2" t="str" cm="1">
        <f t="array" aca="1" ref="AB185" ca="1">CONCATENATE("                    ",Liste(J185:P185),IF(AB186&lt;&gt;"",",",""))</f>
        <v xml:space="preserve">                    (178, 1, '14050', 'Berlin', 'Tokiostraße', '29', 1),</v>
      </c>
      <c r="AD185" s="2" t="str" cm="1">
        <f t="array" aca="1" ref="AD185" ca="1">CONCATENATE("                   ",Liste(R185:V185),IF(AD186&lt;&gt;"",",",""))</f>
        <v xml:space="preserve">                   (178, 1, '030', '54972500', 1),</v>
      </c>
    </row>
    <row r="186" spans="2:30" x14ac:dyDescent="0.45">
      <c r="B186" s="4">
        <f>Grunddaten!A181</f>
        <v>179</v>
      </c>
      <c r="C186" s="4" t="str">
        <f>CONCATENATE("'",Grunddaten!F181,"'")</f>
        <v>'Bergmann'</v>
      </c>
      <c r="D186" s="4" t="str">
        <f>CONCATENATE("'",Grunddaten!E181,"'")</f>
        <v>'Andreas'</v>
      </c>
      <c r="E186" s="4">
        <f>VLOOKUP(Grunddaten!D181,FormOfAddress,2,TRUE)</f>
        <v>1</v>
      </c>
      <c r="F186" s="4">
        <f>VLOOKUP(Grunddaten!I181,FamilyStatus,2,FALSE)</f>
        <v>2</v>
      </c>
      <c r="G186" s="4" t="str">
        <f>IF(Grunddaten!J181&lt;&gt;"",CONCATENATE("'",TEXT(Grunddaten!J181,"JJJJ-MM-tt"),"'"),"NULL")</f>
        <v>'1997-07-14'</v>
      </c>
      <c r="H186" s="4" t="str">
        <f>CONCATENATE("'",TEXT(Grunddaten!G181,"JJJJ-MM-tt"),"'")</f>
        <v>'1962-09-26'</v>
      </c>
      <c r="J186" s="14">
        <f>Grunddaten!A181</f>
        <v>179</v>
      </c>
      <c r="K186" s="14">
        <f>Grunddaten!Y181</f>
        <v>1</v>
      </c>
      <c r="L186" s="14" t="str">
        <f ca="1">CONCATENATE("'",Grunddaten!Z181,"'")</f>
        <v>'12157'</v>
      </c>
      <c r="M186" s="14" t="str">
        <f>CONCATENATE("'",Grunddaten!AA181,"'")</f>
        <v>'Berlin'</v>
      </c>
      <c r="N186" s="14" t="str">
        <f>CONCATENATE("'",Grunddaten!AB181,"'")</f>
        <v>'Gustav-Stresemann-Straße'</v>
      </c>
      <c r="O186" s="14" t="str">
        <f>CONCATENATE("'",Grunddaten!AC181,"'")</f>
        <v>'53'</v>
      </c>
      <c r="P186" s="14">
        <f>Grunddaten!AD181</f>
        <v>1</v>
      </c>
      <c r="R186" s="13">
        <f>Grunddaten!A181</f>
        <v>179</v>
      </c>
      <c r="S186" s="13">
        <f>Grunddaten!AF181</f>
        <v>1</v>
      </c>
      <c r="T186" s="13" t="str">
        <f>CONCATENATE("'",Grunddaten!AG181,"'")</f>
        <v>'030'</v>
      </c>
      <c r="U186" s="13" t="str">
        <f ca="1">CONCATENATE("'",Grunddaten!AH181,"'")</f>
        <v>'93504247'</v>
      </c>
      <c r="V186" s="13">
        <f>Grunddaten!AI183</f>
        <v>1</v>
      </c>
      <c r="Z186" s="2" t="str" cm="1">
        <f t="array" ref="Z186">CONCATENATE("                   ",Liste(B186:H186),IF(Z187&lt;&gt;"",",",""))</f>
        <v xml:space="preserve">                   (179, 'Bergmann', 'Andreas', 1, 2, '1997-07-14', '1962-09-26'),</v>
      </c>
      <c r="AB186" s="2" t="str" cm="1">
        <f t="array" aca="1" ref="AB186" ca="1">CONCATENATE("                    ",Liste(J186:P186),IF(AB187&lt;&gt;"",",",""))</f>
        <v xml:space="preserve">                    (179, 1, '12157', 'Berlin', 'Gustav-Stresemann-Straße', '53', 1),</v>
      </c>
      <c r="AD186" s="2" t="str" cm="1">
        <f t="array" aca="1" ref="AD186" ca="1">CONCATENATE("                   ",Liste(R186:V186),IF(AD187&lt;&gt;"",",",""))</f>
        <v xml:space="preserve">                   (179, 1, '030', '93504247', 1),</v>
      </c>
    </row>
    <row r="187" spans="2:30" x14ac:dyDescent="0.45">
      <c r="B187" s="4">
        <f>Grunddaten!A182</f>
        <v>180</v>
      </c>
      <c r="C187" s="4" t="str">
        <f>CONCATENATE("'",Grunddaten!F182,"'")</f>
        <v>'Winders'</v>
      </c>
      <c r="D187" s="4" t="str">
        <f>CONCATENATE("'",Grunddaten!E182,"'")</f>
        <v>'Melanie'</v>
      </c>
      <c r="E187" s="4">
        <f>VLOOKUP(Grunddaten!D182,FormOfAddress,2,TRUE)</f>
        <v>2</v>
      </c>
      <c r="F187" s="4">
        <f>VLOOKUP(Grunddaten!I182,FamilyStatus,2,FALSE)</f>
        <v>2</v>
      </c>
      <c r="G187" s="4" t="str">
        <f>IF(Grunddaten!J182&lt;&gt;"",CONCATENATE("'",TEXT(Grunddaten!J182,"JJJJ-MM-tt"),"'"),"NULL")</f>
        <v>'2005-02-13'</v>
      </c>
      <c r="H187" s="4" t="str">
        <f>CONCATENATE("'",TEXT(Grunddaten!G182,"JJJJ-MM-tt"),"'")</f>
        <v>'1980-01-09'</v>
      </c>
      <c r="J187" s="14">
        <f>Grunddaten!A182</f>
        <v>180</v>
      </c>
      <c r="K187" s="14">
        <f>Grunddaten!Y182</f>
        <v>1</v>
      </c>
      <c r="L187" s="14" t="str">
        <f ca="1">CONCATENATE("'",Grunddaten!Z182,"'")</f>
        <v>'14806'</v>
      </c>
      <c r="M187" s="14" t="str">
        <f>CONCATENATE("'",Grunddaten!AA182,"'")</f>
        <v>'Belzig'</v>
      </c>
      <c r="N187" s="14" t="str">
        <f>CONCATENATE("'",Grunddaten!AB182,"'")</f>
        <v>'Kapstadtweg'</v>
      </c>
      <c r="O187" s="14" t="str">
        <f>CONCATENATE("'",Grunddaten!AC182,"'")</f>
        <v>'15'</v>
      </c>
      <c r="P187" s="14">
        <f>Grunddaten!AD182</f>
        <v>1</v>
      </c>
      <c r="R187" s="13">
        <f>Grunddaten!A182</f>
        <v>180</v>
      </c>
      <c r="S187" s="13">
        <f>Grunddaten!AF182</f>
        <v>1</v>
      </c>
      <c r="T187" s="13" t="str">
        <f>CONCATENATE("'",Grunddaten!AG182,"'")</f>
        <v>'033841'</v>
      </c>
      <c r="U187" s="13" t="str">
        <f ca="1">CONCATENATE("'",Grunddaten!AH182,"'")</f>
        <v>'9486'</v>
      </c>
      <c r="V187" s="13">
        <f>Grunddaten!AI184</f>
        <v>1</v>
      </c>
      <c r="Z187" s="2" t="str" cm="1">
        <f t="array" ref="Z187">CONCATENATE("                   ",Liste(B187:H187),IF(Z188&lt;&gt;"",",",""))</f>
        <v xml:space="preserve">                   (180, 'Winders', 'Melanie', 2, 2, '2005-02-13', '1980-01-09'),</v>
      </c>
      <c r="AB187" s="2" t="str" cm="1">
        <f t="array" aca="1" ref="AB187" ca="1">CONCATENATE("                    ",Liste(J187:P187),IF(AB188&lt;&gt;"",",",""))</f>
        <v xml:space="preserve">                    (180, 1, '14806', 'Belzig', 'Kapstadtweg', '15', 1),</v>
      </c>
      <c r="AD187" s="2" t="str" cm="1">
        <f t="array" aca="1" ref="AD187" ca="1">CONCATENATE("                   ",Liste(R187:V187),IF(AD188&lt;&gt;"",",",""))</f>
        <v xml:space="preserve">                   (180, 1, '033841', '9486', 1),</v>
      </c>
    </row>
    <row r="188" spans="2:30" x14ac:dyDescent="0.45">
      <c r="B188" s="4">
        <f>Grunddaten!A183</f>
        <v>181</v>
      </c>
      <c r="C188" s="4" t="str">
        <f>CONCATENATE("'",Grunddaten!F183,"'")</f>
        <v>'Lepkowski'</v>
      </c>
      <c r="D188" s="4" t="str">
        <f>CONCATENATE("'",Grunddaten!E183,"'")</f>
        <v>'Julia'</v>
      </c>
      <c r="E188" s="4">
        <f>VLOOKUP(Grunddaten!D183,FormOfAddress,2,TRUE)</f>
        <v>2</v>
      </c>
      <c r="F188" s="4">
        <f>VLOOKUP(Grunddaten!I183,FamilyStatus,2,FALSE)</f>
        <v>1</v>
      </c>
      <c r="G188" s="4" t="str">
        <f>IF(Grunddaten!J183&lt;&gt;"",CONCATENATE("'",TEXT(Grunddaten!J183,"JJJJ-MM-tt"),"'"),"NULL")</f>
        <v>NULL</v>
      </c>
      <c r="H188" s="4" t="str">
        <f>CONCATENATE("'",TEXT(Grunddaten!G183,"JJJJ-MM-tt"),"'")</f>
        <v>'1976-05-08'</v>
      </c>
      <c r="J188" s="14">
        <f>Grunddaten!A183</f>
        <v>181</v>
      </c>
      <c r="K188" s="14">
        <f>Grunddaten!Y183</f>
        <v>1</v>
      </c>
      <c r="L188" s="14" t="str">
        <f ca="1">CONCATENATE("'",Grunddaten!Z183,"'")</f>
        <v>'12524'</v>
      </c>
      <c r="M188" s="14" t="str">
        <f>CONCATENATE("'",Grunddaten!AA183,"'")</f>
        <v>'Berlin'</v>
      </c>
      <c r="N188" s="14" t="str">
        <f>CONCATENATE("'",Grunddaten!AB183,"'")</f>
        <v>'Eichenstraße'</v>
      </c>
      <c r="O188" s="14" t="str">
        <f>CONCATENATE("'",Grunddaten!AC183,"'")</f>
        <v>'7'</v>
      </c>
      <c r="P188" s="14">
        <f>Grunddaten!AD183</f>
        <v>1</v>
      </c>
      <c r="R188" s="13">
        <f>Grunddaten!A183</f>
        <v>181</v>
      </c>
      <c r="S188" s="13">
        <f>Grunddaten!AF183</f>
        <v>1</v>
      </c>
      <c r="T188" s="13" t="str">
        <f>CONCATENATE("'",Grunddaten!AG183,"'")</f>
        <v>'030'</v>
      </c>
      <c r="U188" s="13" t="str">
        <f ca="1">CONCATENATE("'",Grunddaten!AH183,"'")</f>
        <v>'98354152'</v>
      </c>
      <c r="V188" s="13">
        <f>Grunddaten!AI185</f>
        <v>1</v>
      </c>
      <c r="Z188" s="2" t="str" cm="1">
        <f t="array" ref="Z188">CONCATENATE("                   ",Liste(B188:H188),IF(Z189&lt;&gt;"",",",""))</f>
        <v xml:space="preserve">                   (181, 'Lepkowski', 'Julia', 2, 1, NULL, '1976-05-08'),</v>
      </c>
      <c r="AB188" s="2" t="str" cm="1">
        <f t="array" aca="1" ref="AB188" ca="1">CONCATENATE("                    ",Liste(J188:P188),IF(AB189&lt;&gt;"",",",""))</f>
        <v xml:space="preserve">                    (181, 1, '12524', 'Berlin', 'Eichenstraße', '7', 1),</v>
      </c>
      <c r="AD188" s="2" t="str" cm="1">
        <f t="array" aca="1" ref="AD188" ca="1">CONCATENATE("                   ",Liste(R188:V188),IF(AD189&lt;&gt;"",",",""))</f>
        <v xml:space="preserve">                   (181, 1, '030', '98354152', 1),</v>
      </c>
    </row>
    <row r="189" spans="2:30" x14ac:dyDescent="0.45">
      <c r="B189" s="4">
        <f>Grunddaten!A184</f>
        <v>182</v>
      </c>
      <c r="C189" s="4" t="str">
        <f>CONCATENATE("'",Grunddaten!F184,"'")</f>
        <v>'Herrmann'</v>
      </c>
      <c r="D189" s="4" t="str">
        <f>CONCATENATE("'",Grunddaten!E184,"'")</f>
        <v>'Eve'</v>
      </c>
      <c r="E189" s="4">
        <f>VLOOKUP(Grunddaten!D184,FormOfAddress,2,TRUE)</f>
        <v>2</v>
      </c>
      <c r="F189" s="4">
        <f>VLOOKUP(Grunddaten!I184,FamilyStatus,2,FALSE)</f>
        <v>2</v>
      </c>
      <c r="G189" s="4" t="str">
        <f>IF(Grunddaten!J184&lt;&gt;"",CONCATENATE("'",TEXT(Grunddaten!J184,"JJJJ-MM-tt"),"'"),"NULL")</f>
        <v>'1985-08-09'</v>
      </c>
      <c r="H189" s="4" t="str">
        <f>CONCATENATE("'",TEXT(Grunddaten!G184,"JJJJ-MM-tt"),"'")</f>
        <v>'1954-08-11'</v>
      </c>
      <c r="J189" s="14">
        <f>Grunddaten!A184</f>
        <v>182</v>
      </c>
      <c r="K189" s="14">
        <f>Grunddaten!Y184</f>
        <v>1</v>
      </c>
      <c r="L189" s="14" t="str">
        <f ca="1">CONCATENATE("'",Grunddaten!Z184,"'")</f>
        <v>'14806'</v>
      </c>
      <c r="M189" s="14" t="str">
        <f>CONCATENATE("'",Grunddaten!AA184,"'")</f>
        <v>'Belzig'</v>
      </c>
      <c r="N189" s="14" t="str">
        <f>CONCATENATE("'",Grunddaten!AB184,"'")</f>
        <v>'Erlenweg'</v>
      </c>
      <c r="O189" s="14" t="str">
        <f>CONCATENATE("'",Grunddaten!AC184,"'")</f>
        <v>'14'</v>
      </c>
      <c r="P189" s="14">
        <f>Grunddaten!AD184</f>
        <v>1</v>
      </c>
      <c r="R189" s="13">
        <f>Grunddaten!A184</f>
        <v>182</v>
      </c>
      <c r="S189" s="13">
        <f>Grunddaten!AF184</f>
        <v>1</v>
      </c>
      <c r="T189" s="13" t="str">
        <f>CONCATENATE("'",Grunddaten!AG184,"'")</f>
        <v>'033841'</v>
      </c>
      <c r="U189" s="13" t="str">
        <f ca="1">CONCATENATE("'",Grunddaten!AH184,"'")</f>
        <v>'4702'</v>
      </c>
      <c r="V189" s="13">
        <f>Grunddaten!AI186</f>
        <v>1</v>
      </c>
      <c r="Z189" s="2" t="str" cm="1">
        <f t="array" ref="Z189">CONCATENATE("                   ",Liste(B189:H189),IF(Z190&lt;&gt;"",",",""))</f>
        <v xml:space="preserve">                   (182, 'Herrmann', 'Eve', 2, 2, '1985-08-09', '1954-08-11'),</v>
      </c>
      <c r="AB189" s="2" t="str" cm="1">
        <f t="array" aca="1" ref="AB189" ca="1">CONCATENATE("                    ",Liste(J189:P189),IF(AB190&lt;&gt;"",",",""))</f>
        <v xml:space="preserve">                    (182, 1, '14806', 'Belzig', 'Erlenweg', '14', 1),</v>
      </c>
      <c r="AD189" s="2" t="str" cm="1">
        <f t="array" aca="1" ref="AD189" ca="1">CONCATENATE("                   ",Liste(R189:V189),IF(AD190&lt;&gt;"",",",""))</f>
        <v xml:space="preserve">                   (182, 1, '033841', '4702', 1),</v>
      </c>
    </row>
    <row r="190" spans="2:30" x14ac:dyDescent="0.45">
      <c r="B190" s="4">
        <f>Grunddaten!A185</f>
        <v>183</v>
      </c>
      <c r="C190" s="4" t="str">
        <f>CONCATENATE("'",Grunddaten!F185,"'")</f>
        <v>'Bommel'</v>
      </c>
      <c r="D190" s="4" t="str">
        <f>CONCATENATE("'",Grunddaten!E185,"'")</f>
        <v>'Heiko'</v>
      </c>
      <c r="E190" s="4">
        <f>VLOOKUP(Grunddaten!D185,FormOfAddress,2,TRUE)</f>
        <v>1</v>
      </c>
      <c r="F190" s="4">
        <f>VLOOKUP(Grunddaten!I185,FamilyStatus,2,FALSE)</f>
        <v>4</v>
      </c>
      <c r="G190" s="4" t="str">
        <f>IF(Grunddaten!J185&lt;&gt;"",CONCATENATE("'",TEXT(Grunddaten!J185,"JJJJ-MM-tt"),"'"),"NULL")</f>
        <v>'2023-12-14'</v>
      </c>
      <c r="H190" s="4" t="str">
        <f>CONCATENATE("'",TEXT(Grunddaten!G185,"JJJJ-MM-tt"),"'")</f>
        <v>'1962-06-24'</v>
      </c>
      <c r="J190" s="14">
        <f>Grunddaten!A185</f>
        <v>183</v>
      </c>
      <c r="K190" s="14">
        <f>Grunddaten!Y185</f>
        <v>1</v>
      </c>
      <c r="L190" s="14" t="str">
        <f ca="1">CONCATENATE("'",Grunddaten!Z185,"'")</f>
        <v>'14513'</v>
      </c>
      <c r="M190" s="14" t="str">
        <f>CONCATENATE("'",Grunddaten!AA185,"'")</f>
        <v>'Teltow'</v>
      </c>
      <c r="N190" s="14" t="str">
        <f>CONCATENATE("'",Grunddaten!AB185,"'")</f>
        <v>'Karlstraße'</v>
      </c>
      <c r="O190" s="14" t="str">
        <f>CONCATENATE("'",Grunddaten!AC185,"'")</f>
        <v>'10'</v>
      </c>
      <c r="P190" s="14">
        <f>Grunddaten!AD185</f>
        <v>1</v>
      </c>
      <c r="R190" s="13">
        <f>Grunddaten!A185</f>
        <v>183</v>
      </c>
      <c r="S190" s="13">
        <f>Grunddaten!AF185</f>
        <v>1</v>
      </c>
      <c r="T190" s="13" t="str">
        <f>CONCATENATE("'",Grunddaten!AG185,"'")</f>
        <v>'03328'</v>
      </c>
      <c r="U190" s="13" t="str">
        <f ca="1">CONCATENATE("'",Grunddaten!AH185,"'")</f>
        <v>'64907'</v>
      </c>
      <c r="V190" s="13">
        <f>Grunddaten!AI187</f>
        <v>1</v>
      </c>
      <c r="Z190" s="2" t="str" cm="1">
        <f t="array" ref="Z190">CONCATENATE("                   ",Liste(B190:H190),IF(Z191&lt;&gt;"",",",""))</f>
        <v xml:space="preserve">                   (183, 'Bommel', 'Heiko', 1, 4, '2023-12-14', '1962-06-24'),</v>
      </c>
      <c r="AB190" s="2" t="str" cm="1">
        <f t="array" aca="1" ref="AB190" ca="1">CONCATENATE("                    ",Liste(J190:P190),IF(AB191&lt;&gt;"",",",""))</f>
        <v xml:space="preserve">                    (183, 1, '14513', 'Teltow', 'Karlstraße', '10', 1),</v>
      </c>
      <c r="AD190" s="2" t="str" cm="1">
        <f t="array" aca="1" ref="AD190" ca="1">CONCATENATE("                   ",Liste(R190:V190),IF(AD191&lt;&gt;"",",",""))</f>
        <v xml:space="preserve">                   (183, 1, '03328', '64907', 1),</v>
      </c>
    </row>
    <row r="191" spans="2:30" x14ac:dyDescent="0.45">
      <c r="B191" s="4">
        <f>Grunddaten!A186</f>
        <v>184</v>
      </c>
      <c r="C191" s="4" t="str">
        <f>CONCATENATE("'",Grunddaten!F186,"'")</f>
        <v>'Marquardt'</v>
      </c>
      <c r="D191" s="4" t="str">
        <f>CONCATENATE("'",Grunddaten!E186,"'")</f>
        <v>'Stephanie'</v>
      </c>
      <c r="E191" s="4">
        <f>VLOOKUP(Grunddaten!D186,FormOfAddress,2,TRUE)</f>
        <v>2</v>
      </c>
      <c r="F191" s="4">
        <f>VLOOKUP(Grunddaten!I186,FamilyStatus,2,FALSE)</f>
        <v>2</v>
      </c>
      <c r="G191" s="4" t="str">
        <f>IF(Grunddaten!J186&lt;&gt;"",CONCATENATE("'",TEXT(Grunddaten!J186,"JJJJ-MM-tt"),"'"),"NULL")</f>
        <v>'2010-05-15'</v>
      </c>
      <c r="H191" s="4" t="str">
        <f>CONCATENATE("'",TEXT(Grunddaten!G186,"JJJJ-MM-tt"),"'")</f>
        <v>'1986-02-11'</v>
      </c>
      <c r="J191" s="14">
        <f>Grunddaten!A186</f>
        <v>184</v>
      </c>
      <c r="K191" s="14">
        <f>Grunddaten!Y186</f>
        <v>1</v>
      </c>
      <c r="L191" s="14" t="str">
        <f ca="1">CONCATENATE("'",Grunddaten!Z186,"'")</f>
        <v>'14542'</v>
      </c>
      <c r="M191" s="14" t="str">
        <f>CONCATENATE("'",Grunddaten!AA186,"'")</f>
        <v>'Werder (Havel)'</v>
      </c>
      <c r="N191" s="14" t="str">
        <f>CONCATENATE("'",Grunddaten!AB186,"'")</f>
        <v>'Marktplatz'</v>
      </c>
      <c r="O191" s="14" t="str">
        <f>CONCATENATE("'",Grunddaten!AC186,"'")</f>
        <v>'14'</v>
      </c>
      <c r="P191" s="14">
        <f>Grunddaten!AD186</f>
        <v>1</v>
      </c>
      <c r="R191" s="13">
        <f>Grunddaten!A186</f>
        <v>184</v>
      </c>
      <c r="S191" s="13">
        <f>Grunddaten!AF186</f>
        <v>1</v>
      </c>
      <c r="T191" s="13" t="str">
        <f>CONCATENATE("'",Grunddaten!AG186,"'")</f>
        <v>'03327'</v>
      </c>
      <c r="U191" s="13" t="str">
        <f ca="1">CONCATENATE("'",Grunddaten!AH186,"'")</f>
        <v>'92200'</v>
      </c>
      <c r="V191" s="13">
        <f>Grunddaten!AI188</f>
        <v>1</v>
      </c>
      <c r="Z191" s="2" t="str" cm="1">
        <f t="array" ref="Z191">CONCATENATE("                   ",Liste(B191:H191),IF(Z192&lt;&gt;"",",",""))</f>
        <v xml:space="preserve">                   (184, 'Marquardt', 'Stephanie', 2, 2, '2010-05-15', '1986-02-11'),</v>
      </c>
      <c r="AB191" s="2" t="str" cm="1">
        <f t="array" aca="1" ref="AB191" ca="1">CONCATENATE("                    ",Liste(J191:P191),IF(AB192&lt;&gt;"",",",""))</f>
        <v xml:space="preserve">                    (184, 1, '14542', 'Werder (Havel)', 'Marktplatz', '14', 1),</v>
      </c>
      <c r="AD191" s="2" t="str" cm="1">
        <f t="array" aca="1" ref="AD191" ca="1">CONCATENATE("                   ",Liste(R191:V191),IF(AD192&lt;&gt;"",",",""))</f>
        <v xml:space="preserve">                   (184, 1, '03327', '92200', 1),</v>
      </c>
    </row>
    <row r="192" spans="2:30" x14ac:dyDescent="0.45">
      <c r="B192" s="4">
        <f>Grunddaten!A187</f>
        <v>185</v>
      </c>
      <c r="C192" s="4" t="str">
        <f>CONCATENATE("'",Grunddaten!F187,"'")</f>
        <v>'Bergmann'</v>
      </c>
      <c r="D192" s="4" t="str">
        <f>CONCATENATE("'",Grunddaten!E187,"'")</f>
        <v>'Ingeborg'</v>
      </c>
      <c r="E192" s="4">
        <f>VLOOKUP(Grunddaten!D187,FormOfAddress,2,TRUE)</f>
        <v>2</v>
      </c>
      <c r="F192" s="4">
        <f>VLOOKUP(Grunddaten!I187,FamilyStatus,2,FALSE)</f>
        <v>1</v>
      </c>
      <c r="G192" s="4" t="str">
        <f>IF(Grunddaten!J187&lt;&gt;"",CONCATENATE("'",TEXT(Grunddaten!J187,"JJJJ-MM-tt"),"'"),"NULL")</f>
        <v>NULL</v>
      </c>
      <c r="H192" s="4" t="str">
        <f>CONCATENATE("'",TEXT(Grunddaten!G187,"JJJJ-MM-tt"),"'")</f>
        <v>'1997-12-26'</v>
      </c>
      <c r="J192" s="14">
        <f>Grunddaten!A187</f>
        <v>185</v>
      </c>
      <c r="K192" s="14">
        <f>Grunddaten!Y187</f>
        <v>1</v>
      </c>
      <c r="L192" s="14" t="str">
        <f ca="1">CONCATENATE("'",Grunddaten!Z187,"'")</f>
        <v>'13597'</v>
      </c>
      <c r="M192" s="14" t="str">
        <f>CONCATENATE("'",Grunddaten!AA187,"'")</f>
        <v>'Berlin'</v>
      </c>
      <c r="N192" s="14" t="str">
        <f>CONCATENATE("'",Grunddaten!AB187,"'")</f>
        <v>'Kastanienallee'</v>
      </c>
      <c r="O192" s="14" t="str">
        <f>CONCATENATE("'",Grunddaten!AC187,"'")</f>
        <v>'38'</v>
      </c>
      <c r="P192" s="14">
        <f>Grunddaten!AD187</f>
        <v>1</v>
      </c>
      <c r="R192" s="13">
        <f>Grunddaten!A187</f>
        <v>185</v>
      </c>
      <c r="S192" s="13">
        <f>Grunddaten!AF187</f>
        <v>1</v>
      </c>
      <c r="T192" s="13" t="str">
        <f>CONCATENATE("'",Grunddaten!AG187,"'")</f>
        <v>'030'</v>
      </c>
      <c r="U192" s="13" t="str">
        <f ca="1">CONCATENATE("'",Grunddaten!AH187,"'")</f>
        <v>'94742459'</v>
      </c>
      <c r="V192" s="13">
        <f>Grunddaten!AI189</f>
        <v>1</v>
      </c>
      <c r="Z192" s="2" t="str" cm="1">
        <f t="array" ref="Z192">CONCATENATE("                   ",Liste(B192:H192),IF(Z193&lt;&gt;"",",",""))</f>
        <v xml:space="preserve">                   (185, 'Bergmann', 'Ingeborg', 2, 1, NULL, '1997-12-26'),</v>
      </c>
      <c r="AB192" s="2" t="str" cm="1">
        <f t="array" aca="1" ref="AB192" ca="1">CONCATENATE("                    ",Liste(J192:P192),IF(AB193&lt;&gt;"",",",""))</f>
        <v xml:space="preserve">                    (185, 1, '13597', 'Berlin', 'Kastanienallee', '38', 1),</v>
      </c>
      <c r="AD192" s="2" t="str" cm="1">
        <f t="array" aca="1" ref="AD192" ca="1">CONCATENATE("                   ",Liste(R192:V192),IF(AD193&lt;&gt;"",",",""))</f>
        <v xml:space="preserve">                   (185, 1, '030', '94742459', 1),</v>
      </c>
    </row>
    <row r="193" spans="2:30" x14ac:dyDescent="0.45">
      <c r="B193" s="4">
        <f>Grunddaten!A188</f>
        <v>186</v>
      </c>
      <c r="C193" s="4" t="str">
        <f>CONCATENATE("'",Grunddaten!F188,"'")</f>
        <v>'Lorenz'</v>
      </c>
      <c r="D193" s="4" t="str">
        <f>CONCATENATE("'",Grunddaten!E188,"'")</f>
        <v>'Karl'</v>
      </c>
      <c r="E193" s="4">
        <f>VLOOKUP(Grunddaten!D188,FormOfAddress,2,TRUE)</f>
        <v>1</v>
      </c>
      <c r="F193" s="4">
        <f>VLOOKUP(Grunddaten!I188,FamilyStatus,2,FALSE)</f>
        <v>2</v>
      </c>
      <c r="G193" s="4" t="str">
        <f>IF(Grunddaten!J188&lt;&gt;"",CONCATENATE("'",TEXT(Grunddaten!J188,"JJJJ-MM-tt"),"'"),"NULL")</f>
        <v>'1999-10-28'</v>
      </c>
      <c r="H193" s="4" t="str">
        <f>CONCATENATE("'",TEXT(Grunddaten!G188,"JJJJ-MM-tt"),"'")</f>
        <v>'1976-03-01'</v>
      </c>
      <c r="J193" s="14">
        <f>Grunddaten!A188</f>
        <v>186</v>
      </c>
      <c r="K193" s="14">
        <f>Grunddaten!Y188</f>
        <v>1</v>
      </c>
      <c r="L193" s="14" t="str">
        <f ca="1">CONCATENATE("'",Grunddaten!Z188,"'")</f>
        <v>'14542'</v>
      </c>
      <c r="M193" s="14" t="str">
        <f>CONCATENATE("'",Grunddaten!AA188,"'")</f>
        <v>'Werder (Havel)'</v>
      </c>
      <c r="N193" s="14" t="str">
        <f>CONCATENATE("'",Grunddaten!AB188,"'")</f>
        <v>'Max-Planck-Straße'</v>
      </c>
      <c r="O193" s="14" t="str">
        <f>CONCATENATE("'",Grunddaten!AC188,"'")</f>
        <v>'10B/C'</v>
      </c>
      <c r="P193" s="14">
        <f>Grunddaten!AD188</f>
        <v>1</v>
      </c>
      <c r="R193" s="13">
        <f>Grunddaten!A188</f>
        <v>186</v>
      </c>
      <c r="S193" s="13">
        <f>Grunddaten!AF188</f>
        <v>1</v>
      </c>
      <c r="T193" s="13" t="str">
        <f>CONCATENATE("'",Grunddaten!AG188,"'")</f>
        <v>'03327'</v>
      </c>
      <c r="U193" s="13" t="str">
        <f ca="1">CONCATENATE("'",Grunddaten!AH188,"'")</f>
        <v>'85678'</v>
      </c>
      <c r="V193" s="13">
        <f>Grunddaten!AI190</f>
        <v>1</v>
      </c>
      <c r="Z193" s="2" t="str" cm="1">
        <f t="array" ref="Z193">CONCATENATE("                   ",Liste(B193:H193),IF(Z194&lt;&gt;"",",",""))</f>
        <v xml:space="preserve">                   (186, 'Lorenz', 'Karl', 1, 2, '1999-10-28', '1976-03-01'),</v>
      </c>
      <c r="AB193" s="2" t="str" cm="1">
        <f t="array" aca="1" ref="AB193" ca="1">CONCATENATE("                    ",Liste(J193:P193),IF(AB194&lt;&gt;"",",",""))</f>
        <v xml:space="preserve">                    (186, 1, '14542', 'Werder (Havel)', 'Max-Planck-Straße', '10B/C', 1),</v>
      </c>
      <c r="AD193" s="2" t="str" cm="1">
        <f t="array" aca="1" ref="AD193" ca="1">CONCATENATE("                   ",Liste(R193:V193),IF(AD194&lt;&gt;"",",",""))</f>
        <v xml:space="preserve">                   (186, 1, '03327', '85678', 1),</v>
      </c>
    </row>
    <row r="194" spans="2:30" x14ac:dyDescent="0.45">
      <c r="B194" s="4">
        <f>Grunddaten!A189</f>
        <v>187</v>
      </c>
      <c r="C194" s="4" t="str">
        <f>CONCATENATE("'",Grunddaten!F189,"'")</f>
        <v>'Schulze'</v>
      </c>
      <c r="D194" s="4" t="str">
        <f>CONCATENATE("'",Grunddaten!E189,"'")</f>
        <v>'Daniela'</v>
      </c>
      <c r="E194" s="4">
        <f>VLOOKUP(Grunddaten!D189,FormOfAddress,2,TRUE)</f>
        <v>2</v>
      </c>
      <c r="F194" s="4">
        <f>VLOOKUP(Grunddaten!I189,FamilyStatus,2,FALSE)</f>
        <v>1</v>
      </c>
      <c r="G194" s="4" t="str">
        <f>IF(Grunddaten!J189&lt;&gt;"",CONCATENATE("'",TEXT(Grunddaten!J189,"JJJJ-MM-tt"),"'"),"NULL")</f>
        <v>NULL</v>
      </c>
      <c r="H194" s="4" t="str">
        <f>CONCATENATE("'",TEXT(Grunddaten!G189,"JJJJ-MM-tt"),"'")</f>
        <v>'1993-09-30'</v>
      </c>
      <c r="J194" s="14">
        <f>Grunddaten!A189</f>
        <v>187</v>
      </c>
      <c r="K194" s="14">
        <f>Grunddaten!Y189</f>
        <v>1</v>
      </c>
      <c r="L194" s="14" t="str">
        <f ca="1">CONCATENATE("'",Grunddaten!Z189,"'")</f>
        <v>'13156'</v>
      </c>
      <c r="M194" s="14" t="str">
        <f>CONCATENATE("'",Grunddaten!AA189,"'")</f>
        <v>'Berlin'</v>
      </c>
      <c r="N194" s="14" t="str">
        <f>CONCATENATE("'",Grunddaten!AB189,"'")</f>
        <v>'Waldstraße'</v>
      </c>
      <c r="O194" s="14" t="str">
        <f>CONCATENATE("'",Grunddaten!AC189,"'")</f>
        <v>'23'</v>
      </c>
      <c r="P194" s="14">
        <f>Grunddaten!AD189</f>
        <v>1</v>
      </c>
      <c r="R194" s="13">
        <f>Grunddaten!A189</f>
        <v>187</v>
      </c>
      <c r="S194" s="13">
        <f>Grunddaten!AF189</f>
        <v>1</v>
      </c>
      <c r="T194" s="13" t="str">
        <f>CONCATENATE("'",Grunddaten!AG189,"'")</f>
        <v>'030'</v>
      </c>
      <c r="U194" s="13" t="str">
        <f ca="1">CONCATENATE("'",Grunddaten!AH189,"'")</f>
        <v>'48844835'</v>
      </c>
      <c r="V194" s="13">
        <f>Grunddaten!AI191</f>
        <v>1</v>
      </c>
      <c r="Z194" s="2" t="str" cm="1">
        <f t="array" ref="Z194">CONCATENATE("                   ",Liste(B194:H194),IF(Z195&lt;&gt;"",",",""))</f>
        <v xml:space="preserve">                   (187, 'Schulze', 'Daniela', 2, 1, NULL, '1993-09-30'),</v>
      </c>
      <c r="AB194" s="2" t="str" cm="1">
        <f t="array" aca="1" ref="AB194" ca="1">CONCATENATE("                    ",Liste(J194:P194),IF(AB195&lt;&gt;"",",",""))</f>
        <v xml:space="preserve">                    (187, 1, '13156', 'Berlin', 'Waldstraße', '23', 1),</v>
      </c>
      <c r="AD194" s="2" t="str" cm="1">
        <f t="array" aca="1" ref="AD194" ca="1">CONCATENATE("                   ",Liste(R194:V194),IF(AD195&lt;&gt;"",",",""))</f>
        <v xml:space="preserve">                   (187, 1, '030', '48844835', 1),</v>
      </c>
    </row>
    <row r="195" spans="2:30" x14ac:dyDescent="0.45">
      <c r="B195" s="4">
        <f>Grunddaten!A190</f>
        <v>188</v>
      </c>
      <c r="C195" s="4" t="str">
        <f>CONCATENATE("'",Grunddaten!F190,"'")</f>
        <v>'Golzow'</v>
      </c>
      <c r="D195" s="4" t="str">
        <f>CONCATENATE("'",Grunddaten!E190,"'")</f>
        <v>'Ludwig'</v>
      </c>
      <c r="E195" s="4">
        <f>VLOOKUP(Grunddaten!D190,FormOfAddress,2,TRUE)</f>
        <v>1</v>
      </c>
      <c r="F195" s="4">
        <f>VLOOKUP(Grunddaten!I190,FamilyStatus,2,FALSE)</f>
        <v>2</v>
      </c>
      <c r="G195" s="4" t="str">
        <f>IF(Grunddaten!J190&lt;&gt;"",CONCATENATE("'",TEXT(Grunddaten!J190,"JJJJ-MM-tt"),"'"),"NULL")</f>
        <v>'1998-08-27'</v>
      </c>
      <c r="H195" s="4" t="str">
        <f>CONCATENATE("'",TEXT(Grunddaten!G190,"JJJJ-MM-tt"),"'")</f>
        <v>'1979-10-28'</v>
      </c>
      <c r="J195" s="14">
        <f>Grunddaten!A190</f>
        <v>188</v>
      </c>
      <c r="K195" s="14">
        <f>Grunddaten!Y190</f>
        <v>1</v>
      </c>
      <c r="L195" s="14" t="str">
        <f ca="1">CONCATENATE("'",Grunddaten!Z190,"'")</f>
        <v>'13597'</v>
      </c>
      <c r="M195" s="14" t="str">
        <f>CONCATENATE("'",Grunddaten!AA190,"'")</f>
        <v>'Berlin'</v>
      </c>
      <c r="N195" s="14" t="str">
        <f>CONCATENATE("'",Grunddaten!AB190,"'")</f>
        <v>'Marktplatz'</v>
      </c>
      <c r="O195" s="14" t="str">
        <f>CONCATENATE("'",Grunddaten!AC190,"'")</f>
        <v>'32'</v>
      </c>
      <c r="P195" s="14">
        <f>Grunddaten!AD190</f>
        <v>1</v>
      </c>
      <c r="R195" s="13">
        <f>Grunddaten!A190</f>
        <v>188</v>
      </c>
      <c r="S195" s="13">
        <f>Grunddaten!AF190</f>
        <v>1</v>
      </c>
      <c r="T195" s="13" t="str">
        <f>CONCATENATE("'",Grunddaten!AG190,"'")</f>
        <v>'030'</v>
      </c>
      <c r="U195" s="13" t="str">
        <f ca="1">CONCATENATE("'",Grunddaten!AH190,"'")</f>
        <v>'98286600'</v>
      </c>
      <c r="V195" s="13">
        <f>Grunddaten!AI192</f>
        <v>1</v>
      </c>
      <c r="Z195" s="2" t="str" cm="1">
        <f t="array" ref="Z195">CONCATENATE("                   ",Liste(B195:H195),IF(Z196&lt;&gt;"",",",""))</f>
        <v xml:space="preserve">                   (188, 'Golzow', 'Ludwig', 1, 2, '1998-08-27', '1979-10-28'),</v>
      </c>
      <c r="AB195" s="2" t="str" cm="1">
        <f t="array" aca="1" ref="AB195" ca="1">CONCATENATE("                    ",Liste(J195:P195),IF(AB196&lt;&gt;"",",",""))</f>
        <v xml:space="preserve">                    (188, 1, '13597', 'Berlin', 'Marktplatz', '32', 1),</v>
      </c>
      <c r="AD195" s="2" t="str" cm="1">
        <f t="array" aca="1" ref="AD195" ca="1">CONCATENATE("                   ",Liste(R195:V195),IF(AD196&lt;&gt;"",",",""))</f>
        <v xml:space="preserve">                   (188, 1, '030', '98286600', 1),</v>
      </c>
    </row>
    <row r="196" spans="2:30" x14ac:dyDescent="0.45">
      <c r="B196" s="4">
        <f>Grunddaten!A191</f>
        <v>189</v>
      </c>
      <c r="C196" s="4" t="str">
        <f>CONCATENATE("'",Grunddaten!F191,"'")</f>
        <v>'Wolf'</v>
      </c>
      <c r="D196" s="4" t="str">
        <f>CONCATENATE("'",Grunddaten!E191,"'")</f>
        <v>'Roland'</v>
      </c>
      <c r="E196" s="4">
        <f>VLOOKUP(Grunddaten!D191,FormOfAddress,2,TRUE)</f>
        <v>1</v>
      </c>
      <c r="F196" s="4">
        <f>VLOOKUP(Grunddaten!I191,FamilyStatus,2,FALSE)</f>
        <v>2</v>
      </c>
      <c r="G196" s="4" t="str">
        <f>IF(Grunddaten!J191&lt;&gt;"",CONCATENATE("'",TEXT(Grunddaten!J191,"JJJJ-MM-tt"),"'"),"NULL")</f>
        <v>'2004-11-12'</v>
      </c>
      <c r="H196" s="4" t="str">
        <f>CONCATENATE("'",TEXT(Grunddaten!G191,"JJJJ-MM-tt"),"'")</f>
        <v>'1968-04-01'</v>
      </c>
      <c r="J196" s="14">
        <f>Grunddaten!A191</f>
        <v>189</v>
      </c>
      <c r="K196" s="14">
        <f>Grunddaten!Y191</f>
        <v>1</v>
      </c>
      <c r="L196" s="14" t="str">
        <f ca="1">CONCATENATE("'",Grunddaten!Z191,"'")</f>
        <v>'14050'</v>
      </c>
      <c r="M196" s="14" t="str">
        <f>CONCATENATE("'",Grunddaten!AA191,"'")</f>
        <v>'Berlin'</v>
      </c>
      <c r="N196" s="14" t="str">
        <f>CONCATENATE("'",Grunddaten!AB191,"'")</f>
        <v>'Goethegasse'</v>
      </c>
      <c r="O196" s="14" t="str">
        <f>CONCATENATE("'",Grunddaten!AC191,"'")</f>
        <v>'42'</v>
      </c>
      <c r="P196" s="14">
        <f>Grunddaten!AD191</f>
        <v>1</v>
      </c>
      <c r="R196" s="13">
        <f>Grunddaten!A191</f>
        <v>189</v>
      </c>
      <c r="S196" s="13">
        <f>Grunddaten!AF191</f>
        <v>1</v>
      </c>
      <c r="T196" s="13" t="str">
        <f>CONCATENATE("'",Grunddaten!AG191,"'")</f>
        <v>'030'</v>
      </c>
      <c r="U196" s="13" t="str">
        <f ca="1">CONCATENATE("'",Grunddaten!AH191,"'")</f>
        <v>'66528779'</v>
      </c>
      <c r="V196" s="13">
        <f>Grunddaten!AI193</f>
        <v>1</v>
      </c>
      <c r="Z196" s="2" t="str" cm="1">
        <f t="array" ref="Z196">CONCATENATE("                   ",Liste(B196:H196),IF(Z197&lt;&gt;"",",",""))</f>
        <v xml:space="preserve">                   (189, 'Wolf', 'Roland', 1, 2, '2004-11-12', '1968-04-01'),</v>
      </c>
      <c r="AB196" s="2" t="str" cm="1">
        <f t="array" aca="1" ref="AB196" ca="1">CONCATENATE("                    ",Liste(J196:P196),IF(AB197&lt;&gt;"",",",""))</f>
        <v xml:space="preserve">                    (189, 1, '14050', 'Berlin', 'Goethegasse', '42', 1),</v>
      </c>
      <c r="AD196" s="2" t="str" cm="1">
        <f t="array" aca="1" ref="AD196" ca="1">CONCATENATE("                   ",Liste(R196:V196),IF(AD197&lt;&gt;"",",",""))</f>
        <v xml:space="preserve">                   (189, 1, '030', '66528779', 1),</v>
      </c>
    </row>
    <row r="197" spans="2:30" x14ac:dyDescent="0.45">
      <c r="B197" s="4">
        <f>Grunddaten!A192</f>
        <v>190</v>
      </c>
      <c r="C197" s="4" t="str">
        <f>CONCATENATE("'",Grunddaten!F192,"'")</f>
        <v>'Kollmann'</v>
      </c>
      <c r="D197" s="4" t="str">
        <f>CONCATENATE("'",Grunddaten!E192,"'")</f>
        <v>'Charlotte'</v>
      </c>
      <c r="E197" s="4">
        <f>VLOOKUP(Grunddaten!D192,FormOfAddress,2,TRUE)</f>
        <v>2</v>
      </c>
      <c r="F197" s="4">
        <f>VLOOKUP(Grunddaten!I192,FamilyStatus,2,FALSE)</f>
        <v>1</v>
      </c>
      <c r="G197" s="4" t="str">
        <f>IF(Grunddaten!J192&lt;&gt;"",CONCATENATE("'",TEXT(Grunddaten!J192,"JJJJ-MM-tt"),"'"),"NULL")</f>
        <v>NULL</v>
      </c>
      <c r="H197" s="4" t="str">
        <f>CONCATENATE("'",TEXT(Grunddaten!G192,"JJJJ-MM-tt"),"'")</f>
        <v>'2003-03-04'</v>
      </c>
      <c r="J197" s="14">
        <f>Grunddaten!A192</f>
        <v>190</v>
      </c>
      <c r="K197" s="14">
        <f>Grunddaten!Y192</f>
        <v>1</v>
      </c>
      <c r="L197" s="14" t="str">
        <f ca="1">CONCATENATE("'",Grunddaten!Z192,"'")</f>
        <v>'13581'</v>
      </c>
      <c r="M197" s="14" t="str">
        <f>CONCATENATE("'",Grunddaten!AA192,"'")</f>
        <v>'Berlin'</v>
      </c>
      <c r="N197" s="14" t="str">
        <f>CONCATENATE("'",Grunddaten!AB192,"'")</f>
        <v>'Keplerweg'</v>
      </c>
      <c r="O197" s="14" t="str">
        <f>CONCATENATE("'",Grunddaten!AC192,"'")</f>
        <v>'46'</v>
      </c>
      <c r="P197" s="14">
        <f>Grunddaten!AD192</f>
        <v>1</v>
      </c>
      <c r="R197" s="13">
        <f>Grunddaten!A192</f>
        <v>190</v>
      </c>
      <c r="S197" s="13">
        <f>Grunddaten!AF192</f>
        <v>1</v>
      </c>
      <c r="T197" s="13" t="str">
        <f>CONCATENATE("'",Grunddaten!AG192,"'")</f>
        <v>'030'</v>
      </c>
      <c r="U197" s="13" t="str">
        <f ca="1">CONCATENATE("'",Grunddaten!AH192,"'")</f>
        <v>'85763077'</v>
      </c>
      <c r="V197" s="13">
        <f>Grunddaten!AI194</f>
        <v>1</v>
      </c>
      <c r="Z197" s="2" t="str" cm="1">
        <f t="array" ref="Z197">CONCATENATE("                   ",Liste(B197:H197),IF(Z198&lt;&gt;"",",",""))</f>
        <v xml:space="preserve">                   (190, 'Kollmann', 'Charlotte', 2, 1, NULL, '2003-03-04'),</v>
      </c>
      <c r="AB197" s="2" t="str" cm="1">
        <f t="array" aca="1" ref="AB197" ca="1">CONCATENATE("                    ",Liste(J197:P197),IF(AB198&lt;&gt;"",",",""))</f>
        <v xml:space="preserve">                    (190, 1, '13581', 'Berlin', 'Keplerweg', '46', 1),</v>
      </c>
      <c r="AD197" s="2" t="str" cm="1">
        <f t="array" aca="1" ref="AD197" ca="1">CONCATENATE("                   ",Liste(R197:V197),IF(AD198&lt;&gt;"",",",""))</f>
        <v xml:space="preserve">                   (190, 1, '030', '85763077', 1),</v>
      </c>
    </row>
    <row r="198" spans="2:30" x14ac:dyDescent="0.45">
      <c r="B198" s="4">
        <f>Grunddaten!A193</f>
        <v>191</v>
      </c>
      <c r="C198" s="4" t="str">
        <f>CONCATENATE("'",Grunddaten!F193,"'")</f>
        <v>'Erich'</v>
      </c>
      <c r="D198" s="4" t="str">
        <f>CONCATENATE("'",Grunddaten!E193,"'")</f>
        <v>'Christine'</v>
      </c>
      <c r="E198" s="4">
        <f>VLOOKUP(Grunddaten!D193,FormOfAddress,2,TRUE)</f>
        <v>2</v>
      </c>
      <c r="F198" s="4">
        <f>VLOOKUP(Grunddaten!I193,FamilyStatus,2,FALSE)</f>
        <v>2</v>
      </c>
      <c r="G198" s="4" t="str">
        <f>IF(Grunddaten!J193&lt;&gt;"",CONCATENATE("'",TEXT(Grunddaten!J193,"JJJJ-MM-tt"),"'"),"NULL")</f>
        <v>'1997-12-14'</v>
      </c>
      <c r="H198" s="4" t="str">
        <f>CONCATENATE("'",TEXT(Grunddaten!G193,"JJJJ-MM-tt"),"'")</f>
        <v>'1958-08-13'</v>
      </c>
      <c r="J198" s="14">
        <f>Grunddaten!A193</f>
        <v>191</v>
      </c>
      <c r="K198" s="14">
        <f>Grunddaten!Y193</f>
        <v>1</v>
      </c>
      <c r="L198" s="14" t="str">
        <f ca="1">CONCATENATE("'",Grunddaten!Z193,"'")</f>
        <v>'14542'</v>
      </c>
      <c r="M198" s="14" t="str">
        <f>CONCATENATE("'",Grunddaten!AA193,"'")</f>
        <v>'Werder (Havel)'</v>
      </c>
      <c r="N198" s="14" t="str">
        <f>CONCATENATE("'",Grunddaten!AB193,"'")</f>
        <v>'Tannenweg'</v>
      </c>
      <c r="O198" s="14" t="str">
        <f>CONCATENATE("'",Grunddaten!AC193,"'")</f>
        <v>'11'</v>
      </c>
      <c r="P198" s="14">
        <f>Grunddaten!AD193</f>
        <v>1</v>
      </c>
      <c r="R198" s="13">
        <f>Grunddaten!A193</f>
        <v>191</v>
      </c>
      <c r="S198" s="13">
        <f>Grunddaten!AF193</f>
        <v>1</v>
      </c>
      <c r="T198" s="13" t="str">
        <f>CONCATENATE("'",Grunddaten!AG193,"'")</f>
        <v>'03327'</v>
      </c>
      <c r="U198" s="13" t="str">
        <f ca="1">CONCATENATE("'",Grunddaten!AH193,"'")</f>
        <v>'82407'</v>
      </c>
      <c r="V198" s="13">
        <f>Grunddaten!AI195</f>
        <v>1</v>
      </c>
      <c r="Z198" s="2" t="str" cm="1">
        <f t="array" ref="Z198">CONCATENATE("                   ",Liste(B198:H198),IF(Z199&lt;&gt;"",",",""))</f>
        <v xml:space="preserve">                   (191, 'Erich', 'Christine', 2, 2, '1997-12-14', '1958-08-13'),</v>
      </c>
      <c r="AB198" s="2" t="str" cm="1">
        <f t="array" aca="1" ref="AB198" ca="1">CONCATENATE("                    ",Liste(J198:P198),IF(AB199&lt;&gt;"",",",""))</f>
        <v xml:space="preserve">                    (191, 1, '14542', 'Werder (Havel)', 'Tannenweg', '11', 1),</v>
      </c>
      <c r="AD198" s="2" t="str" cm="1">
        <f t="array" aca="1" ref="AD198" ca="1">CONCATENATE("                   ",Liste(R198:V198),IF(AD199&lt;&gt;"",",",""))</f>
        <v xml:space="preserve">                   (191, 1, '03327', '82407', 1),</v>
      </c>
    </row>
    <row r="199" spans="2:30" x14ac:dyDescent="0.45">
      <c r="B199" s="4">
        <f>Grunddaten!A194</f>
        <v>192</v>
      </c>
      <c r="C199" s="4" t="str">
        <f>CONCATENATE("'",Grunddaten!F194,"'")</f>
        <v>'Cianfarini'</v>
      </c>
      <c r="D199" s="4" t="str">
        <f>CONCATENATE("'",Grunddaten!E194,"'")</f>
        <v>'Cornelia'</v>
      </c>
      <c r="E199" s="4">
        <f>VLOOKUP(Grunddaten!D194,FormOfAddress,2,TRUE)</f>
        <v>2</v>
      </c>
      <c r="F199" s="4">
        <f>VLOOKUP(Grunddaten!I194,FamilyStatus,2,FALSE)</f>
        <v>2</v>
      </c>
      <c r="G199" s="4" t="str">
        <f>IF(Grunddaten!J194&lt;&gt;"",CONCATENATE("'",TEXT(Grunddaten!J194,"JJJJ-MM-tt"),"'"),"NULL")</f>
        <v>'2023-05-22'</v>
      </c>
      <c r="H199" s="4" t="str">
        <f>CONCATENATE("'",TEXT(Grunddaten!G194,"JJJJ-MM-tt"),"'")</f>
        <v>'1990-07-10'</v>
      </c>
      <c r="J199" s="14">
        <f>Grunddaten!A194</f>
        <v>192</v>
      </c>
      <c r="K199" s="14">
        <f>Grunddaten!Y194</f>
        <v>1</v>
      </c>
      <c r="L199" s="14" t="str">
        <f ca="1">CONCATENATE("'",Grunddaten!Z194,"'")</f>
        <v>'12043'</v>
      </c>
      <c r="M199" s="14" t="str">
        <f>CONCATENATE("'",Grunddaten!AA194,"'")</f>
        <v>'Berlin'</v>
      </c>
      <c r="N199" s="14" t="str">
        <f>CONCATENATE("'",Grunddaten!AB194,"'")</f>
        <v>'Johannes-Kepler-Straße'</v>
      </c>
      <c r="O199" s="14" t="str">
        <f>CONCATENATE("'",Grunddaten!AC194,"'")</f>
        <v>'22'</v>
      </c>
      <c r="P199" s="14">
        <f>Grunddaten!AD194</f>
        <v>1</v>
      </c>
      <c r="R199" s="13">
        <f>Grunddaten!A194</f>
        <v>192</v>
      </c>
      <c r="S199" s="13">
        <f>Grunddaten!AF194</f>
        <v>1</v>
      </c>
      <c r="T199" s="13" t="str">
        <f>CONCATENATE("'",Grunddaten!AG194,"'")</f>
        <v>'030'</v>
      </c>
      <c r="U199" s="13" t="str">
        <f ca="1">CONCATENATE("'",Grunddaten!AH194,"'")</f>
        <v>'79964350'</v>
      </c>
      <c r="V199" s="13">
        <f>Grunddaten!AI196</f>
        <v>1</v>
      </c>
      <c r="Z199" s="2" t="str" cm="1">
        <f t="array" ref="Z199">CONCATENATE("                   ",Liste(B199:H199),IF(Z200&lt;&gt;"",",",""))</f>
        <v xml:space="preserve">                   (192, 'Cianfarini', 'Cornelia', 2, 2, '2023-05-22', '1990-07-10'),</v>
      </c>
      <c r="AB199" s="2" t="str" cm="1">
        <f t="array" aca="1" ref="AB199" ca="1">CONCATENATE("                    ",Liste(J199:P199),IF(AB200&lt;&gt;"",",",""))</f>
        <v xml:space="preserve">                    (192, 1, '12043', 'Berlin', 'Johannes-Kepler-Straße', '22', 1),</v>
      </c>
      <c r="AD199" s="2" t="str" cm="1">
        <f t="array" aca="1" ref="AD199" ca="1">CONCATENATE("                   ",Liste(R199:V199),IF(AD200&lt;&gt;"",",",""))</f>
        <v xml:space="preserve">                   (192, 1, '030', '79964350', 1),</v>
      </c>
    </row>
    <row r="200" spans="2:30" x14ac:dyDescent="0.45">
      <c r="B200" s="4">
        <f>Grunddaten!A195</f>
        <v>193</v>
      </c>
      <c r="C200" s="4" t="str">
        <f>CONCATENATE("'",Grunddaten!F195,"'")</f>
        <v>'Friedrich'</v>
      </c>
      <c r="D200" s="4" t="str">
        <f>CONCATENATE("'",Grunddaten!E195,"'")</f>
        <v>'Miriam'</v>
      </c>
      <c r="E200" s="4">
        <f>VLOOKUP(Grunddaten!D195,FormOfAddress,2,TRUE)</f>
        <v>2</v>
      </c>
      <c r="F200" s="4">
        <f>VLOOKUP(Grunddaten!I195,FamilyStatus,2,FALSE)</f>
        <v>1</v>
      </c>
      <c r="G200" s="4" t="str">
        <f>IF(Grunddaten!J195&lt;&gt;"",CONCATENATE("'",TEXT(Grunddaten!J195,"JJJJ-MM-tt"),"'"),"NULL")</f>
        <v>NULL</v>
      </c>
      <c r="H200" s="4" t="str">
        <f>CONCATENATE("'",TEXT(Grunddaten!G195,"JJJJ-MM-tt"),"'")</f>
        <v>'1996-09-24'</v>
      </c>
      <c r="J200" s="14">
        <f>Grunddaten!A195</f>
        <v>193</v>
      </c>
      <c r="K200" s="14">
        <f>Grunddaten!Y195</f>
        <v>1</v>
      </c>
      <c r="L200" s="14" t="str">
        <f ca="1">CONCATENATE("'",Grunddaten!Z195,"'")</f>
        <v>'14552'</v>
      </c>
      <c r="M200" s="14" t="str">
        <f>CONCATENATE("'",Grunddaten!AA195,"'")</f>
        <v>'Michendorf'</v>
      </c>
      <c r="N200" s="14" t="str">
        <f>CONCATENATE("'",Grunddaten!AB195,"'")</f>
        <v>'New-Orleans-Platz'</v>
      </c>
      <c r="O200" s="14" t="str">
        <f>CONCATENATE("'",Grunddaten!AC195,"'")</f>
        <v>'2B/C'</v>
      </c>
      <c r="P200" s="14">
        <f>Grunddaten!AD195</f>
        <v>1</v>
      </c>
      <c r="R200" s="13">
        <f>Grunddaten!A195</f>
        <v>193</v>
      </c>
      <c r="S200" s="13">
        <f>Grunddaten!AF195</f>
        <v>1</v>
      </c>
      <c r="T200" s="13" t="str">
        <f>CONCATENATE("'",Grunddaten!AG195,"'")</f>
        <v>'033205'</v>
      </c>
      <c r="U200" s="13" t="str">
        <f ca="1">CONCATENATE("'",Grunddaten!AH195,"'")</f>
        <v>'9746'</v>
      </c>
      <c r="V200" s="13">
        <f>Grunddaten!AI197</f>
        <v>1</v>
      </c>
      <c r="Z200" s="2" t="str" cm="1">
        <f t="array" ref="Z200">CONCATENATE("                   ",Liste(B200:H200),IF(Z201&lt;&gt;"",",",""))</f>
        <v xml:space="preserve">                   (193, 'Friedrich', 'Miriam', 2, 1, NULL, '1996-09-24'),</v>
      </c>
      <c r="AB200" s="2" t="str" cm="1">
        <f t="array" aca="1" ref="AB200" ca="1">CONCATENATE("                    ",Liste(J200:P200),IF(AB201&lt;&gt;"",",",""))</f>
        <v xml:space="preserve">                    (193, 1, '14552', 'Michendorf', 'New-Orleans-Platz', '2B/C', 1),</v>
      </c>
      <c r="AD200" s="2" t="str" cm="1">
        <f t="array" aca="1" ref="AD200" ca="1">CONCATENATE("                   ",Liste(R200:V200),IF(AD201&lt;&gt;"",",",""))</f>
        <v xml:space="preserve">                   (193, 1, '033205', '9746', 1),</v>
      </c>
    </row>
    <row r="201" spans="2:30" x14ac:dyDescent="0.45">
      <c r="B201" s="4">
        <f>Grunddaten!A196</f>
        <v>194</v>
      </c>
      <c r="C201" s="4" t="str">
        <f>CONCATENATE("'",Grunddaten!F196,"'")</f>
        <v>'Moschner'</v>
      </c>
      <c r="D201" s="4" t="str">
        <f>CONCATENATE("'",Grunddaten!E196,"'")</f>
        <v>'Margit'</v>
      </c>
      <c r="E201" s="4">
        <f>VLOOKUP(Grunddaten!D196,FormOfAddress,2,TRUE)</f>
        <v>2</v>
      </c>
      <c r="F201" s="4">
        <f>VLOOKUP(Grunddaten!I196,FamilyStatus,2,FALSE)</f>
        <v>2</v>
      </c>
      <c r="G201" s="4" t="str">
        <f>IF(Grunddaten!J196&lt;&gt;"",CONCATENATE("'",TEXT(Grunddaten!J196,"JJJJ-MM-tt"),"'"),"NULL")</f>
        <v>'1985-06-03'</v>
      </c>
      <c r="H201" s="4" t="str">
        <f>CONCATENATE("'",TEXT(Grunddaten!G196,"JJJJ-MM-tt"),"'")</f>
        <v>'1957-11-18'</v>
      </c>
      <c r="J201" s="14">
        <f>Grunddaten!A196</f>
        <v>194</v>
      </c>
      <c r="K201" s="14">
        <f>Grunddaten!Y196</f>
        <v>1</v>
      </c>
      <c r="L201" s="14" t="str">
        <f ca="1">CONCATENATE("'",Grunddaten!Z196,"'")</f>
        <v>'14547'</v>
      </c>
      <c r="M201" s="14" t="str">
        <f>CONCATENATE("'",Grunddaten!AA196,"'")</f>
        <v>'Klosterdorf'</v>
      </c>
      <c r="N201" s="14" t="str">
        <f>CONCATENATE("'",Grunddaten!AB196,"'")</f>
        <v>'Schubertstraße'</v>
      </c>
      <c r="O201" s="14" t="str">
        <f>CONCATENATE("'",Grunddaten!AC196,"'")</f>
        <v>'16B'</v>
      </c>
      <c r="P201" s="14">
        <f>Grunddaten!AD196</f>
        <v>1</v>
      </c>
      <c r="R201" s="13">
        <f>Grunddaten!A196</f>
        <v>194</v>
      </c>
      <c r="S201" s="13">
        <f>Grunddaten!AF196</f>
        <v>1</v>
      </c>
      <c r="T201" s="13" t="str">
        <f>CONCATENATE("'",Grunddaten!AG196,"'")</f>
        <v>'033206'</v>
      </c>
      <c r="U201" s="13" t="str">
        <f ca="1">CONCATENATE("'",Grunddaten!AH196,"'")</f>
        <v>'8662'</v>
      </c>
      <c r="V201" s="13">
        <f>Grunddaten!AI198</f>
        <v>1</v>
      </c>
      <c r="Z201" s="2" t="str" cm="1">
        <f t="array" ref="Z201">CONCATENATE("                   ",Liste(B201:H201),IF(Z202&lt;&gt;"",",",""))</f>
        <v xml:space="preserve">                   (194, 'Moschner', 'Margit', 2, 2, '1985-06-03', '1957-11-18'),</v>
      </c>
      <c r="AB201" s="2" t="str" cm="1">
        <f t="array" aca="1" ref="AB201" ca="1">CONCATENATE("                    ",Liste(J201:P201),IF(AB202&lt;&gt;"",",",""))</f>
        <v xml:space="preserve">                    (194, 1, '14547', 'Klosterdorf', 'Schubertstraße', '16B', 1),</v>
      </c>
      <c r="AD201" s="2" t="str" cm="1">
        <f t="array" aca="1" ref="AD201" ca="1">CONCATENATE("                   ",Liste(R201:V201),IF(AD202&lt;&gt;"",",",""))</f>
        <v xml:space="preserve">                   (194, 1, '033206', '8662', 1),</v>
      </c>
    </row>
    <row r="202" spans="2:30" x14ac:dyDescent="0.45">
      <c r="B202" s="4">
        <f>Grunddaten!A197</f>
        <v>195</v>
      </c>
      <c r="C202" s="4" t="str">
        <f>CONCATENATE("'",Grunddaten!F197,"'")</f>
        <v>'Vollmer'</v>
      </c>
      <c r="D202" s="4" t="str">
        <f>CONCATENATE("'",Grunddaten!E197,"'")</f>
        <v>'Katja'</v>
      </c>
      <c r="E202" s="4">
        <f>VLOOKUP(Grunddaten!D197,FormOfAddress,2,TRUE)</f>
        <v>2</v>
      </c>
      <c r="F202" s="4">
        <f>VLOOKUP(Grunddaten!I197,FamilyStatus,2,FALSE)</f>
        <v>1</v>
      </c>
      <c r="G202" s="4" t="str">
        <f>IF(Grunddaten!J197&lt;&gt;"",CONCATENATE("'",TEXT(Grunddaten!J197,"JJJJ-MM-tt"),"'"),"NULL")</f>
        <v>NULL</v>
      </c>
      <c r="H202" s="4" t="str">
        <f>CONCATENATE("'",TEXT(Grunddaten!G197,"JJJJ-MM-tt"),"'")</f>
        <v>'1962-02-01'</v>
      </c>
      <c r="J202" s="14">
        <f>Grunddaten!A197</f>
        <v>195</v>
      </c>
      <c r="K202" s="14">
        <f>Grunddaten!Y197</f>
        <v>1</v>
      </c>
      <c r="L202" s="14" t="str">
        <f ca="1">CONCATENATE("'",Grunddaten!Z197,"'")</f>
        <v>'14548'</v>
      </c>
      <c r="M202" s="14" t="str">
        <f>CONCATENATE("'",Grunddaten!AA197,"'")</f>
        <v>'Schwielowsee'</v>
      </c>
      <c r="N202" s="14" t="str">
        <f>CONCATENATE("'",Grunddaten!AB197,"'")</f>
        <v>'Hainweg'</v>
      </c>
      <c r="O202" s="14" t="str">
        <f>CONCATENATE("'",Grunddaten!AC197,"'")</f>
        <v>'25E'</v>
      </c>
      <c r="P202" s="14">
        <f>Grunddaten!AD197</f>
        <v>1</v>
      </c>
      <c r="R202" s="13">
        <f>Grunddaten!A197</f>
        <v>195</v>
      </c>
      <c r="S202" s="13">
        <f>Grunddaten!AF197</f>
        <v>1</v>
      </c>
      <c r="T202" s="13" t="str">
        <f>CONCATENATE("'",Grunddaten!AG197,"'")</f>
        <v>'03327'</v>
      </c>
      <c r="U202" s="13" t="str">
        <f ca="1">CONCATENATE("'",Grunddaten!AH197,"'")</f>
        <v>'73825'</v>
      </c>
      <c r="V202" s="13">
        <f>Grunddaten!AI199</f>
        <v>1</v>
      </c>
      <c r="Z202" s="2" t="str" cm="1">
        <f t="array" ref="Z202">CONCATENATE("                   ",Liste(B202:H202),IF(Z203&lt;&gt;"",",",""))</f>
        <v xml:space="preserve">                   (195, 'Vollmer', 'Katja', 2, 1, NULL, '1962-02-01'),</v>
      </c>
      <c r="AB202" s="2" t="str" cm="1">
        <f t="array" aca="1" ref="AB202" ca="1">CONCATENATE("                    ",Liste(J202:P202),IF(AB203&lt;&gt;"",",",""))</f>
        <v xml:space="preserve">                    (195, 1, '14548', 'Schwielowsee', 'Hainweg', '25E', 1),</v>
      </c>
      <c r="AD202" s="2" t="str" cm="1">
        <f t="array" aca="1" ref="AD202" ca="1">CONCATENATE("                   ",Liste(R202:V202),IF(AD203&lt;&gt;"",",",""))</f>
        <v xml:space="preserve">                   (195, 1, '03327', '73825', 1),</v>
      </c>
    </row>
    <row r="203" spans="2:30" x14ac:dyDescent="0.45">
      <c r="B203" s="4">
        <f>Grunddaten!A198</f>
        <v>196</v>
      </c>
      <c r="C203" s="4" t="str">
        <f>CONCATENATE("'",Grunddaten!F198,"'")</f>
        <v>'Theurl'</v>
      </c>
      <c r="D203" s="4" t="str">
        <f>CONCATENATE("'",Grunddaten!E198,"'")</f>
        <v>'Katrin'</v>
      </c>
      <c r="E203" s="4">
        <f>VLOOKUP(Grunddaten!D198,FormOfAddress,2,TRUE)</f>
        <v>2</v>
      </c>
      <c r="F203" s="4">
        <f>VLOOKUP(Grunddaten!I198,FamilyStatus,2,FALSE)</f>
        <v>2</v>
      </c>
      <c r="G203" s="4" t="str">
        <f>IF(Grunddaten!J198&lt;&gt;"",CONCATENATE("'",TEXT(Grunddaten!J198,"JJJJ-MM-tt"),"'"),"NULL")</f>
        <v>'2020-03-07'</v>
      </c>
      <c r="H203" s="4" t="str">
        <f>CONCATENATE("'",TEXT(Grunddaten!G198,"JJJJ-MM-tt"),"'")</f>
        <v>'1980-06-17'</v>
      </c>
      <c r="J203" s="14">
        <f>Grunddaten!A198</f>
        <v>196</v>
      </c>
      <c r="K203" s="14">
        <f>Grunddaten!Y198</f>
        <v>1</v>
      </c>
      <c r="L203" s="14" t="str">
        <f ca="1">CONCATENATE("'",Grunddaten!Z198,"'")</f>
        <v>'14558'</v>
      </c>
      <c r="M203" s="14" t="str">
        <f>CONCATENATE("'",Grunddaten!AA198,"'")</f>
        <v>'Nuthetal'</v>
      </c>
      <c r="N203" s="14" t="str">
        <f>CONCATENATE("'",Grunddaten!AB198,"'")</f>
        <v>'San-Diego-Straße'</v>
      </c>
      <c r="O203" s="14" t="str">
        <f>CONCATENATE("'",Grunddaten!AC198,"'")</f>
        <v>'25'</v>
      </c>
      <c r="P203" s="14">
        <f>Grunddaten!AD198</f>
        <v>1</v>
      </c>
      <c r="R203" s="13">
        <f>Grunddaten!A198</f>
        <v>196</v>
      </c>
      <c r="S203" s="13">
        <f>Grunddaten!AF198</f>
        <v>1</v>
      </c>
      <c r="T203" s="13" t="str">
        <f>CONCATENATE("'",Grunddaten!AG198,"'")</f>
        <v>'033200'</v>
      </c>
      <c r="U203" s="13" t="str">
        <f ca="1">CONCATENATE("'",Grunddaten!AH198,"'")</f>
        <v>'9243'</v>
      </c>
      <c r="V203" s="13">
        <f>Grunddaten!AI200</f>
        <v>1</v>
      </c>
      <c r="Z203" s="2" t="str" cm="1">
        <f t="array" ref="Z203">CONCATENATE("                   ",Liste(B203:H203),IF(Z204&lt;&gt;"",",",""))</f>
        <v xml:space="preserve">                   (196, 'Theurl', 'Katrin', 2, 2, '2020-03-07', '1980-06-17'),</v>
      </c>
      <c r="AB203" s="2" t="str" cm="1">
        <f t="array" aca="1" ref="AB203" ca="1">CONCATENATE("                    ",Liste(J203:P203),IF(AB204&lt;&gt;"",",",""))</f>
        <v xml:space="preserve">                    (196, 1, '14558', 'Nuthetal', 'San-Diego-Straße', '25', 1),</v>
      </c>
      <c r="AD203" s="2" t="str" cm="1">
        <f t="array" aca="1" ref="AD203" ca="1">CONCATENATE("                   ",Liste(R203:V203),IF(AD204&lt;&gt;"",",",""))</f>
        <v xml:space="preserve">                   (196, 1, '033200', '9243', 1),</v>
      </c>
    </row>
    <row r="204" spans="2:30" x14ac:dyDescent="0.45">
      <c r="B204" s="4">
        <f>Grunddaten!A199</f>
        <v>197</v>
      </c>
      <c r="C204" s="4" t="str">
        <f>CONCATENATE("'",Grunddaten!F199,"'")</f>
        <v>'Winterstein'</v>
      </c>
      <c r="D204" s="4" t="str">
        <f>CONCATENATE("'",Grunddaten!E199,"'")</f>
        <v>'Ilka'</v>
      </c>
      <c r="E204" s="4">
        <f>VLOOKUP(Grunddaten!D199,FormOfAddress,2,TRUE)</f>
        <v>2</v>
      </c>
      <c r="F204" s="4">
        <f>VLOOKUP(Grunddaten!I199,FamilyStatus,2,FALSE)</f>
        <v>1</v>
      </c>
      <c r="G204" s="4" t="str">
        <f>IF(Grunddaten!J199&lt;&gt;"",CONCATENATE("'",TEXT(Grunddaten!J199,"JJJJ-MM-tt"),"'"),"NULL")</f>
        <v>NULL</v>
      </c>
      <c r="H204" s="4" t="str">
        <f>CONCATENATE("'",TEXT(Grunddaten!G199,"JJJJ-MM-tt"),"'")</f>
        <v>'1984-06-12'</v>
      </c>
      <c r="J204" s="14">
        <f>Grunddaten!A199</f>
        <v>197</v>
      </c>
      <c r="K204" s="14">
        <f>Grunddaten!Y199</f>
        <v>1</v>
      </c>
      <c r="L204" s="14" t="str">
        <f ca="1">CONCATENATE("'",Grunddaten!Z199,"'")</f>
        <v>'13581'</v>
      </c>
      <c r="M204" s="14" t="str">
        <f>CONCATENATE("'",Grunddaten!AA199,"'")</f>
        <v>'Berlin'</v>
      </c>
      <c r="N204" s="14" t="str">
        <f>CONCATENATE("'",Grunddaten!AB199,"'")</f>
        <v>'Paul-Hindemith-Straße'</v>
      </c>
      <c r="O204" s="14" t="str">
        <f>CONCATENATE("'",Grunddaten!AC199,"'")</f>
        <v>'30B/C'</v>
      </c>
      <c r="P204" s="14">
        <f>Grunddaten!AD199</f>
        <v>1</v>
      </c>
      <c r="R204" s="13">
        <f>Grunddaten!A199</f>
        <v>197</v>
      </c>
      <c r="S204" s="13">
        <f>Grunddaten!AF199</f>
        <v>1</v>
      </c>
      <c r="T204" s="13" t="str">
        <f>CONCATENATE("'",Grunddaten!AG199,"'")</f>
        <v>'030'</v>
      </c>
      <c r="U204" s="13" t="str">
        <f ca="1">CONCATENATE("'",Grunddaten!AH199,"'")</f>
        <v>'47780747'</v>
      </c>
      <c r="V204" s="13">
        <f>Grunddaten!AI201</f>
        <v>1</v>
      </c>
      <c r="Z204" s="2" t="str" cm="1">
        <f t="array" ref="Z204">CONCATENATE("                   ",Liste(B204:H204),IF(Z205&lt;&gt;"",",",""))</f>
        <v xml:space="preserve">                   (197, 'Winterstein', 'Ilka', 2, 1, NULL, '1984-06-12'),</v>
      </c>
      <c r="AB204" s="2" t="str" cm="1">
        <f t="array" aca="1" ref="AB204" ca="1">CONCATENATE("                    ",Liste(J204:P204),IF(AB205&lt;&gt;"",",",""))</f>
        <v xml:space="preserve">                    (197, 1, '13581', 'Berlin', 'Paul-Hindemith-Straße', '30B/C', 1),</v>
      </c>
      <c r="AD204" s="2" t="str" cm="1">
        <f t="array" aca="1" ref="AD204" ca="1">CONCATENATE("                   ",Liste(R204:V204),IF(AD205&lt;&gt;"",",",""))</f>
        <v xml:space="preserve">                   (197, 1, '030', '47780747', 1),</v>
      </c>
    </row>
    <row r="205" spans="2:30" x14ac:dyDescent="0.45">
      <c r="B205" s="4">
        <f>Grunddaten!A200</f>
        <v>198</v>
      </c>
      <c r="C205" s="4" t="str">
        <f>CONCATENATE("'",Grunddaten!F200,"'")</f>
        <v>'Reichstein'</v>
      </c>
      <c r="D205" s="4" t="str">
        <f>CONCATENATE("'",Grunddaten!E200,"'")</f>
        <v>'Grete'</v>
      </c>
      <c r="E205" s="4">
        <f>VLOOKUP(Grunddaten!D200,FormOfAddress,2,TRUE)</f>
        <v>2</v>
      </c>
      <c r="F205" s="4">
        <f>VLOOKUP(Grunddaten!I200,FamilyStatus,2,FALSE)</f>
        <v>2</v>
      </c>
      <c r="G205" s="4" t="str">
        <f>IF(Grunddaten!J200&lt;&gt;"",CONCATENATE("'",TEXT(Grunddaten!J200,"JJJJ-MM-tt"),"'"),"NULL")</f>
        <v>'2015-03-28'</v>
      </c>
      <c r="H205" s="4" t="str">
        <f>CONCATENATE("'",TEXT(Grunddaten!G200,"JJJJ-MM-tt"),"'")</f>
        <v>'1979-11-17'</v>
      </c>
      <c r="J205" s="14">
        <f>Grunddaten!A200</f>
        <v>198</v>
      </c>
      <c r="K205" s="14">
        <f>Grunddaten!Y200</f>
        <v>1</v>
      </c>
      <c r="L205" s="14" t="str">
        <f ca="1">CONCATENATE("'",Grunddaten!Z200,"'")</f>
        <v>'14050'</v>
      </c>
      <c r="M205" s="14" t="str">
        <f>CONCATENATE("'",Grunddaten!AA200,"'")</f>
        <v>'Berlin'</v>
      </c>
      <c r="N205" s="14" t="str">
        <f>CONCATENATE("'",Grunddaten!AB200,"'")</f>
        <v>'Am Bahnhof'</v>
      </c>
      <c r="O205" s="14" t="str">
        <f>CONCATENATE("'",Grunddaten!AC200,"'")</f>
        <v>'9'</v>
      </c>
      <c r="P205" s="14">
        <f>Grunddaten!AD200</f>
        <v>1</v>
      </c>
      <c r="R205" s="13">
        <f>Grunddaten!A200</f>
        <v>198</v>
      </c>
      <c r="S205" s="13">
        <f>Grunddaten!AF200</f>
        <v>1</v>
      </c>
      <c r="T205" s="13" t="str">
        <f>CONCATENATE("'",Grunddaten!AG200,"'")</f>
        <v>'030'</v>
      </c>
      <c r="U205" s="13" t="str">
        <f ca="1">CONCATENATE("'",Grunddaten!AH200,"'")</f>
        <v>'98261449'</v>
      </c>
      <c r="V205" s="13">
        <f>Grunddaten!AI202</f>
        <v>1</v>
      </c>
      <c r="Z205" s="2" t="str" cm="1">
        <f t="array" ref="Z205">CONCATENATE("                   ",Liste(B205:H205),IF(Z206&lt;&gt;"",",",""))</f>
        <v xml:space="preserve">                   (198, 'Reichstein', 'Grete', 2, 2, '2015-03-28', '1979-11-17'),</v>
      </c>
      <c r="AB205" s="2" t="str" cm="1">
        <f t="array" aca="1" ref="AB205" ca="1">CONCATENATE("                    ",Liste(J205:P205),IF(AB206&lt;&gt;"",",",""))</f>
        <v xml:space="preserve">                    (198, 1, '14050', 'Berlin', 'Am Bahnhof', '9', 1),</v>
      </c>
      <c r="AD205" s="2" t="str" cm="1">
        <f t="array" aca="1" ref="AD205" ca="1">CONCATENATE("                   ",Liste(R205:V205),IF(AD206&lt;&gt;"",",",""))</f>
        <v xml:space="preserve">                   (198, 1, '030', '98261449', 1),</v>
      </c>
    </row>
    <row r="206" spans="2:30" x14ac:dyDescent="0.45">
      <c r="B206" s="4">
        <f>Grunddaten!A201</f>
        <v>199</v>
      </c>
      <c r="C206" s="4" t="str">
        <f>CONCATENATE("'",Grunddaten!F201,"'")</f>
        <v>'Meißner'</v>
      </c>
      <c r="D206" s="4" t="str">
        <f>CONCATENATE("'",Grunddaten!E201,"'")</f>
        <v>'Marcel'</v>
      </c>
      <c r="E206" s="4">
        <f>VLOOKUP(Grunddaten!D201,FormOfAddress,2,TRUE)</f>
        <v>1</v>
      </c>
      <c r="F206" s="4">
        <f>VLOOKUP(Grunddaten!I201,FamilyStatus,2,FALSE)</f>
        <v>1</v>
      </c>
      <c r="G206" s="4" t="str">
        <f>IF(Grunddaten!J201&lt;&gt;"",CONCATENATE("'",TEXT(Grunddaten!J201,"JJJJ-MM-tt"),"'"),"NULL")</f>
        <v>NULL</v>
      </c>
      <c r="H206" s="4" t="str">
        <f>CONCATENATE("'",TEXT(Grunddaten!G201,"JJJJ-MM-tt"),"'")</f>
        <v>'2005-06-15'</v>
      </c>
      <c r="J206" s="14">
        <f>Grunddaten!A201</f>
        <v>199</v>
      </c>
      <c r="K206" s="14">
        <f>Grunddaten!Y201</f>
        <v>1</v>
      </c>
      <c r="L206" s="14" t="str">
        <f ca="1">CONCATENATE("'",Grunddaten!Z201,"'")</f>
        <v>'12057'</v>
      </c>
      <c r="M206" s="14" t="str">
        <f>CONCATENATE("'",Grunddaten!AA201,"'")</f>
        <v>'Berlin'</v>
      </c>
      <c r="N206" s="14" t="str">
        <f>CONCATENATE("'",Grunddaten!AB201,"'")</f>
        <v>'Mozartplatz'</v>
      </c>
      <c r="O206" s="14" t="str">
        <f>CONCATENATE("'",Grunddaten!AC201,"'")</f>
        <v>'11'</v>
      </c>
      <c r="P206" s="14">
        <f>Grunddaten!AD201</f>
        <v>1</v>
      </c>
      <c r="R206" s="13">
        <f>Grunddaten!A201</f>
        <v>199</v>
      </c>
      <c r="S206" s="13">
        <f>Grunddaten!AF201</f>
        <v>1</v>
      </c>
      <c r="T206" s="13" t="str">
        <f>CONCATENATE("'",Grunddaten!AG201,"'")</f>
        <v>'030'</v>
      </c>
      <c r="U206" s="13" t="str">
        <f ca="1">CONCATENATE("'",Grunddaten!AH201,"'")</f>
        <v>'45582870'</v>
      </c>
      <c r="V206" s="13">
        <f>Grunddaten!AI203</f>
        <v>1</v>
      </c>
      <c r="Z206" s="2" t="str" cm="1">
        <f t="array" ref="Z206">CONCATENATE("                   ",Liste(B206:H206),IF(Z207&lt;&gt;"",",",""))</f>
        <v xml:space="preserve">                   (199, 'Meißner', 'Marcel', 1, 1, NULL, '2005-06-15')</v>
      </c>
      <c r="AB206" s="2" t="str" cm="1">
        <f t="array" aca="1" ref="AB206" ca="1">CONCATENATE("                    ",Liste(J206:P206),IF(AB207&lt;&gt;"",",",""))</f>
        <v xml:space="preserve">                    (199, 1, '12057', 'Berlin', 'Mozartplatz', '11', 1)</v>
      </c>
      <c r="AD206" s="2" t="str" cm="1">
        <f t="array" aca="1" ref="AD206" ca="1">CONCATENATE("                   ",Liste(R206:V206),IF(AD207&lt;&gt;"",",",""))</f>
        <v xml:space="preserve">                   (199, 1, '030', '45582870', 1)</v>
      </c>
    </row>
    <row r="207" spans="2:30" x14ac:dyDescent="0.45">
      <c r="V207" s="13">
        <f>Grunddaten!AI204</f>
        <v>1</v>
      </c>
      <c r="Z207" s="2"/>
    </row>
    <row r="208" spans="2:30" x14ac:dyDescent="0.45">
      <c r="V208" s="13">
        <f>Grunddaten!AI205</f>
        <v>1</v>
      </c>
      <c r="Z208" s="2" t="str" cm="1">
        <f t="array" ref="Z208">CONCATENATE("INSERT INTO ",A$1," ",Liste(B$1:H$1)," VALUES")</f>
        <v>INSERT INTO Person (ID, Name, FirstName, FormOfAddress, FamilyStatus, FamilyStatusSince, Birthday) VALUES</v>
      </c>
      <c r="AB208" s="2" t="str" cm="1">
        <f t="array" ref="AB208">CONCATENATE("INSERT INTO ",I$1," ",Liste(J$1:P$1)," VALUES")</f>
        <v>INSERT INTO Address (ID, AddressType, Zipcode, City, Street, StreetNumber, Country) VALUES</v>
      </c>
      <c r="AD208" s="2" t="str" cm="1">
        <f t="array" ref="AD208">CONCATENATE("INSERT INTO ",Q$1," ",Liste(R$1:V$1)," VALUES")</f>
        <v>INSERT INTO Phone (ID, PhoneType, AreaCode, CallNumber, Country) VALUES</v>
      </c>
    </row>
    <row r="209" spans="2:30" x14ac:dyDescent="0.45">
      <c r="B209" s="4">
        <f>Grunddaten!A202</f>
        <v>200</v>
      </c>
      <c r="C209" s="4" t="str">
        <f>CONCATENATE("'",Grunddaten!F202,"'")</f>
        <v>'Meier- Friedrich'</v>
      </c>
      <c r="D209" s="4" t="str">
        <f>CONCATENATE("'",Grunddaten!E202,"'")</f>
        <v>'Karin'</v>
      </c>
      <c r="E209" s="4">
        <f>VLOOKUP(Grunddaten!D202,FormOfAddress,2,TRUE)</f>
        <v>2</v>
      </c>
      <c r="F209" s="4">
        <f>VLOOKUP(Grunddaten!I202,FamilyStatus,2,FALSE)</f>
        <v>1</v>
      </c>
      <c r="G209" s="4" t="str">
        <f>IF(Grunddaten!J202&lt;&gt;"",CONCATENATE("'",TEXT(Grunddaten!J202,"JJJJ-MM-tt"),"'"),"NULL")</f>
        <v>NULL</v>
      </c>
      <c r="H209" s="4" t="str">
        <f>CONCATENATE("'",TEXT(Grunddaten!G202,"JJJJ-MM-tt"),"'")</f>
        <v>'2001-03-30'</v>
      </c>
      <c r="J209" s="14">
        <f>Grunddaten!A202</f>
        <v>200</v>
      </c>
      <c r="K209" s="14">
        <f>Grunddaten!Y202</f>
        <v>1</v>
      </c>
      <c r="L209" s="14" t="str">
        <f ca="1">CONCATENATE("'",Grunddaten!Z202,"'")</f>
        <v>'12157'</v>
      </c>
      <c r="M209" s="14" t="str">
        <f>CONCATENATE("'",Grunddaten!AA202,"'")</f>
        <v>'Berlin'</v>
      </c>
      <c r="N209" s="14" t="str">
        <f>CONCATENATE("'",Grunddaten!AB202,"'")</f>
        <v>'San-Jose-Weg'</v>
      </c>
      <c r="O209" s="14" t="str">
        <f>CONCATENATE("'",Grunddaten!AC202,"'")</f>
        <v>'2'</v>
      </c>
      <c r="P209" s="14">
        <f>Grunddaten!AD202</f>
        <v>1</v>
      </c>
      <c r="R209" s="13">
        <f>Grunddaten!A202</f>
        <v>200</v>
      </c>
      <c r="S209" s="13">
        <f>Grunddaten!AF202</f>
        <v>1</v>
      </c>
      <c r="T209" s="13" t="str">
        <f>CONCATENATE("'",Grunddaten!AG202,"'")</f>
        <v>'030'</v>
      </c>
      <c r="U209" s="13" t="str">
        <f ca="1">CONCATENATE("'",Grunddaten!AH202,"'")</f>
        <v>'82974995'</v>
      </c>
      <c r="V209" s="13">
        <f>Grunddaten!AI202</f>
        <v>1</v>
      </c>
      <c r="Z209" s="2" t="str" cm="1">
        <f t="array" ref="Z209">CONCATENATE("                   ",Liste(B209:H209),IF(Z210&lt;&gt;"",",",""))</f>
        <v xml:space="preserve">                   (200, 'Meier- Friedrich', 'Karin', 2, 1, NULL, '2001-03-30'),</v>
      </c>
      <c r="AB209" s="2" t="str" cm="1">
        <f t="array" aca="1" ref="AB209" ca="1">CONCATENATE("                    ",Liste(J209:P209),IF(AB210&lt;&gt;"",",",""))</f>
        <v xml:space="preserve">                    (200, 1, '12157', 'Berlin', 'San-Jose-Weg', '2', 1),</v>
      </c>
      <c r="AD209" s="2" t="str" cm="1">
        <f t="array" aca="1" ref="AD209" ca="1">CONCATENATE("                   ",Liste(R209:V209),IF(AD210&lt;&gt;"",",",""))</f>
        <v xml:space="preserve">                   (200, 1, '030', '82974995', 1),</v>
      </c>
    </row>
    <row r="210" spans="2:30" x14ac:dyDescent="0.45">
      <c r="B210" s="4">
        <f>Grunddaten!A203</f>
        <v>201</v>
      </c>
      <c r="C210" s="4" t="str">
        <f>CONCATENATE("'",Grunddaten!F203,"'")</f>
        <v>'Kiesel'</v>
      </c>
      <c r="D210" s="4" t="str">
        <f>CONCATENATE("'",Grunddaten!E203,"'")</f>
        <v>'Veronika'</v>
      </c>
      <c r="E210" s="4">
        <f>VLOOKUP(Grunddaten!D203,FormOfAddress,2,TRUE)</f>
        <v>2</v>
      </c>
      <c r="F210" s="4">
        <f>VLOOKUP(Grunddaten!I203,FamilyStatus,2,FALSE)</f>
        <v>4</v>
      </c>
      <c r="G210" s="4" t="str">
        <f>IF(Grunddaten!J203&lt;&gt;"",CONCATENATE("'",TEXT(Grunddaten!J203,"JJJJ-MM-tt"),"'"),"NULL")</f>
        <v>'2015-04-12'</v>
      </c>
      <c r="H210" s="4" t="str">
        <f>CONCATENATE("'",TEXT(Grunddaten!G203,"JJJJ-MM-tt"),"'")</f>
        <v>'1955-04-16'</v>
      </c>
      <c r="J210" s="14">
        <f>Grunddaten!A203</f>
        <v>201</v>
      </c>
      <c r="K210" s="14">
        <f>Grunddaten!Y203</f>
        <v>1</v>
      </c>
      <c r="L210" s="14" t="str">
        <f ca="1">CONCATENATE("'",Grunddaten!Z203,"'")</f>
        <v>'14050'</v>
      </c>
      <c r="M210" s="14" t="str">
        <f>CONCATENATE("'",Grunddaten!AA203,"'")</f>
        <v>'Berlin'</v>
      </c>
      <c r="N210" s="14" t="str">
        <f>CONCATENATE("'",Grunddaten!AB203,"'")</f>
        <v>'Max-Frisch-Straße'</v>
      </c>
      <c r="O210" s="14" t="str">
        <f>CONCATENATE("'",Grunddaten!AC203,"'")</f>
        <v>'1'</v>
      </c>
      <c r="P210" s="14">
        <f>Grunddaten!AD203</f>
        <v>1</v>
      </c>
      <c r="R210" s="13">
        <f>Grunddaten!A203</f>
        <v>201</v>
      </c>
      <c r="S210" s="13">
        <f>Grunddaten!AF203</f>
        <v>1</v>
      </c>
      <c r="T210" s="13" t="str">
        <f>CONCATENATE("'",Grunddaten!AG203,"'")</f>
        <v>'030'</v>
      </c>
      <c r="U210" s="13" t="str">
        <f ca="1">CONCATENATE("'",Grunddaten!AH203,"'")</f>
        <v>'72614147'</v>
      </c>
      <c r="V210" s="13">
        <f>Grunddaten!AI203</f>
        <v>1</v>
      </c>
      <c r="Z210" s="2" t="str" cm="1">
        <f t="array" ref="Z210">CONCATENATE("                   ",Liste(B210:H210),IF(Z211&lt;&gt;"",",",""))</f>
        <v xml:space="preserve">                   (201, 'Kiesel', 'Veronika', 2, 4, '2015-04-12', '1955-04-16'),</v>
      </c>
      <c r="AB210" s="2" t="str" cm="1">
        <f t="array" aca="1" ref="AB210" ca="1">CONCATENATE("                    ",Liste(J210:P210),IF(AB211&lt;&gt;"",",",""))</f>
        <v xml:space="preserve">                    (201, 1, '14050', 'Berlin', 'Max-Frisch-Straße', '1', 1),</v>
      </c>
      <c r="AD210" s="2" t="str" cm="1">
        <f t="array" aca="1" ref="AD210" ca="1">CONCATENATE("                   ",Liste(R210:V210),IF(AD211&lt;&gt;"",",",""))</f>
        <v xml:space="preserve">                   (201, 1, '030', '72614147', 1),</v>
      </c>
    </row>
    <row r="211" spans="2:30" x14ac:dyDescent="0.45">
      <c r="B211" s="4">
        <f>Grunddaten!A204</f>
        <v>202</v>
      </c>
      <c r="C211" s="4" t="str">
        <f>CONCATENATE("'",Grunddaten!F204,"'")</f>
        <v>'Kaiser'</v>
      </c>
      <c r="D211" s="4" t="str">
        <f>CONCATENATE("'",Grunddaten!E204,"'")</f>
        <v>'Bianca'</v>
      </c>
      <c r="E211" s="4">
        <f>VLOOKUP(Grunddaten!D204,FormOfAddress,2,TRUE)</f>
        <v>2</v>
      </c>
      <c r="F211" s="4">
        <f>VLOOKUP(Grunddaten!I204,FamilyStatus,2,FALSE)</f>
        <v>2</v>
      </c>
      <c r="G211" s="4" t="str">
        <f>IF(Grunddaten!J204&lt;&gt;"",CONCATENATE("'",TEXT(Grunddaten!J204,"JJJJ-MM-tt"),"'"),"NULL")</f>
        <v>'2004-09-16'</v>
      </c>
      <c r="H211" s="4" t="str">
        <f>CONCATENATE("'",TEXT(Grunddaten!G204,"JJJJ-MM-tt"),"'")</f>
        <v>'1975-05-01'</v>
      </c>
      <c r="J211" s="14">
        <f>Grunddaten!A204</f>
        <v>202</v>
      </c>
      <c r="K211" s="14">
        <f>Grunddaten!Y204</f>
        <v>1</v>
      </c>
      <c r="L211" s="14" t="str">
        <f ca="1">CONCATENATE("'",Grunddaten!Z204,"'")</f>
        <v>'14050'</v>
      </c>
      <c r="M211" s="14" t="str">
        <f>CONCATENATE("'",Grunddaten!AA204,"'")</f>
        <v>'Berlin'</v>
      </c>
      <c r="N211" s="14" t="str">
        <f>CONCATENATE("'",Grunddaten!AB204,"'")</f>
        <v>'Tannenstraße'</v>
      </c>
      <c r="O211" s="14" t="str">
        <f>CONCATENATE("'",Grunddaten!AC204,"'")</f>
        <v>'27E'</v>
      </c>
      <c r="P211" s="14">
        <f>Grunddaten!AD204</f>
        <v>1</v>
      </c>
      <c r="R211" s="13">
        <f>Grunddaten!A204</f>
        <v>202</v>
      </c>
      <c r="S211" s="13">
        <f>Grunddaten!AF204</f>
        <v>1</v>
      </c>
      <c r="T211" s="13" t="str">
        <f>CONCATENATE("'",Grunddaten!AG204,"'")</f>
        <v>'030'</v>
      </c>
      <c r="U211" s="13" t="str">
        <f ca="1">CONCATENATE("'",Grunddaten!AH204,"'")</f>
        <v>'58733608'</v>
      </c>
      <c r="V211" s="13">
        <f>Grunddaten!AI204</f>
        <v>1</v>
      </c>
      <c r="Z211" s="2" t="str" cm="1">
        <f t="array" ref="Z211">CONCATENATE("                   ",Liste(B211:H211),IF(Z212&lt;&gt;"",",",""))</f>
        <v xml:space="preserve">                   (202, 'Kaiser', 'Bianca', 2, 2, '2004-09-16', '1975-05-01'),</v>
      </c>
      <c r="AB211" s="2" t="str" cm="1">
        <f t="array" aca="1" ref="AB211" ca="1">CONCATENATE("                    ",Liste(J211:P211),IF(AB212&lt;&gt;"",",",""))</f>
        <v xml:space="preserve">                    (202, 1, '14050', 'Berlin', 'Tannenstraße', '27E', 1),</v>
      </c>
      <c r="AD211" s="2" t="str" cm="1">
        <f t="array" aca="1" ref="AD211" ca="1">CONCATENATE("                   ",Liste(R211:V211),IF(AD212&lt;&gt;"",",",""))</f>
        <v xml:space="preserve">                   (202, 1, '030', '58733608', 1),</v>
      </c>
    </row>
    <row r="212" spans="2:30" x14ac:dyDescent="0.45">
      <c r="B212" s="4">
        <f>Grunddaten!A205</f>
        <v>203</v>
      </c>
      <c r="C212" s="4" t="str">
        <f>CONCATENATE("'",Grunddaten!F205,"'")</f>
        <v>'Steiger'</v>
      </c>
      <c r="D212" s="4" t="str">
        <f>CONCATENATE("'",Grunddaten!E205,"'")</f>
        <v>'Ronny'</v>
      </c>
      <c r="E212" s="4">
        <f>VLOOKUP(Grunddaten!D205,FormOfAddress,2,TRUE)</f>
        <v>1</v>
      </c>
      <c r="F212" s="4">
        <f>VLOOKUP(Grunddaten!I205,FamilyStatus,2,FALSE)</f>
        <v>1</v>
      </c>
      <c r="G212" s="4" t="str">
        <f>IF(Grunddaten!J205&lt;&gt;"",CONCATENATE("'",TEXT(Grunddaten!J205,"JJJJ-MM-tt"),"'"),"NULL")</f>
        <v>NULL</v>
      </c>
      <c r="H212" s="4" t="str">
        <f>CONCATENATE("'",TEXT(Grunddaten!G205,"JJJJ-MM-tt"),"'")</f>
        <v>'1971-01-05'</v>
      </c>
      <c r="J212" s="14">
        <f>Grunddaten!A205</f>
        <v>203</v>
      </c>
      <c r="K212" s="14">
        <f>Grunddaten!Y205</f>
        <v>1</v>
      </c>
      <c r="L212" s="14" t="str">
        <f ca="1">CONCATENATE("'",Grunddaten!Z205,"'")</f>
        <v>'12157'</v>
      </c>
      <c r="M212" s="14" t="str">
        <f>CONCATENATE("'",Grunddaten!AA205,"'")</f>
        <v>'Berlin'</v>
      </c>
      <c r="N212" s="14" t="str">
        <f>CONCATENATE("'",Grunddaten!AB205,"'")</f>
        <v>'Kastanienweg'</v>
      </c>
      <c r="O212" s="14" t="str">
        <f>CONCATENATE("'",Grunddaten!AC205,"'")</f>
        <v>'6'</v>
      </c>
      <c r="P212" s="14">
        <f>Grunddaten!AD205</f>
        <v>1</v>
      </c>
      <c r="R212" s="13">
        <f>Grunddaten!A205</f>
        <v>203</v>
      </c>
      <c r="S212" s="13">
        <f>Grunddaten!AF205</f>
        <v>1</v>
      </c>
      <c r="T212" s="13" t="str">
        <f>CONCATENATE("'",Grunddaten!AG205,"'")</f>
        <v>'030'</v>
      </c>
      <c r="U212" s="13" t="str">
        <f ca="1">CONCATENATE("'",Grunddaten!AH205,"'")</f>
        <v>'59510861'</v>
      </c>
      <c r="V212" s="13">
        <f>Grunddaten!AI205</f>
        <v>1</v>
      </c>
      <c r="Z212" s="2" t="str" cm="1">
        <f t="array" ref="Z212">CONCATENATE("                   ",Liste(B212:H212),IF(Z213&lt;&gt;"",",",""))</f>
        <v xml:space="preserve">                   (203, 'Steiger', 'Ronny', 1, 1, NULL, '1971-01-05'),</v>
      </c>
      <c r="AB212" s="2" t="str" cm="1">
        <f t="array" aca="1" ref="AB212" ca="1">CONCATENATE("                    ",Liste(J212:P212),IF(AB213&lt;&gt;"",",",""))</f>
        <v xml:space="preserve">                    (203, 1, '12157', 'Berlin', 'Kastanienweg', '6', 1),</v>
      </c>
      <c r="AD212" s="2" t="str" cm="1">
        <f t="array" aca="1" ref="AD212" ca="1">CONCATENATE("                   ",Liste(R212:V212),IF(AD213&lt;&gt;"",",",""))</f>
        <v xml:space="preserve">                   (203, 1, '030', '59510861', 1),</v>
      </c>
    </row>
    <row r="213" spans="2:30" x14ac:dyDescent="0.45">
      <c r="B213" s="4">
        <f>Grunddaten!A206</f>
        <v>204</v>
      </c>
      <c r="C213" s="4" t="str">
        <f>CONCATENATE("'",Grunddaten!F206,"'")</f>
        <v>'Klein'</v>
      </c>
      <c r="D213" s="4" t="str">
        <f>CONCATENATE("'",Grunddaten!E206,"'")</f>
        <v>'Maik'</v>
      </c>
      <c r="E213" s="4">
        <f>VLOOKUP(Grunddaten!D206,FormOfAddress,2,TRUE)</f>
        <v>1</v>
      </c>
      <c r="F213" s="4">
        <f>VLOOKUP(Grunddaten!I206,FamilyStatus,2,FALSE)</f>
        <v>2</v>
      </c>
      <c r="G213" s="4" t="str">
        <f>IF(Grunddaten!J206&lt;&gt;"",CONCATENATE("'",TEXT(Grunddaten!J206,"JJJJ-MM-tt"),"'"),"NULL")</f>
        <v>'1997-09-05'</v>
      </c>
      <c r="H213" s="4" t="str">
        <f>CONCATENATE("'",TEXT(Grunddaten!G206,"JJJJ-MM-tt"),"'")</f>
        <v>'1966-11-24'</v>
      </c>
      <c r="J213" s="14">
        <f>Grunddaten!A206</f>
        <v>204</v>
      </c>
      <c r="K213" s="14">
        <f>Grunddaten!Y206</f>
        <v>1</v>
      </c>
      <c r="L213" s="14" t="str">
        <f ca="1">CONCATENATE("'",Grunddaten!Z206,"'")</f>
        <v>'12524'</v>
      </c>
      <c r="M213" s="14" t="str">
        <f>CONCATENATE("'",Grunddaten!AA206,"'")</f>
        <v>'Berlin'</v>
      </c>
      <c r="N213" s="14" t="str">
        <f>CONCATENATE("'",Grunddaten!AB206,"'")</f>
        <v>'Las-Vegas-Straße'</v>
      </c>
      <c r="O213" s="14" t="str">
        <f>CONCATENATE("'",Grunddaten!AC206,"'")</f>
        <v>'4'</v>
      </c>
      <c r="P213" s="14">
        <f>Grunddaten!AD206</f>
        <v>1</v>
      </c>
      <c r="R213" s="13">
        <f>Grunddaten!A206</f>
        <v>204</v>
      </c>
      <c r="S213" s="13">
        <f>Grunddaten!AF206</f>
        <v>1</v>
      </c>
      <c r="T213" s="13" t="str">
        <f>CONCATENATE("'",Grunddaten!AG206,"'")</f>
        <v>'030'</v>
      </c>
      <c r="U213" s="13" t="str">
        <f ca="1">CONCATENATE("'",Grunddaten!AH206,"'")</f>
        <v>'73675892'</v>
      </c>
      <c r="V213" s="13">
        <f>Grunddaten!AI206</f>
        <v>1</v>
      </c>
      <c r="Z213" s="2" t="str" cm="1">
        <f t="array" ref="Z213">CONCATENATE("                   ",Liste(B213:H213),IF(Z214&lt;&gt;"",",",""))</f>
        <v xml:space="preserve">                   (204, 'Klein', 'Maik', 1, 2, '1997-09-05', '1966-11-24'),</v>
      </c>
      <c r="AB213" s="2" t="str" cm="1">
        <f t="array" aca="1" ref="AB213" ca="1">CONCATENATE("                    ",Liste(J213:P213),IF(AB214&lt;&gt;"",",",""))</f>
        <v xml:space="preserve">                    (204, 1, '12524', 'Berlin', 'Las-Vegas-Straße', '4', 1),</v>
      </c>
      <c r="AD213" s="2" t="str" cm="1">
        <f t="array" aca="1" ref="AD213" ca="1">CONCATENATE("                   ",Liste(R213:V213),IF(AD214&lt;&gt;"",",",""))</f>
        <v xml:space="preserve">                   (204, 1, '030', '73675892', 1),</v>
      </c>
    </row>
    <row r="214" spans="2:30" x14ac:dyDescent="0.45">
      <c r="B214" s="4">
        <f>Grunddaten!A207</f>
        <v>205</v>
      </c>
      <c r="C214" s="4" t="str">
        <f>CONCATENATE("'",Grunddaten!F207,"'")</f>
        <v>'Sachs'</v>
      </c>
      <c r="D214" s="4" t="str">
        <f>CONCATENATE("'",Grunddaten!E207,"'")</f>
        <v>'Mathias'</v>
      </c>
      <c r="E214" s="4">
        <f>VLOOKUP(Grunddaten!D207,FormOfAddress,2,TRUE)</f>
        <v>1</v>
      </c>
      <c r="F214" s="4">
        <f>VLOOKUP(Grunddaten!I207,FamilyStatus,2,FALSE)</f>
        <v>2</v>
      </c>
      <c r="G214" s="4" t="str">
        <f>IF(Grunddaten!J207&lt;&gt;"",CONCATENATE("'",TEXT(Grunddaten!J207,"JJJJ-MM-tt"),"'"),"NULL")</f>
        <v>'1988-03-19'</v>
      </c>
      <c r="H214" s="4" t="str">
        <f>CONCATENATE("'",TEXT(Grunddaten!G207,"JJJJ-MM-tt"),"'")</f>
        <v>'1956-05-07'</v>
      </c>
      <c r="J214" s="14">
        <f>Grunddaten!A207</f>
        <v>205</v>
      </c>
      <c r="K214" s="14">
        <f>Grunddaten!Y207</f>
        <v>1</v>
      </c>
      <c r="L214" s="14" t="str">
        <f ca="1">CONCATENATE("'",Grunddaten!Z207,"'")</f>
        <v>'12524'</v>
      </c>
      <c r="M214" s="14" t="str">
        <f>CONCATENATE("'",Grunddaten!AA207,"'")</f>
        <v>'Berlin'</v>
      </c>
      <c r="N214" s="14" t="str">
        <f>CONCATENATE("'",Grunddaten!AB207,"'")</f>
        <v>'Schlossplatz'</v>
      </c>
      <c r="O214" s="14" t="str">
        <f>CONCATENATE("'",Grunddaten!AC207,"'")</f>
        <v>'2'</v>
      </c>
      <c r="P214" s="14">
        <f>Grunddaten!AD207</f>
        <v>1</v>
      </c>
      <c r="R214" s="13">
        <f>Grunddaten!A207</f>
        <v>205</v>
      </c>
      <c r="S214" s="13">
        <f>Grunddaten!AF207</f>
        <v>1</v>
      </c>
      <c r="T214" s="13" t="str">
        <f>CONCATENATE("'",Grunddaten!AG207,"'")</f>
        <v>'030'</v>
      </c>
      <c r="U214" s="13" t="str">
        <f ca="1">CONCATENATE("'",Grunddaten!AH207,"'")</f>
        <v>'47268135'</v>
      </c>
      <c r="V214" s="13">
        <f>Grunddaten!AI207</f>
        <v>1</v>
      </c>
      <c r="Z214" s="2" t="str" cm="1">
        <f t="array" ref="Z214">CONCATENATE("                   ",Liste(B214:H214),IF(Z215&lt;&gt;"",",",""))</f>
        <v xml:space="preserve">                   (205, 'Sachs', 'Mathias', 1, 2, '1988-03-19', '1956-05-07'),</v>
      </c>
      <c r="AB214" s="2" t="str" cm="1">
        <f t="array" aca="1" ref="AB214" ca="1">CONCATENATE("                    ",Liste(J214:P214),IF(AB215&lt;&gt;"",",",""))</f>
        <v xml:space="preserve">                    (205, 1, '12524', 'Berlin', 'Schlossplatz', '2', 1),</v>
      </c>
      <c r="AD214" s="2" t="str" cm="1">
        <f t="array" aca="1" ref="AD214" ca="1">CONCATENATE("                   ",Liste(R214:V214),IF(AD215&lt;&gt;"",",",""))</f>
        <v xml:space="preserve">                   (205, 1, '030', '47268135', 1),</v>
      </c>
    </row>
    <row r="215" spans="2:30" x14ac:dyDescent="0.45">
      <c r="B215" s="4">
        <f>Grunddaten!A208</f>
        <v>206</v>
      </c>
      <c r="C215" s="4" t="str">
        <f>CONCATENATE("'",Grunddaten!F208,"'")</f>
        <v>'Walden'</v>
      </c>
      <c r="D215" s="4" t="str">
        <f>CONCATENATE("'",Grunddaten!E208,"'")</f>
        <v>'Bernd'</v>
      </c>
      <c r="E215" s="4">
        <f>VLOOKUP(Grunddaten!D208,FormOfAddress,2,TRUE)</f>
        <v>1</v>
      </c>
      <c r="F215" s="4">
        <f>VLOOKUP(Grunddaten!I208,FamilyStatus,2,FALSE)</f>
        <v>1</v>
      </c>
      <c r="G215" s="4" t="str">
        <f>IF(Grunddaten!J208&lt;&gt;"",CONCATENATE("'",TEXT(Grunddaten!J208,"JJJJ-MM-tt"),"'"),"NULL")</f>
        <v>NULL</v>
      </c>
      <c r="H215" s="4" t="str">
        <f>CONCATENATE("'",TEXT(Grunddaten!G208,"JJJJ-MM-tt"),"'")</f>
        <v>'1990-01-15'</v>
      </c>
      <c r="J215" s="14">
        <f>Grunddaten!A208</f>
        <v>206</v>
      </c>
      <c r="K215" s="14">
        <f>Grunddaten!Y208</f>
        <v>1</v>
      </c>
      <c r="L215" s="14" t="str">
        <f ca="1">CONCATENATE("'",Grunddaten!Z208,"'")</f>
        <v>'12043'</v>
      </c>
      <c r="M215" s="14" t="str">
        <f>CONCATENATE("'",Grunddaten!AA208,"'")</f>
        <v>'Berlin'</v>
      </c>
      <c r="N215" s="14" t="str">
        <f>CONCATENATE("'",Grunddaten!AB208,"'")</f>
        <v>'Karlstraße'</v>
      </c>
      <c r="O215" s="14" t="str">
        <f>CONCATENATE("'",Grunddaten!AC208,"'")</f>
        <v>'32'</v>
      </c>
      <c r="P215" s="14">
        <f>Grunddaten!AD208</f>
        <v>1</v>
      </c>
      <c r="R215" s="13">
        <f>Grunddaten!A208</f>
        <v>206</v>
      </c>
      <c r="S215" s="13">
        <f>Grunddaten!AF208</f>
        <v>1</v>
      </c>
      <c r="T215" s="13" t="str">
        <f>CONCATENATE("'",Grunddaten!AG208,"'")</f>
        <v>'030'</v>
      </c>
      <c r="U215" s="13" t="str">
        <f ca="1">CONCATENATE("'",Grunddaten!AH208,"'")</f>
        <v>'49139857'</v>
      </c>
      <c r="V215" s="13">
        <f>Grunddaten!AI208</f>
        <v>1</v>
      </c>
      <c r="Z215" s="2" t="str" cm="1">
        <f t="array" ref="Z215">CONCATENATE("                   ",Liste(B215:H215),IF(Z216&lt;&gt;"",",",""))</f>
        <v xml:space="preserve">                   (206, 'Walden', 'Bernd', 1, 1, NULL, '1990-01-15'),</v>
      </c>
      <c r="AB215" s="2" t="str" cm="1">
        <f t="array" aca="1" ref="AB215" ca="1">CONCATENATE("                    ",Liste(J215:P215),IF(AB216&lt;&gt;"",",",""))</f>
        <v xml:space="preserve">                    (206, 1, '12043', 'Berlin', 'Karlstraße', '32', 1),</v>
      </c>
      <c r="AD215" s="2" t="str" cm="1">
        <f t="array" aca="1" ref="AD215" ca="1">CONCATENATE("                   ",Liste(R215:V215),IF(AD216&lt;&gt;"",",",""))</f>
        <v xml:space="preserve">                   (206, 1, '030', '49139857', 1),</v>
      </c>
    </row>
    <row r="216" spans="2:30" x14ac:dyDescent="0.45">
      <c r="B216" s="4">
        <f>Grunddaten!A209</f>
        <v>207</v>
      </c>
      <c r="C216" s="4" t="str">
        <f>CONCATENATE("'",Grunddaten!F209,"'")</f>
        <v>'Gutmann'</v>
      </c>
      <c r="D216" s="4" t="str">
        <f>CONCATENATE("'",Grunddaten!E209,"'")</f>
        <v>'Torsten'</v>
      </c>
      <c r="E216" s="4">
        <f>VLOOKUP(Grunddaten!D209,FormOfAddress,2,TRUE)</f>
        <v>1</v>
      </c>
      <c r="F216" s="4">
        <f>VLOOKUP(Grunddaten!I209,FamilyStatus,2,FALSE)</f>
        <v>2</v>
      </c>
      <c r="G216" s="4" t="str">
        <f>IF(Grunddaten!J209&lt;&gt;"",CONCATENATE("'",TEXT(Grunddaten!J209,"JJJJ-MM-tt"),"'"),"NULL")</f>
        <v>'1996-12-18'</v>
      </c>
      <c r="H216" s="4" t="str">
        <f>CONCATENATE("'",TEXT(Grunddaten!G209,"JJJJ-MM-tt"),"'")</f>
        <v>'1963-02-24'</v>
      </c>
      <c r="J216" s="14">
        <f>Grunddaten!A209</f>
        <v>207</v>
      </c>
      <c r="K216" s="14">
        <f>Grunddaten!Y209</f>
        <v>1</v>
      </c>
      <c r="L216" s="14" t="str">
        <f ca="1">CONCATENATE("'",Grunddaten!Z209,"'")</f>
        <v>'12157'</v>
      </c>
      <c r="M216" s="14" t="str">
        <f>CONCATENATE("'",Grunddaten!AA209,"'")</f>
        <v>'Berlin'</v>
      </c>
      <c r="N216" s="14" t="str">
        <f>CONCATENATE("'",Grunddaten!AB209,"'")</f>
        <v>'Orlando-Weg'</v>
      </c>
      <c r="O216" s="14" t="str">
        <f>CONCATENATE("'",Grunddaten!AC209,"'")</f>
        <v>'10C'</v>
      </c>
      <c r="P216" s="14">
        <f>Grunddaten!AD209</f>
        <v>1</v>
      </c>
      <c r="R216" s="13">
        <f>Grunddaten!A209</f>
        <v>207</v>
      </c>
      <c r="S216" s="13">
        <f>Grunddaten!AF209</f>
        <v>1</v>
      </c>
      <c r="T216" s="13" t="str">
        <f>CONCATENATE("'",Grunddaten!AG209,"'")</f>
        <v>'030'</v>
      </c>
      <c r="U216" s="13" t="str">
        <f ca="1">CONCATENATE("'",Grunddaten!AH209,"'")</f>
        <v>'51201920'</v>
      </c>
      <c r="V216" s="13">
        <f>Grunddaten!AI209</f>
        <v>1</v>
      </c>
      <c r="Z216" s="2" t="str" cm="1">
        <f t="array" ref="Z216">CONCATENATE("                   ",Liste(B216:H216),IF(Z217&lt;&gt;"",",",""))</f>
        <v xml:space="preserve">                   (207, 'Gutmann', 'Torsten', 1, 2, '1996-12-18', '1963-02-24'),</v>
      </c>
      <c r="AB216" s="2" t="str" cm="1">
        <f t="array" aca="1" ref="AB216" ca="1">CONCATENATE("                    ",Liste(J216:P216),IF(AB217&lt;&gt;"",",",""))</f>
        <v xml:space="preserve">                    (207, 1, '12157', 'Berlin', 'Orlando-Weg', '10C', 1),</v>
      </c>
      <c r="AD216" s="2" t="str" cm="1">
        <f t="array" aca="1" ref="AD216" ca="1">CONCATENATE("                   ",Liste(R216:V216),IF(AD217&lt;&gt;"",",",""))</f>
        <v xml:space="preserve">                   (207, 1, '030', '51201920', 1),</v>
      </c>
    </row>
    <row r="217" spans="2:30" x14ac:dyDescent="0.45">
      <c r="B217" s="4">
        <f>Grunddaten!A210</f>
        <v>208</v>
      </c>
      <c r="C217" s="4" t="str">
        <f>CONCATENATE("'",Grunddaten!F210,"'")</f>
        <v>'Engel'</v>
      </c>
      <c r="D217" s="4" t="str">
        <f>CONCATENATE("'",Grunddaten!E210,"'")</f>
        <v>'Jörg'</v>
      </c>
      <c r="E217" s="4">
        <f>VLOOKUP(Grunddaten!D210,FormOfAddress,2,TRUE)</f>
        <v>1</v>
      </c>
      <c r="F217" s="4">
        <f>VLOOKUP(Grunddaten!I210,FamilyStatus,2,FALSE)</f>
        <v>1</v>
      </c>
      <c r="G217" s="4" t="str">
        <f>IF(Grunddaten!J210&lt;&gt;"",CONCATENATE("'",TEXT(Grunddaten!J210,"JJJJ-MM-tt"),"'"),"NULL")</f>
        <v>NULL</v>
      </c>
      <c r="H217" s="4" t="str">
        <f>CONCATENATE("'",TEXT(Grunddaten!G210,"JJJJ-MM-tt"),"'")</f>
        <v>'2003-04-23'</v>
      </c>
      <c r="J217" s="14">
        <f>Grunddaten!A210</f>
        <v>208</v>
      </c>
      <c r="K217" s="14">
        <f>Grunddaten!Y210</f>
        <v>1</v>
      </c>
      <c r="L217" s="14" t="str">
        <f ca="1">CONCATENATE("'",Grunddaten!Z210,"'")</f>
        <v>'14822'</v>
      </c>
      <c r="M217" s="14" t="str">
        <f>CONCATENATE("'",Grunddaten!AA210,"'")</f>
        <v>'Brück'</v>
      </c>
      <c r="N217" s="14" t="str">
        <f>CONCATENATE("'",Grunddaten!AB210,"'")</f>
        <v>'Sonnenallee'</v>
      </c>
      <c r="O217" s="14" t="str">
        <f>CONCATENATE("'",Grunddaten!AC210,"'")</f>
        <v>'34B'</v>
      </c>
      <c r="P217" s="14">
        <f>Grunddaten!AD210</f>
        <v>1</v>
      </c>
      <c r="R217" s="13">
        <f>Grunddaten!A210</f>
        <v>208</v>
      </c>
      <c r="S217" s="13">
        <f>Grunddaten!AF210</f>
        <v>1</v>
      </c>
      <c r="T217" s="13" t="str">
        <f>CONCATENATE("'",Grunddaten!AG210,"'")</f>
        <v>'033844'</v>
      </c>
      <c r="U217" s="13" t="str">
        <f ca="1">CONCATENATE("'",Grunddaten!AH210,"'")</f>
        <v>'7314'</v>
      </c>
      <c r="V217" s="13">
        <f>Grunddaten!AI210</f>
        <v>1</v>
      </c>
      <c r="Z217" s="2" t="str" cm="1">
        <f t="array" ref="Z217">CONCATENATE("                   ",Liste(B217:H217),IF(Z218&lt;&gt;"",",",""))</f>
        <v xml:space="preserve">                   (208, 'Engel', 'Jörg', 1, 1, NULL, '2003-04-23'),</v>
      </c>
      <c r="AB217" s="2" t="str" cm="1">
        <f t="array" aca="1" ref="AB217" ca="1">CONCATENATE("                    ",Liste(J217:P217),IF(AB218&lt;&gt;"",",",""))</f>
        <v xml:space="preserve">                    (208, 1, '14822', 'Brück', 'Sonnenallee', '34B', 1),</v>
      </c>
      <c r="AD217" s="2" t="str" cm="1">
        <f t="array" aca="1" ref="AD217" ca="1">CONCATENATE("                   ",Liste(R217:V217),IF(AD218&lt;&gt;"",",",""))</f>
        <v xml:space="preserve">                   (208, 1, '033844', '7314', 1),</v>
      </c>
    </row>
    <row r="218" spans="2:30" x14ac:dyDescent="0.45">
      <c r="B218" s="4">
        <f>Grunddaten!A211</f>
        <v>209</v>
      </c>
      <c r="C218" s="4" t="str">
        <f>CONCATENATE("'",Grunddaten!F211,"'")</f>
        <v>'Helmchen'</v>
      </c>
      <c r="D218" s="4" t="str">
        <f>CONCATENATE("'",Grunddaten!E211,"'")</f>
        <v>'Gerda'</v>
      </c>
      <c r="E218" s="4">
        <f>VLOOKUP(Grunddaten!D211,FormOfAddress,2,TRUE)</f>
        <v>2</v>
      </c>
      <c r="F218" s="4">
        <f>VLOOKUP(Grunddaten!I211,FamilyStatus,2,FALSE)</f>
        <v>2</v>
      </c>
      <c r="G218" s="4" t="str">
        <f>IF(Grunddaten!J211&lt;&gt;"",CONCATENATE("'",TEXT(Grunddaten!J211,"JJJJ-MM-tt"),"'"),"NULL")</f>
        <v>'1984-02-07'</v>
      </c>
      <c r="H218" s="4" t="str">
        <f>CONCATENATE("'",TEXT(Grunddaten!G211,"JJJJ-MM-tt"),"'")</f>
        <v>'1953-06-17'</v>
      </c>
      <c r="J218" s="14">
        <f>Grunddaten!A211</f>
        <v>209</v>
      </c>
      <c r="K218" s="14">
        <f>Grunddaten!Y211</f>
        <v>1</v>
      </c>
      <c r="L218" s="14" t="str">
        <f ca="1">CONCATENATE("'",Grunddaten!Z211,"'")</f>
        <v>'13125'</v>
      </c>
      <c r="M218" s="14" t="str">
        <f>CONCATENATE("'",Grunddaten!AA211,"'")</f>
        <v>'Berlin'</v>
      </c>
      <c r="N218" s="14" t="str">
        <f>CONCATENATE("'",Grunddaten!AB211,"'")</f>
        <v>'Johann-Peter-Hebel-Straße'</v>
      </c>
      <c r="O218" s="14" t="str">
        <f>CONCATENATE("'",Grunddaten!AC211,"'")</f>
        <v>'20B'</v>
      </c>
      <c r="P218" s="14">
        <f>Grunddaten!AD211</f>
        <v>1</v>
      </c>
      <c r="R218" s="13">
        <f>Grunddaten!A211</f>
        <v>209</v>
      </c>
      <c r="S218" s="13">
        <f>Grunddaten!AF211</f>
        <v>1</v>
      </c>
      <c r="T218" s="13" t="str">
        <f>CONCATENATE("'",Grunddaten!AG211,"'")</f>
        <v>'030'</v>
      </c>
      <c r="U218" s="13" t="str">
        <f ca="1">CONCATENATE("'",Grunddaten!AH211,"'")</f>
        <v>'69733806'</v>
      </c>
      <c r="V218" s="13">
        <f>Grunddaten!AI211</f>
        <v>1</v>
      </c>
      <c r="Z218" s="2" t="str" cm="1">
        <f t="array" ref="Z218">CONCATENATE("                   ",Liste(B218:H218),IF(Z219&lt;&gt;"",",",""))</f>
        <v xml:space="preserve">                   (209, 'Helmchen', 'Gerda', 2, 2, '1984-02-07', '1953-06-17'),</v>
      </c>
      <c r="AB218" s="2" t="str" cm="1">
        <f t="array" aca="1" ref="AB218" ca="1">CONCATENATE("                    ",Liste(J218:P218),IF(AB219&lt;&gt;"",",",""))</f>
        <v xml:space="preserve">                    (209, 1, '13125', 'Berlin', 'Johann-Peter-Hebel-Straße', '20B', 1),</v>
      </c>
      <c r="AD218" s="2" t="str" cm="1">
        <f t="array" aca="1" ref="AD218" ca="1">CONCATENATE("                   ",Liste(R218:V218),IF(AD219&lt;&gt;"",",",""))</f>
        <v xml:space="preserve">                   (209, 1, '030', '69733806', 1),</v>
      </c>
    </row>
    <row r="219" spans="2:30" x14ac:dyDescent="0.45">
      <c r="B219" s="4">
        <f>Grunddaten!A212</f>
        <v>210</v>
      </c>
      <c r="C219" s="4" t="str">
        <f>CONCATENATE("'",Grunddaten!F212,"'")</f>
        <v>'Behlert'</v>
      </c>
      <c r="D219" s="4" t="str">
        <f>CONCATENATE("'",Grunddaten!E212,"'")</f>
        <v>'Heike'</v>
      </c>
      <c r="E219" s="4">
        <f>VLOOKUP(Grunddaten!D212,FormOfAddress,2,TRUE)</f>
        <v>2</v>
      </c>
      <c r="F219" s="4">
        <f>VLOOKUP(Grunddaten!I212,FamilyStatus,2,FALSE)</f>
        <v>2</v>
      </c>
      <c r="G219" s="4" t="str">
        <f>IF(Grunddaten!J212&lt;&gt;"",CONCATENATE("'",TEXT(Grunddaten!J212,"JJJJ-MM-tt"),"'"),"NULL")</f>
        <v>'1983-10-30'</v>
      </c>
      <c r="H219" s="4" t="str">
        <f>CONCATENATE("'",TEXT(Grunddaten!G212,"JJJJ-MM-tt"),"'")</f>
        <v>'1955-05-25'</v>
      </c>
      <c r="J219" s="14">
        <f>Grunddaten!A212</f>
        <v>210</v>
      </c>
      <c r="K219" s="14">
        <f>Grunddaten!Y212</f>
        <v>1</v>
      </c>
      <c r="L219" s="14" t="str">
        <f ca="1">CONCATENATE("'",Grunddaten!Z212,"'")</f>
        <v>'13581'</v>
      </c>
      <c r="M219" s="14" t="str">
        <f>CONCATENATE("'",Grunddaten!AA212,"'")</f>
        <v>'Berlin'</v>
      </c>
      <c r="N219" s="14" t="str">
        <f>CONCATENATE("'",Grunddaten!AB212,"'")</f>
        <v>'Löwenweg'</v>
      </c>
      <c r="O219" s="14" t="str">
        <f>CONCATENATE("'",Grunddaten!AC212,"'")</f>
        <v>'2'</v>
      </c>
      <c r="P219" s="14">
        <f>Grunddaten!AD212</f>
        <v>1</v>
      </c>
      <c r="R219" s="13">
        <f>Grunddaten!A212</f>
        <v>210</v>
      </c>
      <c r="S219" s="13">
        <f>Grunddaten!AF212</f>
        <v>1</v>
      </c>
      <c r="T219" s="13" t="str">
        <f>CONCATENATE("'",Grunddaten!AG212,"'")</f>
        <v>'030'</v>
      </c>
      <c r="U219" s="13" t="str">
        <f ca="1">CONCATENATE("'",Grunddaten!AH212,"'")</f>
        <v>'86657780'</v>
      </c>
      <c r="V219" s="13">
        <f>Grunddaten!AI212</f>
        <v>1</v>
      </c>
      <c r="Z219" s="2" t="str" cm="1">
        <f t="array" ref="Z219">CONCATENATE("                   ",Liste(B219:H219),IF(Z220&lt;&gt;"",",",""))</f>
        <v xml:space="preserve">                   (210, 'Behlert', 'Heike', 2, 2, '1983-10-30', '1955-05-25'),</v>
      </c>
      <c r="AB219" s="2" t="str" cm="1">
        <f t="array" aca="1" ref="AB219" ca="1">CONCATENATE("                    ",Liste(J219:P219),IF(AB220&lt;&gt;"",",",""))</f>
        <v xml:space="preserve">                    (210, 1, '13581', 'Berlin', 'Löwenweg', '2', 1),</v>
      </c>
      <c r="AD219" s="2" t="str" cm="1">
        <f t="array" aca="1" ref="AD219" ca="1">CONCATENATE("                   ",Liste(R219:V219),IF(AD220&lt;&gt;"",",",""))</f>
        <v xml:space="preserve">                   (210, 1, '030', '86657780', 1),</v>
      </c>
    </row>
    <row r="220" spans="2:30" x14ac:dyDescent="0.45">
      <c r="B220" s="4">
        <f>Grunddaten!A213</f>
        <v>211</v>
      </c>
      <c r="C220" s="4" t="str">
        <f>CONCATENATE("'",Grunddaten!F213,"'")</f>
        <v>'Bautitz'</v>
      </c>
      <c r="D220" s="4" t="str">
        <f>CONCATENATE("'",Grunddaten!E213,"'")</f>
        <v>'Antje'</v>
      </c>
      <c r="E220" s="4">
        <f>VLOOKUP(Grunddaten!D213,FormOfAddress,2,TRUE)</f>
        <v>2</v>
      </c>
      <c r="F220" s="4">
        <f>VLOOKUP(Grunddaten!I213,FamilyStatus,2,FALSE)</f>
        <v>2</v>
      </c>
      <c r="G220" s="4" t="str">
        <f>IF(Grunddaten!J213&lt;&gt;"",CONCATENATE("'",TEXT(Grunddaten!J213,"JJJJ-MM-tt"),"'"),"NULL")</f>
        <v>'2002-07-15'</v>
      </c>
      <c r="H220" s="4" t="str">
        <f>CONCATENATE("'",TEXT(Grunddaten!G213,"JJJJ-MM-tt"),"'")</f>
        <v>'1971-03-26'</v>
      </c>
      <c r="J220" s="14">
        <f>Grunddaten!A213</f>
        <v>211</v>
      </c>
      <c r="K220" s="14">
        <f>Grunddaten!Y213</f>
        <v>1</v>
      </c>
      <c r="L220" s="14" t="str">
        <f ca="1">CONCATENATE("'",Grunddaten!Z213,"'")</f>
        <v>'13581'</v>
      </c>
      <c r="M220" s="14" t="str">
        <f>CONCATENATE("'",Grunddaten!AA213,"'")</f>
        <v>'Berlin'</v>
      </c>
      <c r="N220" s="14" t="str">
        <f>CONCATENATE("'",Grunddaten!AB213,"'")</f>
        <v>'Indianapolisweg'</v>
      </c>
      <c r="O220" s="14" t="str">
        <f>CONCATENATE("'",Grunddaten!AC213,"'")</f>
        <v>'8E'</v>
      </c>
      <c r="P220" s="14">
        <f>Grunddaten!AD213</f>
        <v>1</v>
      </c>
      <c r="R220" s="13">
        <f>Grunddaten!A213</f>
        <v>211</v>
      </c>
      <c r="S220" s="13">
        <f>Grunddaten!AF213</f>
        <v>1</v>
      </c>
      <c r="T220" s="13" t="str">
        <f>CONCATENATE("'",Grunddaten!AG213,"'")</f>
        <v>'030'</v>
      </c>
      <c r="U220" s="13" t="str">
        <f ca="1">CONCATENATE("'",Grunddaten!AH213,"'")</f>
        <v>'44518392'</v>
      </c>
      <c r="V220" s="13">
        <f>Grunddaten!AI213</f>
        <v>1</v>
      </c>
      <c r="Z220" s="2" t="str" cm="1">
        <f t="array" ref="Z220">CONCATENATE("                   ",Liste(B220:H220),IF(Z221&lt;&gt;"",",",""))</f>
        <v xml:space="preserve">                   (211, 'Bautitz', 'Antje', 2, 2, '2002-07-15', '1971-03-26'),</v>
      </c>
      <c r="AB220" s="2" t="str" cm="1">
        <f t="array" aca="1" ref="AB220" ca="1">CONCATENATE("                    ",Liste(J220:P220),IF(AB221&lt;&gt;"",",",""))</f>
        <v xml:space="preserve">                    (211, 1, '13581', 'Berlin', 'Indianapolisweg', '8E', 1),</v>
      </c>
      <c r="AD220" s="2" t="str" cm="1">
        <f t="array" aca="1" ref="AD220" ca="1">CONCATENATE("                   ",Liste(R220:V220),IF(AD221&lt;&gt;"",",",""))</f>
        <v xml:space="preserve">                   (211, 1, '030', '44518392', 1),</v>
      </c>
    </row>
    <row r="221" spans="2:30" x14ac:dyDescent="0.45">
      <c r="B221" s="4">
        <f>Grunddaten!A214</f>
        <v>212</v>
      </c>
      <c r="C221" s="4" t="str">
        <f>CONCATENATE("'",Grunddaten!F214,"'")</f>
        <v>'Sperber'</v>
      </c>
      <c r="D221" s="4" t="str">
        <f>CONCATENATE("'",Grunddaten!E214,"'")</f>
        <v>'Inga'</v>
      </c>
      <c r="E221" s="4">
        <f>VLOOKUP(Grunddaten!D214,FormOfAddress,2,TRUE)</f>
        <v>2</v>
      </c>
      <c r="F221" s="4">
        <f>VLOOKUP(Grunddaten!I214,FamilyStatus,2,FALSE)</f>
        <v>4</v>
      </c>
      <c r="G221" s="4" t="str">
        <f>IF(Grunddaten!J214&lt;&gt;"",CONCATENATE("'",TEXT(Grunddaten!J214,"JJJJ-MM-tt"),"'"),"NULL")</f>
        <v>'2021-01-04'</v>
      </c>
      <c r="H221" s="4" t="str">
        <f>CONCATENATE("'",TEXT(Grunddaten!G214,"JJJJ-MM-tt"),"'")</f>
        <v>'1959-02-26'</v>
      </c>
      <c r="J221" s="14">
        <f>Grunddaten!A214</f>
        <v>212</v>
      </c>
      <c r="K221" s="14">
        <f>Grunddaten!Y214</f>
        <v>1</v>
      </c>
      <c r="L221" s="14" t="str">
        <f ca="1">CONCATENATE("'",Grunddaten!Z214,"'")</f>
        <v>'14050'</v>
      </c>
      <c r="M221" s="14" t="str">
        <f>CONCATENATE("'",Grunddaten!AA214,"'")</f>
        <v>'Berlin'</v>
      </c>
      <c r="N221" s="14" t="str">
        <f>CONCATENATE("'",Grunddaten!AB214,"'")</f>
        <v>'Eschenweg'</v>
      </c>
      <c r="O221" s="14" t="str">
        <f>CONCATENATE("'",Grunddaten!AC214,"'")</f>
        <v>'90C'</v>
      </c>
      <c r="P221" s="14">
        <f>Grunddaten!AD214</f>
        <v>1</v>
      </c>
      <c r="R221" s="13">
        <f>Grunddaten!A214</f>
        <v>212</v>
      </c>
      <c r="S221" s="13">
        <f>Grunddaten!AF214</f>
        <v>1</v>
      </c>
      <c r="T221" s="13" t="str">
        <f>CONCATENATE("'",Grunddaten!AG214,"'")</f>
        <v>'030'</v>
      </c>
      <c r="U221" s="13" t="str">
        <f ca="1">CONCATENATE("'",Grunddaten!AH214,"'")</f>
        <v>'86390598'</v>
      </c>
      <c r="V221" s="13">
        <f>Grunddaten!AI214</f>
        <v>1</v>
      </c>
      <c r="Z221" s="2" t="str" cm="1">
        <f t="array" ref="Z221">CONCATENATE("                   ",Liste(B221:H221),IF(Z222&lt;&gt;"",",",""))</f>
        <v xml:space="preserve">                   (212, 'Sperber', 'Inga', 2, 4, '2021-01-04', '1959-02-26'),</v>
      </c>
      <c r="AB221" s="2" t="str" cm="1">
        <f t="array" aca="1" ref="AB221" ca="1">CONCATENATE("                    ",Liste(J221:P221),IF(AB222&lt;&gt;"",",",""))</f>
        <v xml:space="preserve">                    (212, 1, '14050', 'Berlin', 'Eschenweg', '90C', 1),</v>
      </c>
      <c r="AD221" s="2" t="str" cm="1">
        <f t="array" aca="1" ref="AD221" ca="1">CONCATENATE("                   ",Liste(R221:V221),IF(AD222&lt;&gt;"",",",""))</f>
        <v xml:space="preserve">                   (212, 1, '030', '86390598', 1),</v>
      </c>
    </row>
    <row r="222" spans="2:30" x14ac:dyDescent="0.45">
      <c r="B222" s="4">
        <f>Grunddaten!A215</f>
        <v>213</v>
      </c>
      <c r="C222" s="4" t="str">
        <f>CONCATENATE("'",Grunddaten!F215,"'")</f>
        <v>'Schulze'</v>
      </c>
      <c r="D222" s="4" t="str">
        <f>CONCATENATE("'",Grunddaten!E215,"'")</f>
        <v>'Katrin'</v>
      </c>
      <c r="E222" s="4">
        <f>VLOOKUP(Grunddaten!D215,FormOfAddress,2,TRUE)</f>
        <v>2</v>
      </c>
      <c r="F222" s="4">
        <f>VLOOKUP(Grunddaten!I215,FamilyStatus,2,FALSE)</f>
        <v>2</v>
      </c>
      <c r="G222" s="4" t="str">
        <f>IF(Grunddaten!J215&lt;&gt;"",CONCATENATE("'",TEXT(Grunddaten!J215,"JJJJ-MM-tt"),"'"),"NULL")</f>
        <v>'2004-09-11'</v>
      </c>
      <c r="H222" s="4" t="str">
        <f>CONCATENATE("'",TEXT(Grunddaten!G215,"JJJJ-MM-tt"),"'")</f>
        <v>'1975-08-24'</v>
      </c>
      <c r="J222" s="14">
        <f>Grunddaten!A215</f>
        <v>213</v>
      </c>
      <c r="K222" s="14">
        <f>Grunddaten!Y215</f>
        <v>1</v>
      </c>
      <c r="L222" s="14" t="str">
        <f ca="1">CONCATENATE("'",Grunddaten!Z215,"'")</f>
        <v>'13581'</v>
      </c>
      <c r="M222" s="14" t="str">
        <f>CONCATENATE("'",Grunddaten!AA215,"'")</f>
        <v>'Berlin'</v>
      </c>
      <c r="N222" s="14" t="str">
        <f>CONCATENATE("'",Grunddaten!AB215,"'")</f>
        <v>'Franz-Kafka-Straße'</v>
      </c>
      <c r="O222" s="14" t="str">
        <f>CONCATENATE("'",Grunddaten!AC215,"'")</f>
        <v>'8'</v>
      </c>
      <c r="P222" s="14">
        <f>Grunddaten!AD215</f>
        <v>1</v>
      </c>
      <c r="R222" s="13">
        <f>Grunddaten!A215</f>
        <v>213</v>
      </c>
      <c r="S222" s="13">
        <f>Grunddaten!AF215</f>
        <v>1</v>
      </c>
      <c r="T222" s="13" t="str">
        <f>CONCATENATE("'",Grunddaten!AG215,"'")</f>
        <v>'030'</v>
      </c>
      <c r="U222" s="13" t="str">
        <f ca="1">CONCATENATE("'",Grunddaten!AH215,"'")</f>
        <v>'73631002'</v>
      </c>
      <c r="V222" s="13">
        <f>Grunddaten!AI215</f>
        <v>1</v>
      </c>
      <c r="Z222" s="2" t="str" cm="1">
        <f t="array" ref="Z222">CONCATENATE("                   ",Liste(B222:H222),IF(Z223&lt;&gt;"",",",""))</f>
        <v xml:space="preserve">                   (213, 'Schulze', 'Katrin', 2, 2, '2004-09-11', '1975-08-24'),</v>
      </c>
      <c r="AB222" s="2" t="str" cm="1">
        <f t="array" aca="1" ref="AB222" ca="1">CONCATENATE("                    ",Liste(J222:P222),IF(AB223&lt;&gt;"",",",""))</f>
        <v xml:space="preserve">                    (213, 1, '13581', 'Berlin', 'Franz-Kafka-Straße', '8', 1),</v>
      </c>
      <c r="AD222" s="2" t="str" cm="1">
        <f t="array" aca="1" ref="AD222" ca="1">CONCATENATE("                   ",Liste(R222:V222),IF(AD223&lt;&gt;"",",",""))</f>
        <v xml:space="preserve">                   (213, 1, '030', '73631002', 1),</v>
      </c>
    </row>
    <row r="223" spans="2:30" x14ac:dyDescent="0.45">
      <c r="B223" s="4">
        <f>Grunddaten!A216</f>
        <v>214</v>
      </c>
      <c r="C223" s="4" t="str">
        <f>CONCATENATE("'",Grunddaten!F216,"'")</f>
        <v>'Steffen'</v>
      </c>
      <c r="D223" s="4" t="str">
        <f>CONCATENATE("'",Grunddaten!E216,"'")</f>
        <v>'Simone'</v>
      </c>
      <c r="E223" s="4">
        <f>VLOOKUP(Grunddaten!D216,FormOfAddress,2,TRUE)</f>
        <v>2</v>
      </c>
      <c r="F223" s="4">
        <f>VLOOKUP(Grunddaten!I216,FamilyStatus,2,FALSE)</f>
        <v>1</v>
      </c>
      <c r="G223" s="4" t="str">
        <f>IF(Grunddaten!J216&lt;&gt;"",CONCATENATE("'",TEXT(Grunddaten!J216,"JJJJ-MM-tt"),"'"),"NULL")</f>
        <v>NULL</v>
      </c>
      <c r="H223" s="4" t="str">
        <f>CONCATENATE("'",TEXT(Grunddaten!G216,"JJJJ-MM-tt"),"'")</f>
        <v>'2001-07-18'</v>
      </c>
      <c r="J223" s="14">
        <f>Grunddaten!A216</f>
        <v>214</v>
      </c>
      <c r="K223" s="14">
        <f>Grunddaten!Y216</f>
        <v>1</v>
      </c>
      <c r="L223" s="14" t="str">
        <f ca="1">CONCATENATE("'",Grunddaten!Z216,"'")</f>
        <v>'12679'</v>
      </c>
      <c r="M223" s="14" t="str">
        <f>CONCATENATE("'",Grunddaten!AA216,"'")</f>
        <v>'Berlin'</v>
      </c>
      <c r="N223" s="14" t="str">
        <f>CONCATENATE("'",Grunddaten!AB216,"'")</f>
        <v>'Industriestraße'</v>
      </c>
      <c r="O223" s="14" t="str">
        <f>CONCATENATE("'",Grunddaten!AC216,"'")</f>
        <v>'82C'</v>
      </c>
      <c r="P223" s="14">
        <f>Grunddaten!AD216</f>
        <v>1</v>
      </c>
      <c r="R223" s="13">
        <f>Grunddaten!A216</f>
        <v>214</v>
      </c>
      <c r="S223" s="13">
        <f>Grunddaten!AF216</f>
        <v>1</v>
      </c>
      <c r="T223" s="13" t="str">
        <f>CONCATENATE("'",Grunddaten!AG216,"'")</f>
        <v>'030'</v>
      </c>
      <c r="U223" s="13" t="str">
        <f ca="1">CONCATENATE("'",Grunddaten!AH216,"'")</f>
        <v>'96061647'</v>
      </c>
      <c r="V223" s="13">
        <f>Grunddaten!AI216</f>
        <v>1</v>
      </c>
      <c r="Z223" s="2" t="str" cm="1">
        <f t="array" ref="Z223">CONCATENATE("                   ",Liste(B223:H223),IF(Z224&lt;&gt;"",",",""))</f>
        <v xml:space="preserve">                   (214, 'Steffen', 'Simone', 2, 1, NULL, '2001-07-18'),</v>
      </c>
      <c r="AB223" s="2" t="str" cm="1">
        <f t="array" aca="1" ref="AB223" ca="1">CONCATENATE("                    ",Liste(J223:P223),IF(AB224&lt;&gt;"",",",""))</f>
        <v xml:space="preserve">                    (214, 1, '12679', 'Berlin', 'Industriestraße', '82C', 1),</v>
      </c>
      <c r="AD223" s="2" t="str" cm="1">
        <f t="array" aca="1" ref="AD223" ca="1">CONCATENATE("                   ",Liste(R223:V223),IF(AD224&lt;&gt;"",",",""))</f>
        <v xml:space="preserve">                   (214, 1, '030', '96061647', 1),</v>
      </c>
    </row>
    <row r="224" spans="2:30" x14ac:dyDescent="0.45">
      <c r="B224" s="4">
        <f>Grunddaten!A217</f>
        <v>215</v>
      </c>
      <c r="C224" s="4" t="str">
        <f>CONCATENATE("'",Grunddaten!F217,"'")</f>
        <v>'Fichtner'</v>
      </c>
      <c r="D224" s="4" t="str">
        <f>CONCATENATE("'",Grunddaten!E217,"'")</f>
        <v>'Beatrice'</v>
      </c>
      <c r="E224" s="4">
        <f>VLOOKUP(Grunddaten!D217,FormOfAddress,2,TRUE)</f>
        <v>2</v>
      </c>
      <c r="F224" s="4">
        <f>VLOOKUP(Grunddaten!I217,FamilyStatus,2,FALSE)</f>
        <v>2</v>
      </c>
      <c r="G224" s="4" t="str">
        <f>IF(Grunddaten!J217&lt;&gt;"",CONCATENATE("'",TEXT(Grunddaten!J217,"JJJJ-MM-tt"),"'"),"NULL")</f>
        <v>'2026-02-15'</v>
      </c>
      <c r="H224" s="4" t="str">
        <f>CONCATENATE("'",TEXT(Grunddaten!G217,"JJJJ-MM-tt"),"'")</f>
        <v>'1997-10-02'</v>
      </c>
      <c r="J224" s="14">
        <f>Grunddaten!A217</f>
        <v>215</v>
      </c>
      <c r="K224" s="14">
        <f>Grunddaten!Y217</f>
        <v>1</v>
      </c>
      <c r="L224" s="14" t="str">
        <f ca="1">CONCATENATE("'",Grunddaten!Z217,"'")</f>
        <v>'14532'</v>
      </c>
      <c r="M224" s="14" t="str">
        <f>CONCATENATE("'",Grunddaten!AA217,"'")</f>
        <v>'Kleinmachnow'</v>
      </c>
      <c r="N224" s="14" t="str">
        <f>CONCATENATE("'",Grunddaten!AB217,"'")</f>
        <v>'Johann-Sebastian-Bach-Straße'</v>
      </c>
      <c r="O224" s="14" t="str">
        <f>CONCATENATE("'",Grunddaten!AC217,"'")</f>
        <v>'23'</v>
      </c>
      <c r="P224" s="14">
        <f>Grunddaten!AD217</f>
        <v>1</v>
      </c>
      <c r="R224" s="13">
        <f>Grunddaten!A217</f>
        <v>215</v>
      </c>
      <c r="S224" s="13">
        <f>Grunddaten!AF217</f>
        <v>1</v>
      </c>
      <c r="T224" s="13" t="str">
        <f>CONCATENATE("'",Grunddaten!AG217,"'")</f>
        <v>'033203'</v>
      </c>
      <c r="U224" s="13" t="str">
        <f ca="1">CONCATENATE("'",Grunddaten!AH217,"'")</f>
        <v>'5239'</v>
      </c>
      <c r="V224" s="13">
        <f>Grunddaten!AI217</f>
        <v>1</v>
      </c>
      <c r="Z224" s="2" t="str" cm="1">
        <f t="array" ref="Z224">CONCATENATE("                   ",Liste(B224:H224),IF(Z225&lt;&gt;"",",",""))</f>
        <v xml:space="preserve">                   (215, 'Fichtner', 'Beatrice', 2, 2, '2026-02-15', '1997-10-02'),</v>
      </c>
      <c r="AB224" s="2" t="str" cm="1">
        <f t="array" aca="1" ref="AB224" ca="1">CONCATENATE("                    ",Liste(J224:P224),IF(AB225&lt;&gt;"",",",""))</f>
        <v xml:space="preserve">                    (215, 1, '14532', 'Kleinmachnow', 'Johann-Sebastian-Bach-Straße', '23', 1),</v>
      </c>
      <c r="AD224" s="2" t="str" cm="1">
        <f t="array" aca="1" ref="AD224" ca="1">CONCATENATE("                   ",Liste(R224:V224),IF(AD225&lt;&gt;"",",",""))</f>
        <v xml:space="preserve">                   (215, 1, '033203', '5239', 1),</v>
      </c>
    </row>
    <row r="225" spans="2:30" x14ac:dyDescent="0.45">
      <c r="B225" s="4">
        <f>Grunddaten!A218</f>
        <v>216</v>
      </c>
      <c r="C225" s="4" t="str">
        <f>CONCATENATE("'",Grunddaten!F218,"'")</f>
        <v>'Higgens'</v>
      </c>
      <c r="D225" s="4" t="str">
        <f>CONCATENATE("'",Grunddaten!E218,"'")</f>
        <v>'Franziska'</v>
      </c>
      <c r="E225" s="4">
        <f>VLOOKUP(Grunddaten!D218,FormOfAddress,2,TRUE)</f>
        <v>2</v>
      </c>
      <c r="F225" s="4">
        <f>VLOOKUP(Grunddaten!I218,FamilyStatus,2,FALSE)</f>
        <v>2</v>
      </c>
      <c r="G225" s="4" t="str">
        <f>IF(Grunddaten!J218&lt;&gt;"",CONCATENATE("'",TEXT(Grunddaten!J218,"JJJJ-MM-tt"),"'"),"NULL")</f>
        <v>'2014-03-07'</v>
      </c>
      <c r="H225" s="4" t="str">
        <f>CONCATENATE("'",TEXT(Grunddaten!G218,"JJJJ-MM-tt"),"'")</f>
        <v>'1989-06-26'</v>
      </c>
      <c r="J225" s="14">
        <f>Grunddaten!A218</f>
        <v>216</v>
      </c>
      <c r="K225" s="14">
        <f>Grunddaten!Y218</f>
        <v>1</v>
      </c>
      <c r="L225" s="14" t="str">
        <f ca="1">CONCATENATE("'",Grunddaten!Z218,"'")</f>
        <v>'14547'</v>
      </c>
      <c r="M225" s="14" t="str">
        <f>CONCATENATE("'",Grunddaten!AA218,"'")</f>
        <v>'Klosterdorf'</v>
      </c>
      <c r="N225" s="14" t="str">
        <f>CONCATENATE("'",Grunddaten!AB218,"'")</f>
        <v>'Kirschweg'</v>
      </c>
      <c r="O225" s="14" t="str">
        <f>CONCATENATE("'",Grunddaten!AC218,"'")</f>
        <v>'64F'</v>
      </c>
      <c r="P225" s="14">
        <f>Grunddaten!AD218</f>
        <v>1</v>
      </c>
      <c r="R225" s="13">
        <f>Grunddaten!A218</f>
        <v>216</v>
      </c>
      <c r="S225" s="13">
        <f>Grunddaten!AF218</f>
        <v>1</v>
      </c>
      <c r="T225" s="13" t="str">
        <f>CONCATENATE("'",Grunddaten!AG218,"'")</f>
        <v>'033206'</v>
      </c>
      <c r="U225" s="13" t="str">
        <f ca="1">CONCATENATE("'",Grunddaten!AH218,"'")</f>
        <v>'5295'</v>
      </c>
      <c r="V225" s="13">
        <f>Grunddaten!AI218</f>
        <v>1</v>
      </c>
      <c r="Z225" s="2" t="str" cm="1">
        <f t="array" ref="Z225">CONCATENATE("                   ",Liste(B225:H225),IF(Z226&lt;&gt;"",",",""))</f>
        <v xml:space="preserve">                   (216, 'Higgens', 'Franziska', 2, 2, '2014-03-07', '1989-06-26'),</v>
      </c>
      <c r="AB225" s="2" t="str" cm="1">
        <f t="array" aca="1" ref="AB225" ca="1">CONCATENATE("                    ",Liste(J225:P225),IF(AB226&lt;&gt;"",",",""))</f>
        <v xml:space="preserve">                    (216, 1, '14547', 'Klosterdorf', 'Kirschweg', '64F', 1),</v>
      </c>
      <c r="AD225" s="2" t="str" cm="1">
        <f t="array" aca="1" ref="AD225" ca="1">CONCATENATE("                   ",Liste(R225:V225),IF(AD226&lt;&gt;"",",",""))</f>
        <v xml:space="preserve">                   (216, 1, '033206', '5295', 1),</v>
      </c>
    </row>
    <row r="226" spans="2:30" x14ac:dyDescent="0.45">
      <c r="B226" s="4">
        <f>Grunddaten!A219</f>
        <v>217</v>
      </c>
      <c r="C226" s="4" t="str">
        <f>CONCATENATE("'",Grunddaten!F219,"'")</f>
        <v>'Behlert'</v>
      </c>
      <c r="D226" s="4" t="str">
        <f>CONCATENATE("'",Grunddaten!E219,"'")</f>
        <v>'Grit'</v>
      </c>
      <c r="E226" s="4">
        <f>VLOOKUP(Grunddaten!D219,FormOfAddress,2,TRUE)</f>
        <v>2</v>
      </c>
      <c r="F226" s="4">
        <f>VLOOKUP(Grunddaten!I219,FamilyStatus,2,FALSE)</f>
        <v>1</v>
      </c>
      <c r="G226" s="4" t="str">
        <f>IF(Grunddaten!J219&lt;&gt;"",CONCATENATE("'",TEXT(Grunddaten!J219,"JJJJ-MM-tt"),"'"),"NULL")</f>
        <v>NULL</v>
      </c>
      <c r="H226" s="4" t="str">
        <f>CONCATENATE("'",TEXT(Grunddaten!G219,"JJJJ-MM-tt"),"'")</f>
        <v>'1981-12-16'</v>
      </c>
      <c r="J226" s="14">
        <f>Grunddaten!A219</f>
        <v>217</v>
      </c>
      <c r="K226" s="14">
        <f>Grunddaten!Y219</f>
        <v>1</v>
      </c>
      <c r="L226" s="14" t="str">
        <f ca="1">CONCATENATE("'",Grunddaten!Z219,"'")</f>
        <v>'13597'</v>
      </c>
      <c r="M226" s="14" t="str">
        <f>CONCATENATE("'",Grunddaten!AA219,"'")</f>
        <v>'Berlin'</v>
      </c>
      <c r="N226" s="14" t="str">
        <f>CONCATENATE("'",Grunddaten!AB219,"'")</f>
        <v>'San-Antonio-Allee'</v>
      </c>
      <c r="O226" s="14" t="str">
        <f>CONCATENATE("'",Grunddaten!AC219,"'")</f>
        <v>'9C'</v>
      </c>
      <c r="P226" s="14">
        <f>Grunddaten!AD219</f>
        <v>1</v>
      </c>
      <c r="R226" s="13">
        <f>Grunddaten!A219</f>
        <v>217</v>
      </c>
      <c r="S226" s="13">
        <f>Grunddaten!AF219</f>
        <v>1</v>
      </c>
      <c r="T226" s="13" t="str">
        <f>CONCATENATE("'",Grunddaten!AG219,"'")</f>
        <v>'030'</v>
      </c>
      <c r="U226" s="13" t="str">
        <f ca="1">CONCATENATE("'",Grunddaten!AH219,"'")</f>
        <v>'97548805'</v>
      </c>
      <c r="V226" s="13">
        <f>Grunddaten!AI219</f>
        <v>1</v>
      </c>
      <c r="Z226" s="2" t="str" cm="1">
        <f t="array" ref="Z226">CONCATENATE("                   ",Liste(B226:H226),IF(Z227&lt;&gt;"",",",""))</f>
        <v xml:space="preserve">                   (217, 'Behlert', 'Grit', 2, 1, NULL, '1981-12-16'),</v>
      </c>
      <c r="AB226" s="2" t="str" cm="1">
        <f t="array" aca="1" ref="AB226" ca="1">CONCATENATE("                    ",Liste(J226:P226),IF(AB227&lt;&gt;"",",",""))</f>
        <v xml:space="preserve">                    (217, 1, '13597', 'Berlin', 'San-Antonio-Allee', '9C', 1),</v>
      </c>
      <c r="AD226" s="2" t="str" cm="1">
        <f t="array" aca="1" ref="AD226" ca="1">CONCATENATE("                   ",Liste(R226:V226),IF(AD227&lt;&gt;"",",",""))</f>
        <v xml:space="preserve">                   (217, 1, '030', '97548805', 1),</v>
      </c>
    </row>
    <row r="227" spans="2:30" x14ac:dyDescent="0.45">
      <c r="B227" s="4">
        <f>Grunddaten!A220</f>
        <v>218</v>
      </c>
      <c r="C227" s="4" t="str">
        <f>CONCATENATE("'",Grunddaten!F220,"'")</f>
        <v>'Müller'</v>
      </c>
      <c r="D227" s="4" t="str">
        <f>CONCATENATE("'",Grunddaten!E220,"'")</f>
        <v>'Manuela'</v>
      </c>
      <c r="E227" s="4">
        <f>VLOOKUP(Grunddaten!D220,FormOfAddress,2,TRUE)</f>
        <v>2</v>
      </c>
      <c r="F227" s="4">
        <f>VLOOKUP(Grunddaten!I220,FamilyStatus,2,FALSE)</f>
        <v>2</v>
      </c>
      <c r="G227" s="4" t="str">
        <f>IF(Grunddaten!J220&lt;&gt;"",CONCATENATE("'",TEXT(Grunddaten!J220,"JJJJ-MM-tt"),"'"),"NULL")</f>
        <v>'2011-02-15'</v>
      </c>
      <c r="H227" s="4" t="str">
        <f>CONCATENATE("'",TEXT(Grunddaten!G220,"JJJJ-MM-tt"),"'")</f>
        <v>'1977-06-12'</v>
      </c>
      <c r="J227" s="14">
        <f>Grunddaten!A220</f>
        <v>218</v>
      </c>
      <c r="K227" s="14">
        <f>Grunddaten!Y220</f>
        <v>1</v>
      </c>
      <c r="L227" s="14" t="str">
        <f ca="1">CONCATENATE("'",Grunddaten!Z220,"'")</f>
        <v>'14641'</v>
      </c>
      <c r="M227" s="14" t="str">
        <f>CONCATENATE("'",Grunddaten!AA220,"'")</f>
        <v>'Elstal'</v>
      </c>
      <c r="N227" s="14" t="str">
        <f>CONCATENATE("'",Grunddaten!AB220,"'")</f>
        <v>'Marktplatz'</v>
      </c>
      <c r="O227" s="14" t="str">
        <f>CONCATENATE("'",Grunddaten!AC220,"'")</f>
        <v>'12'</v>
      </c>
      <c r="P227" s="14">
        <f>Grunddaten!AD220</f>
        <v>1</v>
      </c>
      <c r="R227" s="13">
        <f>Grunddaten!A220</f>
        <v>218</v>
      </c>
      <c r="S227" s="13">
        <f>Grunddaten!AF220</f>
        <v>1</v>
      </c>
      <c r="T227" s="13" t="str">
        <f>CONCATENATE("'",Grunddaten!AG220,"'")</f>
        <v>'033234'</v>
      </c>
      <c r="U227" s="13" t="str">
        <f ca="1">CONCATENATE("'",Grunddaten!AH220,"'")</f>
        <v>'5980'</v>
      </c>
      <c r="V227" s="13">
        <f>Grunddaten!AI220</f>
        <v>1</v>
      </c>
      <c r="Z227" s="2" t="str" cm="1">
        <f t="array" ref="Z227">CONCATENATE("                   ",Liste(B227:H227),IF(Z228&lt;&gt;"",",",""))</f>
        <v xml:space="preserve">                   (218, 'Müller', 'Manuela', 2, 2, '2011-02-15', '1977-06-12'),</v>
      </c>
      <c r="AB227" s="2" t="str" cm="1">
        <f t="array" aca="1" ref="AB227" ca="1">CONCATENATE("                    ",Liste(J227:P227),IF(AB228&lt;&gt;"",",",""))</f>
        <v xml:space="preserve">                    (218, 1, '14641', 'Elstal', 'Marktplatz', '12', 1),</v>
      </c>
      <c r="AD227" s="2" t="str" cm="1">
        <f t="array" aca="1" ref="AD227" ca="1">CONCATENATE("                   ",Liste(R227:V227),IF(AD228&lt;&gt;"",",",""))</f>
        <v xml:space="preserve">                   (218, 1, '033234', '5980', 1),</v>
      </c>
    </row>
    <row r="228" spans="2:30" x14ac:dyDescent="0.45">
      <c r="B228" s="4">
        <f>Grunddaten!A221</f>
        <v>219</v>
      </c>
      <c r="C228" s="4" t="str">
        <f>CONCATENATE("'",Grunddaten!F221,"'")</f>
        <v>'Hermann'</v>
      </c>
      <c r="D228" s="4" t="str">
        <f>CONCATENATE("'",Grunddaten!E221,"'")</f>
        <v>'Ulrike'</v>
      </c>
      <c r="E228" s="4">
        <f>VLOOKUP(Grunddaten!D221,FormOfAddress,2,TRUE)</f>
        <v>2</v>
      </c>
      <c r="F228" s="4">
        <f>VLOOKUP(Grunddaten!I221,FamilyStatus,2,FALSE)</f>
        <v>2</v>
      </c>
      <c r="G228" s="4" t="str">
        <f>IF(Grunddaten!J221&lt;&gt;"",CONCATENATE("'",TEXT(Grunddaten!J221,"JJJJ-MM-tt"),"'"),"NULL")</f>
        <v>'2007-01-14'</v>
      </c>
      <c r="H228" s="4" t="str">
        <f>CONCATENATE("'",TEXT(Grunddaten!G221,"JJJJ-MM-tt"),"'")</f>
        <v>'1988-07-12'</v>
      </c>
      <c r="J228" s="14">
        <f>Grunddaten!A221</f>
        <v>219</v>
      </c>
      <c r="K228" s="14">
        <f>Grunddaten!Y221</f>
        <v>1</v>
      </c>
      <c r="L228" s="14" t="str">
        <f ca="1">CONCATENATE("'",Grunddaten!Z221,"'")</f>
        <v>'13597'</v>
      </c>
      <c r="M228" s="14" t="str">
        <f>CONCATENATE("'",Grunddaten!AA221,"'")</f>
        <v>'Berlin'</v>
      </c>
      <c r="N228" s="14" t="str">
        <f>CONCATENATE("'",Grunddaten!AB221,"'")</f>
        <v>'Stockholmstraße'</v>
      </c>
      <c r="O228" s="14" t="str">
        <f>CONCATENATE("'",Grunddaten!AC221,"'")</f>
        <v>'13'</v>
      </c>
      <c r="P228" s="14">
        <f>Grunddaten!AD221</f>
        <v>1</v>
      </c>
      <c r="R228" s="13">
        <f>Grunddaten!A221</f>
        <v>219</v>
      </c>
      <c r="S228" s="13">
        <f>Grunddaten!AF221</f>
        <v>1</v>
      </c>
      <c r="T228" s="13" t="str">
        <f>CONCATENATE("'",Grunddaten!AG221,"'")</f>
        <v>'030'</v>
      </c>
      <c r="U228" s="13" t="str">
        <f ca="1">CONCATENATE("'",Grunddaten!AH221,"'")</f>
        <v>'82982089'</v>
      </c>
      <c r="V228" s="13">
        <f>Grunddaten!AI221</f>
        <v>1</v>
      </c>
      <c r="Z228" s="2" t="str" cm="1">
        <f t="array" ref="Z228">CONCATENATE("                   ",Liste(B228:H228),IF(Z229&lt;&gt;"",",",""))</f>
        <v xml:space="preserve">                   (219, 'Hermann', 'Ulrike', 2, 2, '2007-01-14', '1988-07-12'),</v>
      </c>
      <c r="AB228" s="2" t="str" cm="1">
        <f t="array" aca="1" ref="AB228" ca="1">CONCATENATE("                    ",Liste(J228:P228),IF(AB229&lt;&gt;"",",",""))</f>
        <v xml:space="preserve">                    (219, 1, '13597', 'Berlin', 'Stockholmstraße', '13', 1),</v>
      </c>
      <c r="AD228" s="2" t="str" cm="1">
        <f t="array" aca="1" ref="AD228" ca="1">CONCATENATE("                   ",Liste(R228:V228),IF(AD229&lt;&gt;"",",",""))</f>
        <v xml:space="preserve">                   (219, 1, '030', '82982089', 1),</v>
      </c>
    </row>
    <row r="229" spans="2:30" x14ac:dyDescent="0.45">
      <c r="B229" s="4">
        <f>Grunddaten!A222</f>
        <v>220</v>
      </c>
      <c r="C229" s="4" t="str">
        <f>CONCATENATE("'",Grunddaten!F222,"'")</f>
        <v>'Günther'</v>
      </c>
      <c r="D229" s="4" t="str">
        <f>CONCATENATE("'",Grunddaten!E222,"'")</f>
        <v>'Beate'</v>
      </c>
      <c r="E229" s="4">
        <f>VLOOKUP(Grunddaten!D222,FormOfAddress,2,TRUE)</f>
        <v>2</v>
      </c>
      <c r="F229" s="4">
        <f>VLOOKUP(Grunddaten!I222,FamilyStatus,2,FALSE)</f>
        <v>1</v>
      </c>
      <c r="G229" s="4" t="str">
        <f>IF(Grunddaten!J222&lt;&gt;"",CONCATENATE("'",TEXT(Grunddaten!J222,"JJJJ-MM-tt"),"'"),"NULL")</f>
        <v>NULL</v>
      </c>
      <c r="H229" s="4" t="str">
        <f>CONCATENATE("'",TEXT(Grunddaten!G222,"JJJJ-MM-tt"),"'")</f>
        <v>'2001-02-14'</v>
      </c>
      <c r="J229" s="14">
        <f>Grunddaten!A222</f>
        <v>220</v>
      </c>
      <c r="K229" s="14">
        <f>Grunddaten!Y222</f>
        <v>1</v>
      </c>
      <c r="L229" s="14" t="str">
        <f ca="1">CONCATENATE("'",Grunddaten!Z222,"'")</f>
        <v>'12157'</v>
      </c>
      <c r="M229" s="14" t="str">
        <f>CONCATENATE("'",Grunddaten!AA222,"'")</f>
        <v>'Berlin'</v>
      </c>
      <c r="N229" s="14" t="str">
        <f>CONCATENATE("'",Grunddaten!AB222,"'")</f>
        <v>'Ringallee'</v>
      </c>
      <c r="O229" s="14" t="str">
        <f>CONCATENATE("'",Grunddaten!AC222,"'")</f>
        <v>'34'</v>
      </c>
      <c r="P229" s="14">
        <f>Grunddaten!AD222</f>
        <v>1</v>
      </c>
      <c r="R229" s="13">
        <f>Grunddaten!A222</f>
        <v>220</v>
      </c>
      <c r="S229" s="13">
        <f>Grunddaten!AF222</f>
        <v>1</v>
      </c>
      <c r="T229" s="13" t="str">
        <f>CONCATENATE("'",Grunddaten!AG222,"'")</f>
        <v>'030'</v>
      </c>
      <c r="U229" s="13" t="str">
        <f ca="1">CONCATENATE("'",Grunddaten!AH222,"'")</f>
        <v>'59392769'</v>
      </c>
      <c r="V229" s="13">
        <f>Grunddaten!AI222</f>
        <v>1</v>
      </c>
      <c r="Z229" s="2" t="str" cm="1">
        <f t="array" ref="Z229">CONCATENATE("                   ",Liste(B229:H229),IF(Z230&lt;&gt;"",",",""))</f>
        <v xml:space="preserve">                   (220, 'Günther', 'Beate', 2, 1, NULL, '2001-02-14'),</v>
      </c>
      <c r="AB229" s="2" t="str" cm="1">
        <f t="array" aca="1" ref="AB229" ca="1">CONCATENATE("                    ",Liste(J229:P229),IF(AB230&lt;&gt;"",",",""))</f>
        <v xml:space="preserve">                    (220, 1, '12157', 'Berlin', 'Ringallee', '34', 1),</v>
      </c>
      <c r="AD229" s="2" t="str" cm="1">
        <f t="array" aca="1" ref="AD229" ca="1">CONCATENATE("                   ",Liste(R229:V229),IF(AD230&lt;&gt;"",",",""))</f>
        <v xml:space="preserve">                   (220, 1, '030', '59392769', 1),</v>
      </c>
    </row>
    <row r="230" spans="2:30" x14ac:dyDescent="0.45">
      <c r="B230" s="4">
        <f>Grunddaten!A223</f>
        <v>221</v>
      </c>
      <c r="C230" s="4" t="str">
        <f>CONCATENATE("'",Grunddaten!F223,"'")</f>
        <v>'Wiese'</v>
      </c>
      <c r="D230" s="4" t="str">
        <f>CONCATENATE("'",Grunddaten!E223,"'")</f>
        <v>'Alexander'</v>
      </c>
      <c r="E230" s="4">
        <f>VLOOKUP(Grunddaten!D223,FormOfAddress,2,TRUE)</f>
        <v>1</v>
      </c>
      <c r="F230" s="4">
        <f>VLOOKUP(Grunddaten!I223,FamilyStatus,2,FALSE)</f>
        <v>2</v>
      </c>
      <c r="G230" s="4" t="str">
        <f>IF(Grunddaten!J223&lt;&gt;"",CONCATENATE("'",TEXT(Grunddaten!J223,"JJJJ-MM-tt"),"'"),"NULL")</f>
        <v>'2015-10-31'</v>
      </c>
      <c r="H230" s="4" t="str">
        <f>CONCATENATE("'",TEXT(Grunddaten!G223,"JJJJ-MM-tt"),"'")</f>
        <v>'1982-07-21'</v>
      </c>
      <c r="J230" s="14">
        <f>Grunddaten!A223</f>
        <v>221</v>
      </c>
      <c r="K230" s="14">
        <f>Grunddaten!Y223</f>
        <v>1</v>
      </c>
      <c r="L230" s="14" t="str">
        <f ca="1">CONCATENATE("'",Grunddaten!Z223,"'")</f>
        <v>'10365'</v>
      </c>
      <c r="M230" s="14" t="str">
        <f>CONCATENATE("'",Grunddaten!AA223,"'")</f>
        <v>'Berlin'</v>
      </c>
      <c r="N230" s="14" t="str">
        <f>CONCATENATE("'",Grunddaten!AB223,"'")</f>
        <v>'Mühlenweg'</v>
      </c>
      <c r="O230" s="14" t="str">
        <f>CONCATENATE("'",Grunddaten!AC223,"'")</f>
        <v>'36'</v>
      </c>
      <c r="P230" s="14">
        <f>Grunddaten!AD223</f>
        <v>1</v>
      </c>
      <c r="R230" s="13">
        <f>Grunddaten!A223</f>
        <v>221</v>
      </c>
      <c r="S230" s="13">
        <f>Grunddaten!AF223</f>
        <v>1</v>
      </c>
      <c r="T230" s="13" t="str">
        <f>CONCATENATE("'",Grunddaten!AG223,"'")</f>
        <v>'030'</v>
      </c>
      <c r="U230" s="13" t="str">
        <f ca="1">CONCATENATE("'",Grunddaten!AH223,"'")</f>
        <v>'96567353'</v>
      </c>
      <c r="V230" s="13">
        <f>Grunddaten!AI223</f>
        <v>1</v>
      </c>
      <c r="Z230" s="2" t="str" cm="1">
        <f t="array" ref="Z230">CONCATENATE("                   ",Liste(B230:H230),IF(Z231&lt;&gt;"",",",""))</f>
        <v xml:space="preserve">                   (221, 'Wiese', 'Alexander', 1, 2, '2015-10-31', '1982-07-21'),</v>
      </c>
      <c r="AB230" s="2" t="str" cm="1">
        <f t="array" aca="1" ref="AB230" ca="1">CONCATENATE("                    ",Liste(J230:P230),IF(AB231&lt;&gt;"",",",""))</f>
        <v xml:space="preserve">                    (221, 1, '10365', 'Berlin', 'Mühlenweg', '36', 1),</v>
      </c>
      <c r="AD230" s="2" t="str" cm="1">
        <f t="array" aca="1" ref="AD230" ca="1">CONCATENATE("                   ",Liste(R230:V230),IF(AD231&lt;&gt;"",",",""))</f>
        <v xml:space="preserve">                   (221, 1, '030', '96567353', 1),</v>
      </c>
    </row>
    <row r="231" spans="2:30" x14ac:dyDescent="0.45">
      <c r="B231" s="4">
        <f>Grunddaten!A224</f>
        <v>222</v>
      </c>
      <c r="C231" s="4" t="str">
        <f>CONCATENATE("'",Grunddaten!F224,"'")</f>
        <v>'Lehmann'</v>
      </c>
      <c r="D231" s="4" t="str">
        <f>CONCATENATE("'",Grunddaten!E224,"'")</f>
        <v>'Emmi'</v>
      </c>
      <c r="E231" s="4">
        <f>VLOOKUP(Grunddaten!D224,FormOfAddress,2,TRUE)</f>
        <v>2</v>
      </c>
      <c r="F231" s="4">
        <f>VLOOKUP(Grunddaten!I224,FamilyStatus,2,FALSE)</f>
        <v>1</v>
      </c>
      <c r="G231" s="4" t="str">
        <f>IF(Grunddaten!J224&lt;&gt;"",CONCATENATE("'",TEXT(Grunddaten!J224,"JJJJ-MM-tt"),"'"),"NULL")</f>
        <v>NULL</v>
      </c>
      <c r="H231" s="4" t="str">
        <f>CONCATENATE("'",TEXT(Grunddaten!G224,"JJJJ-MM-tt"),"'")</f>
        <v>'2002-03-23'</v>
      </c>
      <c r="J231" s="14">
        <f>Grunddaten!A224</f>
        <v>222</v>
      </c>
      <c r="K231" s="14">
        <f>Grunddaten!Y224</f>
        <v>1</v>
      </c>
      <c r="L231" s="14" t="str">
        <f ca="1">CONCATENATE("'",Grunddaten!Z224,"'")</f>
        <v>'13581'</v>
      </c>
      <c r="M231" s="14" t="str">
        <f>CONCATENATE("'",Grunddaten!AA224,"'")</f>
        <v>'Berlin'</v>
      </c>
      <c r="N231" s="14" t="str">
        <f>CONCATENATE("'",Grunddaten!AB224,"'")</f>
        <v>'Johann-Peter-Hebel-Straße'</v>
      </c>
      <c r="O231" s="14" t="str">
        <f>CONCATENATE("'",Grunddaten!AC224,"'")</f>
        <v>'8'</v>
      </c>
      <c r="P231" s="14">
        <f>Grunddaten!AD224</f>
        <v>1</v>
      </c>
      <c r="R231" s="13">
        <f>Grunddaten!A224</f>
        <v>222</v>
      </c>
      <c r="S231" s="13">
        <f>Grunddaten!AF224</f>
        <v>1</v>
      </c>
      <c r="T231" s="13" t="str">
        <f>CONCATENATE("'",Grunddaten!AG224,"'")</f>
        <v>'030'</v>
      </c>
      <c r="U231" s="13" t="str">
        <f ca="1">CONCATENATE("'",Grunddaten!AH224,"'")</f>
        <v>'69236132'</v>
      </c>
      <c r="V231" s="13">
        <f>Grunddaten!AI224</f>
        <v>1</v>
      </c>
      <c r="Z231" s="2" t="str" cm="1">
        <f t="array" ref="Z231">CONCATENATE("                   ",Liste(B231:H231),IF(Z232&lt;&gt;"",",",""))</f>
        <v xml:space="preserve">                   (222, 'Lehmann', 'Emmi', 2, 1, NULL, '2002-03-23'),</v>
      </c>
      <c r="AB231" s="2" t="str" cm="1">
        <f t="array" aca="1" ref="AB231" ca="1">CONCATENATE("                    ",Liste(J231:P231),IF(AB232&lt;&gt;"",",",""))</f>
        <v xml:space="preserve">                    (222, 1, '13581', 'Berlin', 'Johann-Peter-Hebel-Straße', '8', 1),</v>
      </c>
      <c r="AD231" s="2" t="str" cm="1">
        <f t="array" aca="1" ref="AD231" ca="1">CONCATENATE("                   ",Liste(R231:V231),IF(AD232&lt;&gt;"",",",""))</f>
        <v xml:space="preserve">                   (222, 1, '030', '69236132', 1),</v>
      </c>
    </row>
    <row r="232" spans="2:30" x14ac:dyDescent="0.45">
      <c r="B232" s="4">
        <f>Grunddaten!A225</f>
        <v>223</v>
      </c>
      <c r="C232" s="4" t="str">
        <f>CONCATENATE("'",Grunddaten!F225,"'")</f>
        <v>'Krause'</v>
      </c>
      <c r="D232" s="4" t="str">
        <f>CONCATENATE("'",Grunddaten!E225,"'")</f>
        <v>'Gerd'</v>
      </c>
      <c r="E232" s="4">
        <f>VLOOKUP(Grunddaten!D225,FormOfAddress,2,TRUE)</f>
        <v>1</v>
      </c>
      <c r="F232" s="4">
        <f>VLOOKUP(Grunddaten!I225,FamilyStatus,2,FALSE)</f>
        <v>2</v>
      </c>
      <c r="G232" s="4" t="str">
        <f>IF(Grunddaten!J225&lt;&gt;"",CONCATENATE("'",TEXT(Grunddaten!J225,"JJJJ-MM-tt"),"'"),"NULL")</f>
        <v>'1976-02-07'</v>
      </c>
      <c r="H232" s="4" t="str">
        <f>CONCATENATE("'",TEXT(Grunddaten!G225,"JJJJ-MM-tt"),"'")</f>
        <v>'1951-02-06'</v>
      </c>
      <c r="J232" s="14">
        <f>Grunddaten!A225</f>
        <v>223</v>
      </c>
      <c r="K232" s="14">
        <f>Grunddaten!Y225</f>
        <v>1</v>
      </c>
      <c r="L232" s="14" t="str">
        <f ca="1">CONCATENATE("'",Grunddaten!Z225,"'")</f>
        <v>'14050'</v>
      </c>
      <c r="M232" s="14" t="str">
        <f>CONCATENATE("'",Grunddaten!AA225,"'")</f>
        <v>'Berlin'</v>
      </c>
      <c r="N232" s="14" t="str">
        <f>CONCATENATE("'",Grunddaten!AB225,"'")</f>
        <v>'Sonnenstraße'</v>
      </c>
      <c r="O232" s="14" t="str">
        <f>CONCATENATE("'",Grunddaten!AC225,"'")</f>
        <v>'6B'</v>
      </c>
      <c r="P232" s="14">
        <f>Grunddaten!AD225</f>
        <v>1</v>
      </c>
      <c r="R232" s="13">
        <f>Grunddaten!A225</f>
        <v>223</v>
      </c>
      <c r="S232" s="13">
        <f>Grunddaten!AF225</f>
        <v>1</v>
      </c>
      <c r="T232" s="13" t="str">
        <f>CONCATENATE("'",Grunddaten!AG225,"'")</f>
        <v>'030'</v>
      </c>
      <c r="U232" s="13" t="str">
        <f ca="1">CONCATENATE("'",Grunddaten!AH225,"'")</f>
        <v>'45099009'</v>
      </c>
      <c r="V232" s="13">
        <f>Grunddaten!AI225</f>
        <v>1</v>
      </c>
      <c r="Z232" s="2" t="str" cm="1">
        <f t="array" ref="Z232">CONCATENATE("                   ",Liste(B232:H232),IF(Z233&lt;&gt;"",",",""))</f>
        <v xml:space="preserve">                   (223, 'Krause', 'Gerd', 1, 2, '1976-02-07', '1951-02-06'),</v>
      </c>
      <c r="AB232" s="2" t="str" cm="1">
        <f t="array" aca="1" ref="AB232" ca="1">CONCATENATE("                    ",Liste(J232:P232),IF(AB233&lt;&gt;"",",",""))</f>
        <v xml:space="preserve">                    (223, 1, '14050', 'Berlin', 'Sonnenstraße', '6B', 1),</v>
      </c>
      <c r="AD232" s="2" t="str" cm="1">
        <f t="array" aca="1" ref="AD232" ca="1">CONCATENATE("                   ",Liste(R232:V232),IF(AD233&lt;&gt;"",",",""))</f>
        <v xml:space="preserve">                   (223, 1, '030', '45099009', 1),</v>
      </c>
    </row>
    <row r="233" spans="2:30" x14ac:dyDescent="0.45">
      <c r="B233" s="4">
        <f>Grunddaten!A226</f>
        <v>224</v>
      </c>
      <c r="C233" s="4" t="str">
        <f>CONCATENATE("'",Grunddaten!F226,"'")</f>
        <v>'Meinhardt'</v>
      </c>
      <c r="D233" s="4" t="str">
        <f>CONCATENATE("'",Grunddaten!E226,"'")</f>
        <v>'Elisabeth'</v>
      </c>
      <c r="E233" s="4">
        <f>VLOOKUP(Grunddaten!D226,FormOfAddress,2,TRUE)</f>
        <v>2</v>
      </c>
      <c r="F233" s="4">
        <f>VLOOKUP(Grunddaten!I226,FamilyStatus,2,FALSE)</f>
        <v>1</v>
      </c>
      <c r="G233" s="4" t="str">
        <f>IF(Grunddaten!J226&lt;&gt;"",CONCATENATE("'",TEXT(Grunddaten!J226,"JJJJ-MM-tt"),"'"),"NULL")</f>
        <v>NULL</v>
      </c>
      <c r="H233" s="4" t="str">
        <f>CONCATENATE("'",TEXT(Grunddaten!G226,"JJJJ-MM-tt"),"'")</f>
        <v>'1996-04-28'</v>
      </c>
      <c r="J233" s="14">
        <f>Grunddaten!A226</f>
        <v>224</v>
      </c>
      <c r="K233" s="14">
        <f>Grunddaten!Y226</f>
        <v>1</v>
      </c>
      <c r="L233" s="14" t="str">
        <f ca="1">CONCATENATE("'",Grunddaten!Z226,"'")</f>
        <v>'10405'</v>
      </c>
      <c r="M233" s="14" t="str">
        <f>CONCATENATE("'",Grunddaten!AA226,"'")</f>
        <v>'Berlin'</v>
      </c>
      <c r="N233" s="14" t="str">
        <f>CONCATENATE("'",Grunddaten!AB226,"'")</f>
        <v>'Max-Frisch-Straße'</v>
      </c>
      <c r="O233" s="14" t="str">
        <f>CONCATENATE("'",Grunddaten!AC226,"'")</f>
        <v>'2'</v>
      </c>
      <c r="P233" s="14">
        <f>Grunddaten!AD226</f>
        <v>1</v>
      </c>
      <c r="R233" s="13">
        <f>Grunddaten!A226</f>
        <v>224</v>
      </c>
      <c r="S233" s="13">
        <f>Grunddaten!AF226</f>
        <v>1</v>
      </c>
      <c r="T233" s="13" t="str">
        <f>CONCATENATE("'",Grunddaten!AG226,"'")</f>
        <v>'030'</v>
      </c>
      <c r="U233" s="13" t="str">
        <f ca="1">CONCATENATE("'",Grunddaten!AH226,"'")</f>
        <v>'91940418'</v>
      </c>
      <c r="V233" s="13">
        <f>Grunddaten!AI226</f>
        <v>1</v>
      </c>
      <c r="Z233" s="2" t="str" cm="1">
        <f t="array" ref="Z233">CONCATENATE("                   ",Liste(B233:H233),IF(Z234&lt;&gt;"",",",""))</f>
        <v xml:space="preserve">                   (224, 'Meinhardt', 'Elisabeth', 2, 1, NULL, '1996-04-28'),</v>
      </c>
      <c r="AB233" s="2" t="str" cm="1">
        <f t="array" aca="1" ref="AB233" ca="1">CONCATENATE("                    ",Liste(J233:P233),IF(AB234&lt;&gt;"",",",""))</f>
        <v xml:space="preserve">                    (224, 1, '10405', 'Berlin', 'Max-Frisch-Straße', '2', 1),</v>
      </c>
      <c r="AD233" s="2" t="str" cm="1">
        <f t="array" aca="1" ref="AD233" ca="1">CONCATENATE("                   ",Liste(R233:V233),IF(AD234&lt;&gt;"",",",""))</f>
        <v xml:space="preserve">                   (224, 1, '030', '91940418', 1),</v>
      </c>
    </row>
    <row r="234" spans="2:30" x14ac:dyDescent="0.45">
      <c r="B234" s="4">
        <f>Grunddaten!A227</f>
        <v>225</v>
      </c>
      <c r="C234" s="4" t="str">
        <f>CONCATENATE("'",Grunddaten!F227,"'")</f>
        <v>'Wanderer'</v>
      </c>
      <c r="D234" s="4" t="str">
        <f>CONCATENATE("'",Grunddaten!E227,"'")</f>
        <v>'Peter'</v>
      </c>
      <c r="E234" s="4">
        <f>VLOOKUP(Grunddaten!D227,FormOfAddress,2,TRUE)</f>
        <v>1</v>
      </c>
      <c r="F234" s="4">
        <f>VLOOKUP(Grunddaten!I227,FamilyStatus,2,FALSE)</f>
        <v>2</v>
      </c>
      <c r="G234" s="4" t="str">
        <f>IF(Grunddaten!J227&lt;&gt;"",CONCATENATE("'",TEXT(Grunddaten!J227,"JJJJ-MM-tt"),"'"),"NULL")</f>
        <v>'1987-09-30'</v>
      </c>
      <c r="H234" s="4" t="str">
        <f>CONCATENATE("'",TEXT(Grunddaten!G227,"JJJJ-MM-tt"),"'")</f>
        <v>'1958-03-11'</v>
      </c>
      <c r="J234" s="14">
        <f>Grunddaten!A227</f>
        <v>225</v>
      </c>
      <c r="K234" s="14">
        <f>Grunddaten!Y227</f>
        <v>1</v>
      </c>
      <c r="L234" s="14" t="str">
        <f ca="1">CONCATENATE("'",Grunddaten!Z227,"'")</f>
        <v>'10317'</v>
      </c>
      <c r="M234" s="14" t="str">
        <f>CONCATENATE("'",Grunddaten!AA227,"'")</f>
        <v>'Berlin'</v>
      </c>
      <c r="N234" s="14" t="str">
        <f>CONCATENATE("'",Grunddaten!AB227,"'")</f>
        <v>'Karl-Valentin-Straße'</v>
      </c>
      <c r="O234" s="14" t="str">
        <f>CONCATENATE("'",Grunddaten!AC227,"'")</f>
        <v>'47A'</v>
      </c>
      <c r="P234" s="14">
        <f>Grunddaten!AD227</f>
        <v>1</v>
      </c>
      <c r="R234" s="13">
        <f>Grunddaten!A227</f>
        <v>225</v>
      </c>
      <c r="S234" s="13">
        <f>Grunddaten!AF227</f>
        <v>1</v>
      </c>
      <c r="T234" s="13" t="str">
        <f>CONCATENATE("'",Grunddaten!AG227,"'")</f>
        <v>'030'</v>
      </c>
      <c r="U234" s="13" t="str">
        <f ca="1">CONCATENATE("'",Grunddaten!AH227,"'")</f>
        <v>'68451924'</v>
      </c>
      <c r="V234" s="13">
        <f>Grunddaten!AI227</f>
        <v>1</v>
      </c>
      <c r="Z234" s="2" t="str" cm="1">
        <f t="array" ref="Z234">CONCATENATE("                   ",Liste(B234:H234),IF(Z235&lt;&gt;"",",",""))</f>
        <v xml:space="preserve">                   (225, 'Wanderer', 'Peter', 1, 2, '1987-09-30', '1958-03-11'),</v>
      </c>
      <c r="AB234" s="2" t="str" cm="1">
        <f t="array" aca="1" ref="AB234" ca="1">CONCATENATE("                    ",Liste(J234:P234),IF(AB235&lt;&gt;"",",",""))</f>
        <v xml:space="preserve">                    (225, 1, '10317', 'Berlin', 'Karl-Valentin-Straße', '47A', 1),</v>
      </c>
      <c r="AD234" s="2" t="str" cm="1">
        <f t="array" aca="1" ref="AD234" ca="1">CONCATENATE("                   ",Liste(R234:V234),IF(AD235&lt;&gt;"",",",""))</f>
        <v xml:space="preserve">                   (225, 1, '030', '68451924', 1),</v>
      </c>
    </row>
    <row r="235" spans="2:30" x14ac:dyDescent="0.45">
      <c r="B235" s="4">
        <f>Grunddaten!A228</f>
        <v>226</v>
      </c>
      <c r="C235" s="4" t="str">
        <f>CONCATENATE("'",Grunddaten!F228,"'")</f>
        <v>'Hofmann'</v>
      </c>
      <c r="D235" s="4" t="str">
        <f>CONCATENATE("'",Grunddaten!E228,"'")</f>
        <v>'Regina'</v>
      </c>
      <c r="E235" s="4">
        <f>VLOOKUP(Grunddaten!D228,FormOfAddress,2,TRUE)</f>
        <v>2</v>
      </c>
      <c r="F235" s="4">
        <f>VLOOKUP(Grunddaten!I228,FamilyStatus,2,FALSE)</f>
        <v>1</v>
      </c>
      <c r="G235" s="4" t="str">
        <f>IF(Grunddaten!J228&lt;&gt;"",CONCATENATE("'",TEXT(Grunddaten!J228,"JJJJ-MM-tt"),"'"),"NULL")</f>
        <v>NULL</v>
      </c>
      <c r="H235" s="4" t="str">
        <f>CONCATENATE("'",TEXT(Grunddaten!G228,"JJJJ-MM-tt"),"'")</f>
        <v>'1994-05-11'</v>
      </c>
      <c r="J235" s="14">
        <f>Grunddaten!A228</f>
        <v>226</v>
      </c>
      <c r="K235" s="14">
        <f>Grunddaten!Y228</f>
        <v>1</v>
      </c>
      <c r="L235" s="14" t="str">
        <f ca="1">CONCATENATE("'",Grunddaten!Z228,"'")</f>
        <v>'13187'</v>
      </c>
      <c r="M235" s="14" t="str">
        <f>CONCATENATE("'",Grunddaten!AA228,"'")</f>
        <v>'Berlin'</v>
      </c>
      <c r="N235" s="14" t="str">
        <f>CONCATENATE("'",Grunddaten!AB228,"'")</f>
        <v>'Schützenstraße'</v>
      </c>
      <c r="O235" s="14" t="str">
        <f>CONCATENATE("'",Grunddaten!AC228,"'")</f>
        <v>'5A'</v>
      </c>
      <c r="P235" s="14">
        <f>Grunddaten!AD228</f>
        <v>1</v>
      </c>
      <c r="R235" s="13">
        <f>Grunddaten!A228</f>
        <v>226</v>
      </c>
      <c r="S235" s="13">
        <f>Grunddaten!AF228</f>
        <v>1</v>
      </c>
      <c r="T235" s="13" t="str">
        <f>CONCATENATE("'",Grunddaten!AG228,"'")</f>
        <v>'030'</v>
      </c>
      <c r="U235" s="13" t="str">
        <f ca="1">CONCATENATE("'",Grunddaten!AH228,"'")</f>
        <v>'74431752'</v>
      </c>
      <c r="V235" s="13">
        <f>Grunddaten!AI228</f>
        <v>1</v>
      </c>
      <c r="Z235" s="2" t="str" cm="1">
        <f t="array" ref="Z235">CONCATENATE("                   ",Liste(B235:H235),IF(Z236&lt;&gt;"",",",""))</f>
        <v xml:space="preserve">                   (226, 'Hofmann', 'Regina', 2, 1, NULL, '1994-05-11'),</v>
      </c>
      <c r="AB235" s="2" t="str" cm="1">
        <f t="array" aca="1" ref="AB235" ca="1">CONCATENATE("                    ",Liste(J235:P235),IF(AB236&lt;&gt;"",",",""))</f>
        <v xml:space="preserve">                    (226, 1, '13187', 'Berlin', 'Schützenstraße', '5A', 1),</v>
      </c>
      <c r="AD235" s="2" t="str" cm="1">
        <f t="array" aca="1" ref="AD235" ca="1">CONCATENATE("                   ",Liste(R235:V235),IF(AD236&lt;&gt;"",",",""))</f>
        <v xml:space="preserve">                   (226, 1, '030', '74431752', 1),</v>
      </c>
    </row>
    <row r="236" spans="2:30" x14ac:dyDescent="0.45">
      <c r="B236" s="4">
        <f>Grunddaten!A229</f>
        <v>227</v>
      </c>
      <c r="C236" s="4" t="str">
        <f>CONCATENATE("'",Grunddaten!F229,"'")</f>
        <v>'Steiff'</v>
      </c>
      <c r="D236" s="4" t="str">
        <f>CONCATENATE("'",Grunddaten!E229,"'")</f>
        <v>'Anette'</v>
      </c>
      <c r="E236" s="4">
        <f>VLOOKUP(Grunddaten!D229,FormOfAddress,2,TRUE)</f>
        <v>2</v>
      </c>
      <c r="F236" s="4">
        <f>VLOOKUP(Grunddaten!I229,FamilyStatus,2,FALSE)</f>
        <v>1</v>
      </c>
      <c r="G236" s="4" t="str">
        <f>IF(Grunddaten!J229&lt;&gt;"",CONCATENATE("'",TEXT(Grunddaten!J229,"JJJJ-MM-tt"),"'"),"NULL")</f>
        <v>NULL</v>
      </c>
      <c r="H236" s="4" t="str">
        <f>CONCATENATE("'",TEXT(Grunddaten!G229,"JJJJ-MM-tt"),"'")</f>
        <v>'1995-12-14'</v>
      </c>
      <c r="J236" s="14">
        <f>Grunddaten!A229</f>
        <v>227</v>
      </c>
      <c r="K236" s="14">
        <f>Grunddaten!Y229</f>
        <v>1</v>
      </c>
      <c r="L236" s="14" t="str">
        <f ca="1">CONCATENATE("'",Grunddaten!Z229,"'")</f>
        <v>'10825'</v>
      </c>
      <c r="M236" s="14" t="str">
        <f>CONCATENATE("'",Grunddaten!AA229,"'")</f>
        <v>'Berlin'</v>
      </c>
      <c r="N236" s="14" t="str">
        <f>CONCATENATE("'",Grunddaten!AB229,"'")</f>
        <v>'Washington-Allee'</v>
      </c>
      <c r="O236" s="14" t="str">
        <f>CONCATENATE("'",Grunddaten!AC229,"'")</f>
        <v>'18'</v>
      </c>
      <c r="P236" s="14">
        <f>Grunddaten!AD229</f>
        <v>1</v>
      </c>
      <c r="R236" s="13">
        <f>Grunddaten!A229</f>
        <v>227</v>
      </c>
      <c r="S236" s="13">
        <f>Grunddaten!AF229</f>
        <v>1</v>
      </c>
      <c r="T236" s="13" t="str">
        <f>CONCATENATE("'",Grunddaten!AG229,"'")</f>
        <v>'030'</v>
      </c>
      <c r="U236" s="13" t="str">
        <f ca="1">CONCATENATE("'",Grunddaten!AH229,"'")</f>
        <v>'64180322'</v>
      </c>
      <c r="V236" s="13">
        <f>Grunddaten!AI229</f>
        <v>1</v>
      </c>
      <c r="Z236" s="2" t="str" cm="1">
        <f t="array" ref="Z236">CONCATENATE("                   ",Liste(B236:H236),IF(Z237&lt;&gt;"",",",""))</f>
        <v xml:space="preserve">                   (227, 'Steiff', 'Anette', 2, 1, NULL, '1995-12-14'),</v>
      </c>
      <c r="AB236" s="2" t="str" cm="1">
        <f t="array" aca="1" ref="AB236" ca="1">CONCATENATE("                    ",Liste(J236:P236),IF(AB237&lt;&gt;"",",",""))</f>
        <v xml:space="preserve">                    (227, 1, '10825', 'Berlin', 'Washington-Allee', '18', 1),</v>
      </c>
      <c r="AD236" s="2" t="str" cm="1">
        <f t="array" aca="1" ref="AD236" ca="1">CONCATENATE("                   ",Liste(R236:V236),IF(AD237&lt;&gt;"",",",""))</f>
        <v xml:space="preserve">                   (227, 1, '030', '64180322', 1),</v>
      </c>
    </row>
    <row r="237" spans="2:30" x14ac:dyDescent="0.45">
      <c r="B237" s="4">
        <f>Grunddaten!A230</f>
        <v>228</v>
      </c>
      <c r="C237" s="4" t="str">
        <f>CONCATENATE("'",Grunddaten!F230,"'")</f>
        <v>'Lehmann'</v>
      </c>
      <c r="D237" s="4" t="str">
        <f>CONCATENATE("'",Grunddaten!E230,"'")</f>
        <v>'Marta'</v>
      </c>
      <c r="E237" s="4">
        <f>VLOOKUP(Grunddaten!D230,FormOfAddress,2,TRUE)</f>
        <v>2</v>
      </c>
      <c r="F237" s="4">
        <f>VLOOKUP(Grunddaten!I230,FamilyStatus,2,FALSE)</f>
        <v>4</v>
      </c>
      <c r="G237" s="4" t="str">
        <f>IF(Grunddaten!J230&lt;&gt;"",CONCATENATE("'",TEXT(Grunddaten!J230,"JJJJ-MM-tt"),"'"),"NULL")</f>
        <v>'2020-11-12'</v>
      </c>
      <c r="H237" s="4" t="str">
        <f>CONCATENATE("'",TEXT(Grunddaten!G230,"JJJJ-MM-tt"),"'")</f>
        <v>'1961-05-04'</v>
      </c>
      <c r="J237" s="14">
        <f>Grunddaten!A230</f>
        <v>228</v>
      </c>
      <c r="K237" s="14">
        <f>Grunddaten!Y230</f>
        <v>1</v>
      </c>
      <c r="L237" s="14" t="str">
        <f ca="1">CONCATENATE("'",Grunddaten!Z230,"'")</f>
        <v>'12157'</v>
      </c>
      <c r="M237" s="14" t="str">
        <f>CONCATENATE("'",Grunddaten!AA230,"'")</f>
        <v>'Berlin'</v>
      </c>
      <c r="N237" s="14" t="str">
        <f>CONCATENATE("'",Grunddaten!AB230,"'")</f>
        <v>'Dallas-Allee'</v>
      </c>
      <c r="O237" s="14" t="str">
        <f>CONCATENATE("'",Grunddaten!AC230,"'")</f>
        <v>'39B'</v>
      </c>
      <c r="P237" s="14">
        <f>Grunddaten!AD230</f>
        <v>1</v>
      </c>
      <c r="R237" s="13">
        <f>Grunddaten!A230</f>
        <v>228</v>
      </c>
      <c r="S237" s="13">
        <f>Grunddaten!AF230</f>
        <v>1</v>
      </c>
      <c r="T237" s="13" t="str">
        <f>CONCATENATE("'",Grunddaten!AG230,"'")</f>
        <v>'030'</v>
      </c>
      <c r="U237" s="13" t="str">
        <f ca="1">CONCATENATE("'",Grunddaten!AH230,"'")</f>
        <v>'87108046'</v>
      </c>
      <c r="V237" s="13">
        <f>Grunddaten!AI230</f>
        <v>1</v>
      </c>
      <c r="Z237" s="2" t="str" cm="1">
        <f t="array" ref="Z237">CONCATENATE("                   ",Liste(B237:H237),IF(Z238&lt;&gt;"",",",""))</f>
        <v xml:space="preserve">                   (228, 'Lehmann', 'Marta', 2, 4, '2020-11-12', '1961-05-04'),</v>
      </c>
      <c r="AB237" s="2" t="str" cm="1">
        <f t="array" aca="1" ref="AB237" ca="1">CONCATENATE("                    ",Liste(J237:P237),IF(AB238&lt;&gt;"",",",""))</f>
        <v xml:space="preserve">                    (228, 1, '12157', 'Berlin', 'Dallas-Allee', '39B', 1),</v>
      </c>
      <c r="AD237" s="2" t="str" cm="1">
        <f t="array" aca="1" ref="AD237" ca="1">CONCATENATE("                   ",Liste(R237:V237),IF(AD238&lt;&gt;"",",",""))</f>
        <v xml:space="preserve">                   (228, 1, '030', '87108046', 1),</v>
      </c>
    </row>
    <row r="238" spans="2:30" x14ac:dyDescent="0.45">
      <c r="B238" s="4">
        <f>Grunddaten!A231</f>
        <v>229</v>
      </c>
      <c r="C238" s="4" t="str">
        <f>CONCATENATE("'",Grunddaten!F231,"'")</f>
        <v>'Heise'</v>
      </c>
      <c r="D238" s="4" t="str">
        <f>CONCATENATE("'",Grunddaten!E231,"'")</f>
        <v>'Max'</v>
      </c>
      <c r="E238" s="4">
        <f>VLOOKUP(Grunddaten!D231,FormOfAddress,2,TRUE)</f>
        <v>1</v>
      </c>
      <c r="F238" s="4">
        <f>VLOOKUP(Grunddaten!I231,FamilyStatus,2,FALSE)</f>
        <v>2</v>
      </c>
      <c r="G238" s="4" t="str">
        <f>IF(Grunddaten!J231&lt;&gt;"",CONCATENATE("'",TEXT(Grunddaten!J231,"JJJJ-MM-tt"),"'"),"NULL")</f>
        <v>'1997-04-08'</v>
      </c>
      <c r="H238" s="4" t="str">
        <f>CONCATENATE("'",TEXT(Grunddaten!G231,"JJJJ-MM-tt"),"'")</f>
        <v>'1978-01-02'</v>
      </c>
      <c r="J238" s="14">
        <f>Grunddaten!A231</f>
        <v>229</v>
      </c>
      <c r="K238" s="14">
        <f>Grunddaten!Y231</f>
        <v>1</v>
      </c>
      <c r="L238" s="14" t="str">
        <f ca="1">CONCATENATE("'",Grunddaten!Z231,"'")</f>
        <v>'14547'</v>
      </c>
      <c r="M238" s="14" t="str">
        <f>CONCATENATE("'",Grunddaten!AA231,"'")</f>
        <v>'Klosterdorf'</v>
      </c>
      <c r="N238" s="14" t="str">
        <f>CONCATENATE("'",Grunddaten!AB231,"'")</f>
        <v>'Marktplatz'</v>
      </c>
      <c r="O238" s="14" t="str">
        <f>CONCATENATE("'",Grunddaten!AC231,"'")</f>
        <v>'38'</v>
      </c>
      <c r="P238" s="14">
        <f>Grunddaten!AD231</f>
        <v>1</v>
      </c>
      <c r="R238" s="13">
        <f>Grunddaten!A231</f>
        <v>229</v>
      </c>
      <c r="S238" s="13">
        <f>Grunddaten!AF231</f>
        <v>1</v>
      </c>
      <c r="T238" s="13" t="str">
        <f>CONCATENATE("'",Grunddaten!AG231,"'")</f>
        <v>'033206'</v>
      </c>
      <c r="U238" s="13" t="str">
        <f ca="1">CONCATENATE("'",Grunddaten!AH231,"'")</f>
        <v>'7769'</v>
      </c>
      <c r="V238" s="13">
        <f>Grunddaten!AI231</f>
        <v>1</v>
      </c>
      <c r="Z238" s="2" t="str" cm="1">
        <f t="array" ref="Z238">CONCATENATE("                   ",Liste(B238:H238),IF(Z239&lt;&gt;"",",",""))</f>
        <v xml:space="preserve">                   (229, 'Heise', 'Max', 1, 2, '1997-04-08', '1978-01-02'),</v>
      </c>
      <c r="AB238" s="2" t="str" cm="1">
        <f t="array" aca="1" ref="AB238" ca="1">CONCATENATE("                    ",Liste(J238:P238),IF(AB239&lt;&gt;"",",",""))</f>
        <v xml:space="preserve">                    (229, 1, '14547', 'Klosterdorf', 'Marktplatz', '38', 1),</v>
      </c>
      <c r="AD238" s="2" t="str" cm="1">
        <f t="array" aca="1" ref="AD238" ca="1">CONCATENATE("                   ",Liste(R238:V238),IF(AD239&lt;&gt;"",",",""))</f>
        <v xml:space="preserve">                   (229, 1, '033206', '7769', 1),</v>
      </c>
    </row>
    <row r="239" spans="2:30" x14ac:dyDescent="0.45">
      <c r="B239" s="4">
        <f>Grunddaten!A232</f>
        <v>230</v>
      </c>
      <c r="C239" s="4" t="str">
        <f>CONCATENATE("'",Grunddaten!F232,"'")</f>
        <v>'Fehse'</v>
      </c>
      <c r="D239" s="4" t="str">
        <f>CONCATENATE("'",Grunddaten!E232,"'")</f>
        <v>'Matthias'</v>
      </c>
      <c r="E239" s="4">
        <f>VLOOKUP(Grunddaten!D232,FormOfAddress,2,TRUE)</f>
        <v>1</v>
      </c>
      <c r="F239" s="4">
        <f>VLOOKUP(Grunddaten!I232,FamilyStatus,2,FALSE)</f>
        <v>3</v>
      </c>
      <c r="G239" s="4" t="str">
        <f>IF(Grunddaten!J232&lt;&gt;"",CONCATENATE("'",TEXT(Grunddaten!J232,"JJJJ-MM-tt"),"'"),"NULL")</f>
        <v>'2014-02-12'</v>
      </c>
      <c r="H239" s="4" t="str">
        <f>CONCATENATE("'",TEXT(Grunddaten!G232,"JJJJ-MM-tt"),"'")</f>
        <v>'1972-07-26'</v>
      </c>
      <c r="J239" s="14">
        <f>Grunddaten!A232</f>
        <v>230</v>
      </c>
      <c r="K239" s="14">
        <f>Grunddaten!Y232</f>
        <v>1</v>
      </c>
      <c r="L239" s="14" t="str">
        <f ca="1">CONCATENATE("'",Grunddaten!Z232,"'")</f>
        <v>'13597'</v>
      </c>
      <c r="M239" s="14" t="str">
        <f>CONCATENATE("'",Grunddaten!AA232,"'")</f>
        <v>'Berlin'</v>
      </c>
      <c r="N239" s="14" t="str">
        <f>CONCATENATE("'",Grunddaten!AB232,"'")</f>
        <v>'Finkenweg'</v>
      </c>
      <c r="O239" s="14" t="str">
        <f>CONCATENATE("'",Grunddaten!AC232,"'")</f>
        <v>'48'</v>
      </c>
      <c r="P239" s="14">
        <f>Grunddaten!AD232</f>
        <v>1</v>
      </c>
      <c r="R239" s="13">
        <f>Grunddaten!A232</f>
        <v>230</v>
      </c>
      <c r="S239" s="13">
        <f>Grunddaten!AF232</f>
        <v>1</v>
      </c>
      <c r="T239" s="13" t="str">
        <f>CONCATENATE("'",Grunddaten!AG232,"'")</f>
        <v>'030'</v>
      </c>
      <c r="U239" s="13" t="str">
        <f ca="1">CONCATENATE("'",Grunddaten!AH232,"'")</f>
        <v>'84527197'</v>
      </c>
      <c r="V239" s="13">
        <f>Grunddaten!AI232</f>
        <v>1</v>
      </c>
      <c r="Z239" s="2" t="str" cm="1">
        <f t="array" ref="Z239">CONCATENATE("                   ",Liste(B239:H239),IF(Z240&lt;&gt;"",",",""))</f>
        <v xml:space="preserve">                   (230, 'Fehse', 'Matthias', 1, 3, '2014-02-12', '1972-07-26'),</v>
      </c>
      <c r="AB239" s="2" t="str" cm="1">
        <f t="array" aca="1" ref="AB239" ca="1">CONCATENATE("                    ",Liste(J239:P239),IF(AB240&lt;&gt;"",",",""))</f>
        <v xml:space="preserve">                    (230, 1, '13597', 'Berlin', 'Finkenweg', '48', 1),</v>
      </c>
      <c r="AD239" s="2" t="str" cm="1">
        <f t="array" aca="1" ref="AD239" ca="1">CONCATENATE("                   ",Liste(R239:V239),IF(AD240&lt;&gt;"",",",""))</f>
        <v xml:space="preserve">                   (230, 1, '030', '84527197', 1),</v>
      </c>
    </row>
    <row r="240" spans="2:30" x14ac:dyDescent="0.45">
      <c r="B240" s="4">
        <f>Grunddaten!A233</f>
        <v>231</v>
      </c>
      <c r="C240" s="4" t="str">
        <f>CONCATENATE("'",Grunddaten!F233,"'")</f>
        <v>'Hauptmann'</v>
      </c>
      <c r="D240" s="4" t="str">
        <f>CONCATENATE("'",Grunddaten!E233,"'")</f>
        <v>'Thomas'</v>
      </c>
      <c r="E240" s="4">
        <f>VLOOKUP(Grunddaten!D233,FormOfAddress,2,TRUE)</f>
        <v>1</v>
      </c>
      <c r="F240" s="4">
        <f>VLOOKUP(Grunddaten!I233,FamilyStatus,2,FALSE)</f>
        <v>1</v>
      </c>
      <c r="G240" s="4" t="str">
        <f>IF(Grunddaten!J233&lt;&gt;"",CONCATENATE("'",TEXT(Grunddaten!J233,"JJJJ-MM-tt"),"'"),"NULL")</f>
        <v>NULL</v>
      </c>
      <c r="H240" s="4" t="str">
        <f>CONCATENATE("'",TEXT(Grunddaten!G233,"JJJJ-MM-tt"),"'")</f>
        <v>'1950-07-29'</v>
      </c>
      <c r="J240" s="14">
        <f>Grunddaten!A233</f>
        <v>231</v>
      </c>
      <c r="K240" s="14">
        <f>Grunddaten!Y233</f>
        <v>1</v>
      </c>
      <c r="L240" s="14" t="str">
        <f ca="1">CONCATENATE("'",Grunddaten!Z233,"'")</f>
        <v>'13407'</v>
      </c>
      <c r="M240" s="14" t="str">
        <f>CONCATENATE("'",Grunddaten!AA233,"'")</f>
        <v>'Berlin'</v>
      </c>
      <c r="N240" s="14" t="str">
        <f>CONCATENATE("'",Grunddaten!AB233,"'")</f>
        <v>'Sydneyweg'</v>
      </c>
      <c r="O240" s="14" t="str">
        <f>CONCATENATE("'",Grunddaten!AC233,"'")</f>
        <v>'6'</v>
      </c>
      <c r="P240" s="14">
        <f>Grunddaten!AD233</f>
        <v>1</v>
      </c>
      <c r="R240" s="13">
        <f>Grunddaten!A233</f>
        <v>231</v>
      </c>
      <c r="S240" s="13">
        <f>Grunddaten!AF233</f>
        <v>1</v>
      </c>
      <c r="T240" s="13" t="str">
        <f>CONCATENATE("'",Grunddaten!AG233,"'")</f>
        <v>'030'</v>
      </c>
      <c r="U240" s="13" t="str">
        <f ca="1">CONCATENATE("'",Grunddaten!AH233,"'")</f>
        <v>'67276728'</v>
      </c>
      <c r="V240" s="13">
        <f>Grunddaten!AI233</f>
        <v>1</v>
      </c>
      <c r="Z240" s="2" t="str" cm="1">
        <f t="array" ref="Z240">CONCATENATE("                   ",Liste(B240:H240),IF(Z241&lt;&gt;"",",",""))</f>
        <v xml:space="preserve">                   (231, 'Hauptmann', 'Thomas', 1, 1, NULL, '1950-07-29'),</v>
      </c>
      <c r="AB240" s="2" t="str" cm="1">
        <f t="array" aca="1" ref="AB240" ca="1">CONCATENATE("                    ",Liste(J240:P240),IF(AB241&lt;&gt;"",",",""))</f>
        <v xml:space="preserve">                    (231, 1, '13407', 'Berlin', 'Sydneyweg', '6', 1),</v>
      </c>
      <c r="AD240" s="2" t="str" cm="1">
        <f t="array" aca="1" ref="AD240" ca="1">CONCATENATE("                   ",Liste(R240:V240),IF(AD241&lt;&gt;"",",",""))</f>
        <v xml:space="preserve">                   (231, 1, '030', '67276728', 1),</v>
      </c>
    </row>
    <row r="241" spans="2:30" x14ac:dyDescent="0.45">
      <c r="B241" s="4">
        <f>Grunddaten!A234</f>
        <v>232</v>
      </c>
      <c r="C241" s="4" t="str">
        <f>CONCATENATE("'",Grunddaten!F234,"'")</f>
        <v>'Eckhardt'</v>
      </c>
      <c r="D241" s="4" t="str">
        <f>CONCATENATE("'",Grunddaten!E234,"'")</f>
        <v>'Matthias'</v>
      </c>
      <c r="E241" s="4">
        <f>VLOOKUP(Grunddaten!D234,FormOfAddress,2,TRUE)</f>
        <v>1</v>
      </c>
      <c r="F241" s="4">
        <f>VLOOKUP(Grunddaten!I234,FamilyStatus,2,FALSE)</f>
        <v>2</v>
      </c>
      <c r="G241" s="4" t="str">
        <f>IF(Grunddaten!J234&lt;&gt;"",CONCATENATE("'",TEXT(Grunddaten!J234,"JJJJ-MM-tt"),"'"),"NULL")</f>
        <v>'1985-10-24'</v>
      </c>
      <c r="H241" s="4" t="str">
        <f>CONCATENATE("'",TEXT(Grunddaten!G234,"JJJJ-MM-tt"),"'")</f>
        <v>'1960-05-27'</v>
      </c>
      <c r="J241" s="14">
        <f>Grunddaten!A234</f>
        <v>232</v>
      </c>
      <c r="K241" s="14">
        <f>Grunddaten!Y234</f>
        <v>1</v>
      </c>
      <c r="L241" s="14" t="str">
        <f ca="1">CONCATENATE("'",Grunddaten!Z234,"'")</f>
        <v>'14050'</v>
      </c>
      <c r="M241" s="14" t="str">
        <f>CONCATENATE("'",Grunddaten!AA234,"'")</f>
        <v>'Berlin'</v>
      </c>
      <c r="N241" s="14" t="str">
        <f>CONCATENATE("'",Grunddaten!AB234,"'")</f>
        <v>'Friedrichstraße'</v>
      </c>
      <c r="O241" s="14" t="str">
        <f>CONCATENATE("'",Grunddaten!AC234,"'")</f>
        <v>'27B'</v>
      </c>
      <c r="P241" s="14">
        <f>Grunddaten!AD234</f>
        <v>1</v>
      </c>
      <c r="R241" s="13">
        <f>Grunddaten!A234</f>
        <v>232</v>
      </c>
      <c r="S241" s="13">
        <f>Grunddaten!AF234</f>
        <v>1</v>
      </c>
      <c r="T241" s="13" t="str">
        <f>CONCATENATE("'",Grunddaten!AG234,"'")</f>
        <v>'030'</v>
      </c>
      <c r="U241" s="13" t="str">
        <f ca="1">CONCATENATE("'",Grunddaten!AH234,"'")</f>
        <v>'71031399'</v>
      </c>
      <c r="V241" s="13">
        <f>Grunddaten!AI234</f>
        <v>1</v>
      </c>
      <c r="Z241" s="2" t="str" cm="1">
        <f t="array" ref="Z241">CONCATENATE("                   ",Liste(B241:H241),IF(Z242&lt;&gt;"",",",""))</f>
        <v xml:space="preserve">                   (232, 'Eckhardt', 'Matthias', 1, 2, '1985-10-24', '1960-05-27'),</v>
      </c>
      <c r="AB241" s="2" t="str" cm="1">
        <f t="array" aca="1" ref="AB241" ca="1">CONCATENATE("                    ",Liste(J241:P241),IF(AB242&lt;&gt;"",",",""))</f>
        <v xml:space="preserve">                    (232, 1, '14050', 'Berlin', 'Friedrichstraße', '27B', 1),</v>
      </c>
      <c r="AD241" s="2" t="str" cm="1">
        <f t="array" aca="1" ref="AD241" ca="1">CONCATENATE("                   ",Liste(R241:V241),IF(AD242&lt;&gt;"",",",""))</f>
        <v xml:space="preserve">                   (232, 1, '030', '71031399', 1),</v>
      </c>
    </row>
    <row r="242" spans="2:30" x14ac:dyDescent="0.45">
      <c r="B242" s="4">
        <f>Grunddaten!A235</f>
        <v>233</v>
      </c>
      <c r="C242" s="4" t="str">
        <f>CONCATENATE("'",Grunddaten!F235,"'")</f>
        <v>'Müller'</v>
      </c>
      <c r="D242" s="4" t="str">
        <f>CONCATENATE("'",Grunddaten!E235,"'")</f>
        <v>'Kevin'</v>
      </c>
      <c r="E242" s="4">
        <f>VLOOKUP(Grunddaten!D235,FormOfAddress,2,TRUE)</f>
        <v>1</v>
      </c>
      <c r="F242" s="4">
        <f>VLOOKUP(Grunddaten!I235,FamilyStatus,2,FALSE)</f>
        <v>1</v>
      </c>
      <c r="G242" s="4" t="str">
        <f>IF(Grunddaten!J235&lt;&gt;"",CONCATENATE("'",TEXT(Grunddaten!J235,"JJJJ-MM-tt"),"'"),"NULL")</f>
        <v>NULL</v>
      </c>
      <c r="H242" s="4" t="str">
        <f>CONCATENATE("'",TEXT(Grunddaten!G235,"JJJJ-MM-tt"),"'")</f>
        <v>'1981-12-01'</v>
      </c>
      <c r="J242" s="14">
        <f>Grunddaten!A235</f>
        <v>233</v>
      </c>
      <c r="K242" s="14">
        <f>Grunddaten!Y235</f>
        <v>1</v>
      </c>
      <c r="L242" s="14" t="str">
        <f ca="1">CONCATENATE("'",Grunddaten!Z235,"'")</f>
        <v>'13581'</v>
      </c>
      <c r="M242" s="14" t="str">
        <f>CONCATENATE("'",Grunddaten!AA235,"'")</f>
        <v>'Berlin'</v>
      </c>
      <c r="N242" s="14" t="str">
        <f>CONCATENATE("'",Grunddaten!AB235,"'")</f>
        <v>'Rainer-Maria-Rilke-Straße'</v>
      </c>
      <c r="O242" s="14" t="str">
        <f>CONCATENATE("'",Grunddaten!AC235,"'")</f>
        <v>'5'</v>
      </c>
      <c r="P242" s="14">
        <f>Grunddaten!AD235</f>
        <v>1</v>
      </c>
      <c r="R242" s="13">
        <f>Grunddaten!A235</f>
        <v>233</v>
      </c>
      <c r="S242" s="13">
        <f>Grunddaten!AF235</f>
        <v>1</v>
      </c>
      <c r="T242" s="13" t="str">
        <f>CONCATENATE("'",Grunddaten!AG235,"'")</f>
        <v>'030'</v>
      </c>
      <c r="U242" s="13" t="str">
        <f ca="1">CONCATENATE("'",Grunddaten!AH235,"'")</f>
        <v>'55153019'</v>
      </c>
      <c r="V242" s="13">
        <f>Grunddaten!AI235</f>
        <v>1</v>
      </c>
      <c r="Z242" s="2" t="str" cm="1">
        <f t="array" ref="Z242">CONCATENATE("                   ",Liste(B242:H242),IF(Z243&lt;&gt;"",",",""))</f>
        <v xml:space="preserve">                   (233, 'Müller', 'Kevin', 1, 1, NULL, '1981-12-01'),</v>
      </c>
      <c r="AB242" s="2" t="str" cm="1">
        <f t="array" aca="1" ref="AB242" ca="1">CONCATENATE("                    ",Liste(J242:P242),IF(AB243&lt;&gt;"",",",""))</f>
        <v xml:space="preserve">                    (233, 1, '13581', 'Berlin', 'Rainer-Maria-Rilke-Straße', '5', 1),</v>
      </c>
      <c r="AD242" s="2" t="str" cm="1">
        <f t="array" aca="1" ref="AD242" ca="1">CONCATENATE("                   ",Liste(R242:V242),IF(AD243&lt;&gt;"",",",""))</f>
        <v xml:space="preserve">                   (233, 1, '030', '55153019', 1),</v>
      </c>
    </row>
    <row r="243" spans="2:30" x14ac:dyDescent="0.45">
      <c r="B243" s="4">
        <f>Grunddaten!A236</f>
        <v>234</v>
      </c>
      <c r="C243" s="4" t="str">
        <f>CONCATENATE("'",Grunddaten!F236,"'")</f>
        <v>'Kaspar'</v>
      </c>
      <c r="D243" s="4" t="str">
        <f>CONCATENATE("'",Grunddaten!E236,"'")</f>
        <v>'Maria'</v>
      </c>
      <c r="E243" s="4">
        <f>VLOOKUP(Grunddaten!D236,FormOfAddress,2,TRUE)</f>
        <v>2</v>
      </c>
      <c r="F243" s="4">
        <f>VLOOKUP(Grunddaten!I236,FamilyStatus,2,FALSE)</f>
        <v>1</v>
      </c>
      <c r="G243" s="4" t="str">
        <f>IF(Grunddaten!J236&lt;&gt;"",CONCATENATE("'",TEXT(Grunddaten!J236,"JJJJ-MM-tt"),"'"),"NULL")</f>
        <v>NULL</v>
      </c>
      <c r="H243" s="4" t="str">
        <f>CONCATENATE("'",TEXT(Grunddaten!G236,"JJJJ-MM-tt"),"'")</f>
        <v>'1952-06-14'</v>
      </c>
      <c r="J243" s="14">
        <f>Grunddaten!A236</f>
        <v>234</v>
      </c>
      <c r="K243" s="14">
        <f>Grunddaten!Y236</f>
        <v>1</v>
      </c>
      <c r="L243" s="14" t="str">
        <f ca="1">CONCATENATE("'",Grunddaten!Z236,"'")</f>
        <v>'10585'</v>
      </c>
      <c r="M243" s="14" t="str">
        <f>CONCATENATE("'",Grunddaten!AA236,"'")</f>
        <v>'Berlin'</v>
      </c>
      <c r="N243" s="14" t="str">
        <f>CONCATENATE("'",Grunddaten!AB236,"'")</f>
        <v>'Albert-Schweitzer-Straße'</v>
      </c>
      <c r="O243" s="14" t="str">
        <f>CONCATENATE("'",Grunddaten!AC236,"'")</f>
        <v>'5'</v>
      </c>
      <c r="P243" s="14">
        <f>Grunddaten!AD236</f>
        <v>1</v>
      </c>
      <c r="R243" s="13">
        <f>Grunddaten!A236</f>
        <v>234</v>
      </c>
      <c r="S243" s="13">
        <f>Grunddaten!AF236</f>
        <v>1</v>
      </c>
      <c r="T243" s="13" t="str">
        <f>CONCATENATE("'",Grunddaten!AG236,"'")</f>
        <v>'030'</v>
      </c>
      <c r="U243" s="13" t="str">
        <f ca="1">CONCATENATE("'",Grunddaten!AH236,"'")</f>
        <v>'58379587'</v>
      </c>
      <c r="V243" s="13">
        <f>Grunddaten!AI236</f>
        <v>1</v>
      </c>
      <c r="Z243" s="2" t="str" cm="1">
        <f t="array" ref="Z243">CONCATENATE("                   ",Liste(B243:H243),IF(Z244&lt;&gt;"",",",""))</f>
        <v xml:space="preserve">                   (234, 'Kaspar', 'Maria', 2, 1, NULL, '1952-06-14'),</v>
      </c>
      <c r="AB243" s="2" t="str" cm="1">
        <f t="array" aca="1" ref="AB243" ca="1">CONCATENATE("                    ",Liste(J243:P243),IF(AB244&lt;&gt;"",",",""))</f>
        <v xml:space="preserve">                    (234, 1, '10585', 'Berlin', 'Albert-Schweitzer-Straße', '5', 1),</v>
      </c>
      <c r="AD243" s="2" t="str" cm="1">
        <f t="array" aca="1" ref="AD243" ca="1">CONCATENATE("                   ",Liste(R243:V243),IF(AD244&lt;&gt;"",",",""))</f>
        <v xml:space="preserve">                   (234, 1, '030', '58379587', 1),</v>
      </c>
    </row>
    <row r="244" spans="2:30" x14ac:dyDescent="0.45">
      <c r="B244" s="4">
        <f>Grunddaten!A237</f>
        <v>235</v>
      </c>
      <c r="C244" s="4" t="str">
        <f>CONCATENATE("'",Grunddaten!F237,"'")</f>
        <v>'Williges'</v>
      </c>
      <c r="D244" s="4" t="str">
        <f>CONCATENATE("'",Grunddaten!E237,"'")</f>
        <v>'Beate'</v>
      </c>
      <c r="E244" s="4">
        <f>VLOOKUP(Grunddaten!D237,FormOfAddress,2,TRUE)</f>
        <v>2</v>
      </c>
      <c r="F244" s="4">
        <f>VLOOKUP(Grunddaten!I237,FamilyStatus,2,FALSE)</f>
        <v>4</v>
      </c>
      <c r="G244" s="4" t="str">
        <f>IF(Grunddaten!J237&lt;&gt;"",CONCATENATE("'",TEXT(Grunddaten!J237,"JJJJ-MM-tt"),"'"),"NULL")</f>
        <v>'2013-10-20'</v>
      </c>
      <c r="H244" s="4" t="str">
        <f>CONCATENATE("'",TEXT(Grunddaten!G237,"JJJJ-MM-tt"),"'")</f>
        <v>'1950-09-18'</v>
      </c>
      <c r="J244" s="14">
        <f>Grunddaten!A237</f>
        <v>235</v>
      </c>
      <c r="K244" s="14">
        <f>Grunddaten!Y237</f>
        <v>1</v>
      </c>
      <c r="L244" s="14" t="str">
        <f ca="1">CONCATENATE("'",Grunddaten!Z237,"'")</f>
        <v>'13156'</v>
      </c>
      <c r="M244" s="14" t="str">
        <f>CONCATENATE("'",Grunddaten!AA237,"'")</f>
        <v>'Berlin'</v>
      </c>
      <c r="N244" s="14" t="str">
        <f>CONCATENATE("'",Grunddaten!AB237,"'")</f>
        <v>'Bostonstraße'</v>
      </c>
      <c r="O244" s="14" t="str">
        <f>CONCATENATE("'",Grunddaten!AC237,"'")</f>
        <v>'94'</v>
      </c>
      <c r="P244" s="14">
        <f>Grunddaten!AD237</f>
        <v>1</v>
      </c>
      <c r="R244" s="13">
        <f>Grunddaten!A237</f>
        <v>235</v>
      </c>
      <c r="S244" s="13">
        <f>Grunddaten!AF237</f>
        <v>1</v>
      </c>
      <c r="T244" s="13" t="str">
        <f>CONCATENATE("'",Grunddaten!AG237,"'")</f>
        <v>'030'</v>
      </c>
      <c r="U244" s="13" t="str">
        <f ca="1">CONCATENATE("'",Grunddaten!AH237,"'")</f>
        <v>'57426552'</v>
      </c>
      <c r="V244" s="13">
        <f>Grunddaten!AI237</f>
        <v>1</v>
      </c>
      <c r="Z244" s="2" t="str" cm="1">
        <f t="array" ref="Z244">CONCATENATE("                   ",Liste(B244:H244),IF(Z245&lt;&gt;"",",",""))</f>
        <v xml:space="preserve">                   (235, 'Williges', 'Beate', 2, 4, '2013-10-20', '1950-09-18'),</v>
      </c>
      <c r="AB244" s="2" t="str" cm="1">
        <f t="array" aca="1" ref="AB244" ca="1">CONCATENATE("                    ",Liste(J244:P244),IF(AB245&lt;&gt;"",",",""))</f>
        <v xml:space="preserve">                    (235, 1, '13156', 'Berlin', 'Bostonstraße', '94', 1),</v>
      </c>
      <c r="AD244" s="2" t="str" cm="1">
        <f t="array" aca="1" ref="AD244" ca="1">CONCATENATE("                   ",Liste(R244:V244),IF(AD245&lt;&gt;"",",",""))</f>
        <v xml:space="preserve">                   (235, 1, '030', '57426552', 1),</v>
      </c>
    </row>
    <row r="245" spans="2:30" x14ac:dyDescent="0.45">
      <c r="B245" s="4">
        <f>Grunddaten!A238</f>
        <v>236</v>
      </c>
      <c r="C245" s="4" t="str">
        <f>CONCATENATE("'",Grunddaten!F238,"'")</f>
        <v>'Golzow'</v>
      </c>
      <c r="D245" s="4" t="str">
        <f>CONCATENATE("'",Grunddaten!E238,"'")</f>
        <v>'Magarete'</v>
      </c>
      <c r="E245" s="4">
        <f>VLOOKUP(Grunddaten!D238,FormOfAddress,2,TRUE)</f>
        <v>2</v>
      </c>
      <c r="F245" s="4">
        <f>VLOOKUP(Grunddaten!I238,FamilyStatus,2,FALSE)</f>
        <v>3</v>
      </c>
      <c r="G245" s="4" t="str">
        <f>IF(Grunddaten!J238&lt;&gt;"",CONCATENATE("'",TEXT(Grunddaten!J238,"JJJJ-MM-tt"),"'"),"NULL")</f>
        <v>'2003-03-12'</v>
      </c>
      <c r="H245" s="4" t="str">
        <f>CONCATENATE("'",TEXT(Grunddaten!G238,"JJJJ-MM-tt"),"'")</f>
        <v>'1963-08-13'</v>
      </c>
      <c r="J245" s="14">
        <f>Grunddaten!A238</f>
        <v>236</v>
      </c>
      <c r="K245" s="14">
        <f>Grunddaten!Y238</f>
        <v>1</v>
      </c>
      <c r="L245" s="14" t="str">
        <f ca="1">CONCATENATE("'",Grunddaten!Z238,"'")</f>
        <v>'14050'</v>
      </c>
      <c r="M245" s="14" t="str">
        <f>CONCATENATE("'",Grunddaten!AA238,"'")</f>
        <v>'Berlin'</v>
      </c>
      <c r="N245" s="14" t="str">
        <f>CONCATENATE("'",Grunddaten!AB238,"'")</f>
        <v>'Santiago-Allee'</v>
      </c>
      <c r="O245" s="14" t="str">
        <f>CONCATENATE("'",Grunddaten!AC238,"'")</f>
        <v>'17'</v>
      </c>
      <c r="P245" s="14">
        <f>Grunddaten!AD238</f>
        <v>1</v>
      </c>
      <c r="R245" s="13">
        <f>Grunddaten!A238</f>
        <v>236</v>
      </c>
      <c r="S245" s="13">
        <f>Grunddaten!AF238</f>
        <v>1</v>
      </c>
      <c r="T245" s="13" t="str">
        <f>CONCATENATE("'",Grunddaten!AG238,"'")</f>
        <v>'030'</v>
      </c>
      <c r="U245" s="13" t="str">
        <f ca="1">CONCATENATE("'",Grunddaten!AH238,"'")</f>
        <v>'73060023'</v>
      </c>
      <c r="V245" s="13">
        <f>Grunddaten!AI238</f>
        <v>1</v>
      </c>
      <c r="Z245" s="2" t="str" cm="1">
        <f t="array" ref="Z245">CONCATENATE("                   ",Liste(B245:H245),IF(Z246&lt;&gt;"",",",""))</f>
        <v xml:space="preserve">                   (236, 'Golzow', 'Magarete', 2, 3, '2003-03-12', '1963-08-13'),</v>
      </c>
      <c r="AB245" s="2" t="str" cm="1">
        <f t="array" aca="1" ref="AB245" ca="1">CONCATENATE("                    ",Liste(J245:P245),IF(AB246&lt;&gt;"",",",""))</f>
        <v xml:space="preserve">                    (236, 1, '14050', 'Berlin', 'Santiago-Allee', '17', 1),</v>
      </c>
      <c r="AD245" s="2" t="str" cm="1">
        <f t="array" aca="1" ref="AD245" ca="1">CONCATENATE("                   ",Liste(R245:V245),IF(AD246&lt;&gt;"",",",""))</f>
        <v xml:space="preserve">                   (236, 1, '030', '73060023', 1),</v>
      </c>
    </row>
    <row r="246" spans="2:30" x14ac:dyDescent="0.45">
      <c r="B246" s="4">
        <f>Grunddaten!A239</f>
        <v>237</v>
      </c>
      <c r="C246" s="4" t="str">
        <f>CONCATENATE("'",Grunddaten!F239,"'")</f>
        <v>'Germann'</v>
      </c>
      <c r="D246" s="4" t="str">
        <f>CONCATENATE("'",Grunddaten!E239,"'")</f>
        <v>'Frank'</v>
      </c>
      <c r="E246" s="4">
        <f>VLOOKUP(Grunddaten!D239,FormOfAddress,2,TRUE)</f>
        <v>1</v>
      </c>
      <c r="F246" s="4">
        <f>VLOOKUP(Grunddaten!I239,FamilyStatus,2,FALSE)</f>
        <v>1</v>
      </c>
      <c r="G246" s="4" t="str">
        <f>IF(Grunddaten!J239&lt;&gt;"",CONCATENATE("'",TEXT(Grunddaten!J239,"JJJJ-MM-tt"),"'"),"NULL")</f>
        <v>NULL</v>
      </c>
      <c r="H246" s="4" t="str">
        <f>CONCATENATE("'",TEXT(Grunddaten!G239,"JJJJ-MM-tt"),"'")</f>
        <v>'1998-12-15'</v>
      </c>
      <c r="J246" s="14">
        <f>Grunddaten!A239</f>
        <v>237</v>
      </c>
      <c r="K246" s="14">
        <f>Grunddaten!Y239</f>
        <v>1</v>
      </c>
      <c r="L246" s="14" t="str">
        <f ca="1">CONCATENATE("'",Grunddaten!Z239,"'")</f>
        <v>'14806'</v>
      </c>
      <c r="M246" s="14" t="str">
        <f>CONCATENATE("'",Grunddaten!AA239,"'")</f>
        <v>'Belzig'</v>
      </c>
      <c r="N246" s="14" t="str">
        <f>CONCATENATE("'",Grunddaten!AB239,"'")</f>
        <v>'Columbusweg'</v>
      </c>
      <c r="O246" s="14" t="str">
        <f>CONCATENATE("'",Grunddaten!AC239,"'")</f>
        <v>'77'</v>
      </c>
      <c r="P246" s="14">
        <f>Grunddaten!AD239</f>
        <v>1</v>
      </c>
      <c r="R246" s="13">
        <f>Grunddaten!A239</f>
        <v>237</v>
      </c>
      <c r="S246" s="13">
        <f>Grunddaten!AF239</f>
        <v>1</v>
      </c>
      <c r="T246" s="13" t="str">
        <f>CONCATENATE("'",Grunddaten!AG239,"'")</f>
        <v>'033841'</v>
      </c>
      <c r="U246" s="13" t="str">
        <f ca="1">CONCATENATE("'",Grunddaten!AH239,"'")</f>
        <v>'4457'</v>
      </c>
      <c r="V246" s="13">
        <f>Grunddaten!AI239</f>
        <v>1</v>
      </c>
      <c r="Z246" s="2" t="str" cm="1">
        <f t="array" ref="Z246">CONCATENATE("                   ",Liste(B246:H246),IF(Z247&lt;&gt;"",",",""))</f>
        <v xml:space="preserve">                   (237, 'Germann', 'Frank', 1, 1, NULL, '1998-12-15'),</v>
      </c>
      <c r="AB246" s="2" t="str" cm="1">
        <f t="array" aca="1" ref="AB246" ca="1">CONCATENATE("                    ",Liste(J246:P246),IF(AB247&lt;&gt;"",",",""))</f>
        <v xml:space="preserve">                    (237, 1, '14806', 'Belzig', 'Columbusweg', '77', 1),</v>
      </c>
      <c r="AD246" s="2" t="str" cm="1">
        <f t="array" aca="1" ref="AD246" ca="1">CONCATENATE("                   ",Liste(R246:V246),IF(AD247&lt;&gt;"",",",""))</f>
        <v xml:space="preserve">                   (237, 1, '033841', '4457', 1),</v>
      </c>
    </row>
    <row r="247" spans="2:30" x14ac:dyDescent="0.45">
      <c r="B247" s="4">
        <f>Grunddaten!A240</f>
        <v>238</v>
      </c>
      <c r="C247" s="4" t="str">
        <f>CONCATENATE("'",Grunddaten!F240,"'")</f>
        <v>'Fischbach'</v>
      </c>
      <c r="D247" s="4" t="str">
        <f>CONCATENATE("'",Grunddaten!E240,"'")</f>
        <v>'Martha'</v>
      </c>
      <c r="E247" s="4">
        <f>VLOOKUP(Grunddaten!D240,FormOfAddress,2,TRUE)</f>
        <v>2</v>
      </c>
      <c r="F247" s="4">
        <f>VLOOKUP(Grunddaten!I240,FamilyStatus,2,FALSE)</f>
        <v>1</v>
      </c>
      <c r="G247" s="4" t="str">
        <f>IF(Grunddaten!J240&lt;&gt;"",CONCATENATE("'",TEXT(Grunddaten!J240,"JJJJ-MM-tt"),"'"),"NULL")</f>
        <v>NULL</v>
      </c>
      <c r="H247" s="4" t="str">
        <f>CONCATENATE("'",TEXT(Grunddaten!G240,"JJJJ-MM-tt"),"'")</f>
        <v>'1998-04-12'</v>
      </c>
      <c r="J247" s="14">
        <f>Grunddaten!A240</f>
        <v>238</v>
      </c>
      <c r="K247" s="14">
        <f>Grunddaten!Y240</f>
        <v>1</v>
      </c>
      <c r="L247" s="14" t="str">
        <f ca="1">CONCATENATE("'",Grunddaten!Z240,"'")</f>
        <v>'14050'</v>
      </c>
      <c r="M247" s="14" t="str">
        <f>CONCATENATE("'",Grunddaten!AA240,"'")</f>
        <v>'Berlin'</v>
      </c>
      <c r="N247" s="14" t="str">
        <f>CONCATENATE("'",Grunddaten!AB240,"'")</f>
        <v>'Adlerstraße'</v>
      </c>
      <c r="O247" s="14" t="str">
        <f>CONCATENATE("'",Grunddaten!AC240,"'")</f>
        <v>'8D/E'</v>
      </c>
      <c r="P247" s="14">
        <f>Grunddaten!AD240</f>
        <v>1</v>
      </c>
      <c r="R247" s="13">
        <f>Grunddaten!A240</f>
        <v>238</v>
      </c>
      <c r="S247" s="13">
        <f>Grunddaten!AF240</f>
        <v>1</v>
      </c>
      <c r="T247" s="13" t="str">
        <f>CONCATENATE("'",Grunddaten!AG240,"'")</f>
        <v>'030'</v>
      </c>
      <c r="U247" s="13" t="str">
        <f ca="1">CONCATENATE("'",Grunddaten!AH240,"'")</f>
        <v>'54448588'</v>
      </c>
      <c r="V247" s="13">
        <f>Grunddaten!AI240</f>
        <v>1</v>
      </c>
      <c r="Z247" s="2" t="str" cm="1">
        <f t="array" ref="Z247">CONCATENATE("                   ",Liste(B247:H247),IF(Z248&lt;&gt;"",",",""))</f>
        <v xml:space="preserve">                   (238, 'Fischbach', 'Martha', 2, 1, NULL, '1998-04-12'),</v>
      </c>
      <c r="AB247" s="2" t="str" cm="1">
        <f t="array" aca="1" ref="AB247" ca="1">CONCATENATE("                    ",Liste(J247:P247),IF(AB248&lt;&gt;"",",",""))</f>
        <v xml:space="preserve">                    (238, 1, '14050', 'Berlin', 'Adlerstraße', '8D/E', 1),</v>
      </c>
      <c r="AD247" s="2" t="str" cm="1">
        <f t="array" aca="1" ref="AD247" ca="1">CONCATENATE("                   ",Liste(R247:V247),IF(AD248&lt;&gt;"",",",""))</f>
        <v xml:space="preserve">                   (238, 1, '030', '54448588', 1),</v>
      </c>
    </row>
    <row r="248" spans="2:30" x14ac:dyDescent="0.45">
      <c r="B248" s="4">
        <f>Grunddaten!A241</f>
        <v>239</v>
      </c>
      <c r="C248" s="4" t="str">
        <f>CONCATENATE("'",Grunddaten!F241,"'")</f>
        <v>'Müller'</v>
      </c>
      <c r="D248" s="4" t="str">
        <f>CONCATENATE("'",Grunddaten!E241,"'")</f>
        <v>'Axel'</v>
      </c>
      <c r="E248" s="4">
        <f>VLOOKUP(Grunddaten!D241,FormOfAddress,2,TRUE)</f>
        <v>1</v>
      </c>
      <c r="F248" s="4">
        <f>VLOOKUP(Grunddaten!I241,FamilyStatus,2,FALSE)</f>
        <v>1</v>
      </c>
      <c r="G248" s="4" t="str">
        <f>IF(Grunddaten!J241&lt;&gt;"",CONCATENATE("'",TEXT(Grunddaten!J241,"JJJJ-MM-tt"),"'"),"NULL")</f>
        <v>NULL</v>
      </c>
      <c r="H248" s="4" t="str">
        <f>CONCATENATE("'",TEXT(Grunddaten!G241,"JJJJ-MM-tt"),"'")</f>
        <v>'2003-07-20'</v>
      </c>
      <c r="J248" s="14">
        <f>Grunddaten!A241</f>
        <v>239</v>
      </c>
      <c r="K248" s="14">
        <f>Grunddaten!Y241</f>
        <v>1</v>
      </c>
      <c r="L248" s="14" t="str">
        <f ca="1">CONCATENATE("'",Grunddaten!Z241,"'")</f>
        <v>'10405'</v>
      </c>
      <c r="M248" s="14" t="str">
        <f>CONCATENATE("'",Grunddaten!AA241,"'")</f>
        <v>'Berlin'</v>
      </c>
      <c r="N248" s="14" t="str">
        <f>CONCATENATE("'",Grunddaten!AB241,"'")</f>
        <v>'Schlossplatz'</v>
      </c>
      <c r="O248" s="14" t="str">
        <f>CONCATENATE("'",Grunddaten!AC241,"'")</f>
        <v>'25A'</v>
      </c>
      <c r="P248" s="14">
        <f>Grunddaten!AD241</f>
        <v>1</v>
      </c>
      <c r="R248" s="13">
        <f>Grunddaten!A241</f>
        <v>239</v>
      </c>
      <c r="S248" s="13">
        <f>Grunddaten!AF241</f>
        <v>1</v>
      </c>
      <c r="T248" s="13" t="str">
        <f>CONCATENATE("'",Grunddaten!AG241,"'")</f>
        <v>'030'</v>
      </c>
      <c r="U248" s="13" t="str">
        <f ca="1">CONCATENATE("'",Grunddaten!AH241,"'")</f>
        <v>'44720043'</v>
      </c>
      <c r="V248" s="13">
        <f>Grunddaten!AI241</f>
        <v>1</v>
      </c>
      <c r="Z248" s="2" t="str" cm="1">
        <f t="array" ref="Z248">CONCATENATE("                   ",Liste(B248:H248),IF(Z249&lt;&gt;"",",",""))</f>
        <v xml:space="preserve">                   (239, 'Müller', 'Axel', 1, 1, NULL, '2003-07-20'),</v>
      </c>
      <c r="AB248" s="2" t="str" cm="1">
        <f t="array" aca="1" ref="AB248" ca="1">CONCATENATE("                    ",Liste(J248:P248),IF(AB249&lt;&gt;"",",",""))</f>
        <v xml:space="preserve">                    (239, 1, '10405', 'Berlin', 'Schlossplatz', '25A', 1),</v>
      </c>
      <c r="AD248" s="2" t="str" cm="1">
        <f t="array" aca="1" ref="AD248" ca="1">CONCATENATE("                   ",Liste(R248:V248),IF(AD249&lt;&gt;"",",",""))</f>
        <v xml:space="preserve">                   (239, 1, '030', '44720043', 1),</v>
      </c>
    </row>
    <row r="249" spans="2:30" x14ac:dyDescent="0.45">
      <c r="B249" s="4">
        <f>Grunddaten!A242</f>
        <v>240</v>
      </c>
      <c r="C249" s="4" t="str">
        <f>CONCATENATE("'",Grunddaten!F242,"'")</f>
        <v>'Köster'</v>
      </c>
      <c r="D249" s="4" t="str">
        <f>CONCATENATE("'",Grunddaten!E242,"'")</f>
        <v>'Claudia'</v>
      </c>
      <c r="E249" s="4">
        <f>VLOOKUP(Grunddaten!D242,FormOfAddress,2,TRUE)</f>
        <v>2</v>
      </c>
      <c r="F249" s="4">
        <f>VLOOKUP(Grunddaten!I242,FamilyStatus,2,FALSE)</f>
        <v>3</v>
      </c>
      <c r="G249" s="4" t="str">
        <f>IF(Grunddaten!J242&lt;&gt;"",CONCATENATE("'",TEXT(Grunddaten!J242,"JJJJ-MM-tt"),"'"),"NULL")</f>
        <v>'2023-07-23'</v>
      </c>
      <c r="H249" s="4" t="str">
        <f>CONCATENATE("'",TEXT(Grunddaten!G242,"JJJJ-MM-tt"),"'")</f>
        <v>'1987-10-22'</v>
      </c>
      <c r="J249" s="14">
        <f>Grunddaten!A242</f>
        <v>240</v>
      </c>
      <c r="K249" s="14">
        <f>Grunddaten!Y242</f>
        <v>1</v>
      </c>
      <c r="L249" s="14" t="str">
        <f ca="1">CONCATENATE("'",Grunddaten!Z242,"'")</f>
        <v>'14797'</v>
      </c>
      <c r="M249" s="14" t="str">
        <f>CONCATENATE("'",Grunddaten!AA242,"'")</f>
        <v>'Lehnin'</v>
      </c>
      <c r="N249" s="14" t="str">
        <f>CONCATENATE("'",Grunddaten!AB242,"'")</f>
        <v>'Hans-Christian-Andersen-Straße'</v>
      </c>
      <c r="O249" s="14" t="str">
        <f>CONCATENATE("'",Grunddaten!AC242,"'")</f>
        <v>'7'</v>
      </c>
      <c r="P249" s="14">
        <f>Grunddaten!AD242</f>
        <v>1</v>
      </c>
      <c r="R249" s="13">
        <f>Grunddaten!A242</f>
        <v>240</v>
      </c>
      <c r="S249" s="13">
        <f>Grunddaten!AF242</f>
        <v>1</v>
      </c>
      <c r="T249" s="13" t="str">
        <f>CONCATENATE("'",Grunddaten!AG242,"'")</f>
        <v>'033835'</v>
      </c>
      <c r="U249" s="13" t="str">
        <f ca="1">CONCATENATE("'",Grunddaten!AH242,"'")</f>
        <v>'9770'</v>
      </c>
      <c r="V249" s="13">
        <f>Grunddaten!AI242</f>
        <v>1</v>
      </c>
      <c r="Z249" s="2" t="str" cm="1">
        <f t="array" ref="Z249">CONCATENATE("                   ",Liste(B249:H249),IF(Z250&lt;&gt;"",",",""))</f>
        <v xml:space="preserve">                   (240, 'Köster', 'Claudia', 2, 3, '2023-07-23', '1987-10-22'),</v>
      </c>
      <c r="AB249" s="2" t="str" cm="1">
        <f t="array" aca="1" ref="AB249" ca="1">CONCATENATE("                    ",Liste(J249:P249),IF(AB250&lt;&gt;"",",",""))</f>
        <v xml:space="preserve">                    (240, 1, '14797', 'Lehnin', 'Hans-Christian-Andersen-Straße', '7', 1),</v>
      </c>
      <c r="AD249" s="2" t="str" cm="1">
        <f t="array" aca="1" ref="AD249" ca="1">CONCATENATE("                   ",Liste(R249:V249),IF(AD250&lt;&gt;"",",",""))</f>
        <v xml:space="preserve">                   (240, 1, '033835', '9770', 1),</v>
      </c>
    </row>
    <row r="250" spans="2:30" x14ac:dyDescent="0.45">
      <c r="B250" s="4">
        <f>Grunddaten!A243</f>
        <v>241</v>
      </c>
      <c r="C250" s="4" t="str">
        <f>CONCATENATE("'",Grunddaten!F243,"'")</f>
        <v>'Finke'</v>
      </c>
      <c r="D250" s="4" t="str">
        <f>CONCATENATE("'",Grunddaten!E243,"'")</f>
        <v>'Clara'</v>
      </c>
      <c r="E250" s="4">
        <f>VLOOKUP(Grunddaten!D243,FormOfAddress,2,TRUE)</f>
        <v>2</v>
      </c>
      <c r="F250" s="4">
        <f>VLOOKUP(Grunddaten!I243,FamilyStatus,2,FALSE)</f>
        <v>4</v>
      </c>
      <c r="G250" s="4" t="str">
        <f>IF(Grunddaten!J243&lt;&gt;"",CONCATENATE("'",TEXT(Grunddaten!J243,"JJJJ-MM-tt"),"'"),"NULL")</f>
        <v>'2017-06-22'</v>
      </c>
      <c r="H250" s="4" t="str">
        <f>CONCATENATE("'",TEXT(Grunddaten!G243,"JJJJ-MM-tt"),"'")</f>
        <v>'1952-12-18'</v>
      </c>
      <c r="J250" s="14">
        <f>Grunddaten!A243</f>
        <v>241</v>
      </c>
      <c r="K250" s="14">
        <f>Grunddaten!Y243</f>
        <v>1</v>
      </c>
      <c r="L250" s="14" t="str">
        <f ca="1">CONCATENATE("'",Grunddaten!Z243,"'")</f>
        <v>'14822'</v>
      </c>
      <c r="M250" s="14" t="str">
        <f>CONCATENATE("'",Grunddaten!AA243,"'")</f>
        <v>'Brück'</v>
      </c>
      <c r="N250" s="14" t="str">
        <f>CONCATENATE("'",Grunddaten!AB243,"'")</f>
        <v>'Thomas-Mann-Straße'</v>
      </c>
      <c r="O250" s="14" t="str">
        <f>CONCATENATE("'",Grunddaten!AC243,"'")</f>
        <v>'5'</v>
      </c>
      <c r="P250" s="14">
        <f>Grunddaten!AD243</f>
        <v>1</v>
      </c>
      <c r="R250" s="13">
        <f>Grunddaten!A243</f>
        <v>241</v>
      </c>
      <c r="S250" s="13">
        <f>Grunddaten!AF243</f>
        <v>1</v>
      </c>
      <c r="T250" s="13" t="str">
        <f>CONCATENATE("'",Grunddaten!AG243,"'")</f>
        <v>'033844'</v>
      </c>
      <c r="U250" s="13" t="str">
        <f ca="1">CONCATENATE("'",Grunddaten!AH243,"'")</f>
        <v>'4408'</v>
      </c>
      <c r="V250" s="13">
        <f>Grunddaten!AI243</f>
        <v>1</v>
      </c>
      <c r="Z250" s="2" t="str" cm="1">
        <f t="array" ref="Z250">CONCATENATE("                   ",Liste(B250:H250),IF(Z251&lt;&gt;"",",",""))</f>
        <v xml:space="preserve">                   (241, 'Finke', 'Clara', 2, 4, '2017-06-22', '1952-12-18'),</v>
      </c>
      <c r="AB250" s="2" t="str" cm="1">
        <f t="array" aca="1" ref="AB250" ca="1">CONCATENATE("                    ",Liste(J250:P250),IF(AB251&lt;&gt;"",",",""))</f>
        <v xml:space="preserve">                    (241, 1, '14822', 'Brück', 'Thomas-Mann-Straße', '5', 1),</v>
      </c>
      <c r="AD250" s="2" t="str" cm="1">
        <f t="array" aca="1" ref="AD250" ca="1">CONCATENATE("                   ",Liste(R250:V250),IF(AD251&lt;&gt;"",",",""))</f>
        <v xml:space="preserve">                   (241, 1, '033844', '4408', 1),</v>
      </c>
    </row>
    <row r="251" spans="2:30" x14ac:dyDescent="0.45">
      <c r="B251" s="4">
        <f>Grunddaten!A244</f>
        <v>242</v>
      </c>
      <c r="C251" s="4" t="str">
        <f>CONCATENATE("'",Grunddaten!F244,"'")</f>
        <v>'Brandt'</v>
      </c>
      <c r="D251" s="4" t="str">
        <f>CONCATENATE("'",Grunddaten!E244,"'")</f>
        <v>'Volkmar'</v>
      </c>
      <c r="E251" s="4">
        <f>VLOOKUP(Grunddaten!D244,FormOfAddress,2,TRUE)</f>
        <v>1</v>
      </c>
      <c r="F251" s="4">
        <f>VLOOKUP(Grunddaten!I244,FamilyStatus,2,FALSE)</f>
        <v>1</v>
      </c>
      <c r="G251" s="4" t="str">
        <f>IF(Grunddaten!J244&lt;&gt;"",CONCATENATE("'",TEXT(Grunddaten!J244,"JJJJ-MM-tt"),"'"),"NULL")</f>
        <v>NULL</v>
      </c>
      <c r="H251" s="4" t="str">
        <f>CONCATENATE("'",TEXT(Grunddaten!G244,"JJJJ-MM-tt"),"'")</f>
        <v>'1986-12-01'</v>
      </c>
      <c r="J251" s="14">
        <f>Grunddaten!A244</f>
        <v>242</v>
      </c>
      <c r="K251" s="14">
        <f>Grunddaten!Y244</f>
        <v>1</v>
      </c>
      <c r="L251" s="14" t="str">
        <f ca="1">CONCATENATE("'",Grunddaten!Z244,"'")</f>
        <v>'13581'</v>
      </c>
      <c r="M251" s="14" t="str">
        <f>CONCATENATE("'",Grunddaten!AA244,"'")</f>
        <v>'Berlin'</v>
      </c>
      <c r="N251" s="14" t="str">
        <f>CONCATENATE("'",Grunddaten!AB244,"'")</f>
        <v>'Mozartgasse'</v>
      </c>
      <c r="O251" s="14" t="str">
        <f>CONCATENATE("'",Grunddaten!AC244,"'")</f>
        <v>'8'</v>
      </c>
      <c r="P251" s="14">
        <f>Grunddaten!AD244</f>
        <v>1</v>
      </c>
      <c r="R251" s="13">
        <f>Grunddaten!A244</f>
        <v>242</v>
      </c>
      <c r="S251" s="13">
        <f>Grunddaten!AF244</f>
        <v>1</v>
      </c>
      <c r="T251" s="13" t="str">
        <f>CONCATENATE("'",Grunddaten!AG244,"'")</f>
        <v>'030'</v>
      </c>
      <c r="U251" s="13" t="str">
        <f ca="1">CONCATENATE("'",Grunddaten!AH244,"'")</f>
        <v>'87295772'</v>
      </c>
      <c r="V251" s="13">
        <f>Grunddaten!AI244</f>
        <v>1</v>
      </c>
      <c r="Z251" s="2" t="str" cm="1">
        <f t="array" ref="Z251">CONCATENATE("                   ",Liste(B251:H251),IF(Z252&lt;&gt;"",",",""))</f>
        <v xml:space="preserve">                   (242, 'Brandt', 'Volkmar', 1, 1, NULL, '1986-12-01'),</v>
      </c>
      <c r="AB251" s="2" t="str" cm="1">
        <f t="array" aca="1" ref="AB251" ca="1">CONCATENATE("                    ",Liste(J251:P251),IF(AB252&lt;&gt;"",",",""))</f>
        <v xml:space="preserve">                    (242, 1, '13581', 'Berlin', 'Mozartgasse', '8', 1),</v>
      </c>
      <c r="AD251" s="2" t="str" cm="1">
        <f t="array" aca="1" ref="AD251" ca="1">CONCATENATE("                   ",Liste(R251:V251),IF(AD252&lt;&gt;"",",",""))</f>
        <v xml:space="preserve">                   (242, 1, '030', '87295772', 1),</v>
      </c>
    </row>
    <row r="252" spans="2:30" x14ac:dyDescent="0.45">
      <c r="B252" s="4">
        <f>Grunddaten!A245</f>
        <v>243</v>
      </c>
      <c r="C252" s="4" t="str">
        <f>CONCATENATE("'",Grunddaten!F245,"'")</f>
        <v>'Feldner'</v>
      </c>
      <c r="D252" s="4" t="str">
        <f>CONCATENATE("'",Grunddaten!E245,"'")</f>
        <v>'Jörg'</v>
      </c>
      <c r="E252" s="4">
        <f>VLOOKUP(Grunddaten!D245,FormOfAddress,2,TRUE)</f>
        <v>1</v>
      </c>
      <c r="F252" s="4">
        <f>VLOOKUP(Grunddaten!I245,FamilyStatus,2,FALSE)</f>
        <v>3</v>
      </c>
      <c r="G252" s="4" t="str">
        <f>IF(Grunddaten!J245&lt;&gt;"",CONCATENATE("'",TEXT(Grunddaten!J245,"JJJJ-MM-tt"),"'"),"NULL")</f>
        <v>'2027-12-29'</v>
      </c>
      <c r="H252" s="4" t="str">
        <f>CONCATENATE("'",TEXT(Grunddaten!G245,"JJJJ-MM-tt"),"'")</f>
        <v>'1988-05-16'</v>
      </c>
      <c r="J252" s="14">
        <f>Grunddaten!A245</f>
        <v>243</v>
      </c>
      <c r="K252" s="14">
        <f>Grunddaten!Y245</f>
        <v>1</v>
      </c>
      <c r="L252" s="14" t="str">
        <f ca="1">CONCATENATE("'",Grunddaten!Z245,"'")</f>
        <v>'13581'</v>
      </c>
      <c r="M252" s="14" t="str">
        <f>CONCATENATE("'",Grunddaten!AA245,"'")</f>
        <v>'Berlin'</v>
      </c>
      <c r="N252" s="14" t="str">
        <f>CONCATENATE("'",Grunddaten!AB245,"'")</f>
        <v>'Quittenweg'</v>
      </c>
      <c r="O252" s="14" t="str">
        <f>CONCATENATE("'",Grunddaten!AC245,"'")</f>
        <v>'8'</v>
      </c>
      <c r="P252" s="14">
        <f>Grunddaten!AD245</f>
        <v>1</v>
      </c>
      <c r="R252" s="13">
        <f>Grunddaten!A245</f>
        <v>243</v>
      </c>
      <c r="S252" s="13">
        <f>Grunddaten!AF245</f>
        <v>1</v>
      </c>
      <c r="T252" s="13" t="str">
        <f>CONCATENATE("'",Grunddaten!AG245,"'")</f>
        <v>'030'</v>
      </c>
      <c r="U252" s="13" t="str">
        <f ca="1">CONCATENATE("'",Grunddaten!AH245,"'")</f>
        <v>'98397623'</v>
      </c>
      <c r="V252" s="13">
        <f>Grunddaten!AI245</f>
        <v>1</v>
      </c>
      <c r="Z252" s="2" t="str" cm="1">
        <f t="array" ref="Z252">CONCATENATE("                   ",Liste(B252:H252),IF(Z253&lt;&gt;"",",",""))</f>
        <v xml:space="preserve">                   (243, 'Feldner', 'Jörg', 1, 3, '2027-12-29', '1988-05-16'),</v>
      </c>
      <c r="AB252" s="2" t="str" cm="1">
        <f t="array" aca="1" ref="AB252" ca="1">CONCATENATE("                    ",Liste(J252:P252),IF(AB253&lt;&gt;"",",",""))</f>
        <v xml:space="preserve">                    (243, 1, '13581', 'Berlin', 'Quittenweg', '8', 1),</v>
      </c>
      <c r="AD252" s="2" t="str" cm="1">
        <f t="array" aca="1" ref="AD252" ca="1">CONCATENATE("                   ",Liste(R252:V252),IF(AD253&lt;&gt;"",",",""))</f>
        <v xml:space="preserve">                   (243, 1, '030', '98397623', 1),</v>
      </c>
    </row>
    <row r="253" spans="2:30" x14ac:dyDescent="0.45">
      <c r="B253" s="4">
        <f>Grunddaten!A246</f>
        <v>244</v>
      </c>
      <c r="C253" s="4" t="str">
        <f>CONCATENATE("'",Grunddaten!F246,"'")</f>
        <v>'Albrecht'</v>
      </c>
      <c r="D253" s="4" t="str">
        <f>CONCATENATE("'",Grunddaten!E246,"'")</f>
        <v>'Werner'</v>
      </c>
      <c r="E253" s="4">
        <f>VLOOKUP(Grunddaten!D246,FormOfAddress,2,TRUE)</f>
        <v>1</v>
      </c>
      <c r="F253" s="4">
        <f>VLOOKUP(Grunddaten!I246,FamilyStatus,2,FALSE)</f>
        <v>1</v>
      </c>
      <c r="G253" s="4" t="str">
        <f>IF(Grunddaten!J246&lt;&gt;"",CONCATENATE("'",TEXT(Grunddaten!J246,"JJJJ-MM-tt"),"'"),"NULL")</f>
        <v>NULL</v>
      </c>
      <c r="H253" s="4" t="str">
        <f>CONCATENATE("'",TEXT(Grunddaten!G246,"JJJJ-MM-tt"),"'")</f>
        <v>'1952-10-30'</v>
      </c>
      <c r="J253" s="14">
        <f>Grunddaten!A246</f>
        <v>244</v>
      </c>
      <c r="K253" s="14">
        <f>Grunddaten!Y246</f>
        <v>1</v>
      </c>
      <c r="L253" s="14" t="str">
        <f ca="1">CONCATENATE("'",Grunddaten!Z246,"'")</f>
        <v>'14770'</v>
      </c>
      <c r="M253" s="14" t="str">
        <f>CONCATENATE("'",Grunddaten!AA246,"'")</f>
        <v>'Brandenburg an der Havel'</v>
      </c>
      <c r="N253" s="14" t="str">
        <f>CONCATENATE("'",Grunddaten!AB246,"'")</f>
        <v>'Ringallee'</v>
      </c>
      <c r="O253" s="14" t="str">
        <f>CONCATENATE("'",Grunddaten!AC246,"'")</f>
        <v>'25'</v>
      </c>
      <c r="P253" s="14">
        <f>Grunddaten!AD246</f>
        <v>1</v>
      </c>
      <c r="R253" s="13">
        <f>Grunddaten!A246</f>
        <v>244</v>
      </c>
      <c r="S253" s="13">
        <f>Grunddaten!AF246</f>
        <v>1</v>
      </c>
      <c r="T253" s="13" t="str">
        <f>CONCATENATE("'",Grunddaten!AG246,"'")</f>
        <v>'03381'</v>
      </c>
      <c r="U253" s="13" t="str">
        <f ca="1">CONCATENATE("'",Grunddaten!AH246,"'")</f>
        <v>'45818'</v>
      </c>
      <c r="V253" s="13">
        <f>Grunddaten!AI246</f>
        <v>1</v>
      </c>
      <c r="Z253" s="2" t="str" cm="1">
        <f t="array" ref="Z253">CONCATENATE("                   ",Liste(B253:H253),IF(Z254&lt;&gt;"",",",""))</f>
        <v xml:space="preserve">                   (244, 'Albrecht', 'Werner', 1, 1, NULL, '1952-10-30'),</v>
      </c>
      <c r="AB253" s="2" t="str" cm="1">
        <f t="array" aca="1" ref="AB253" ca="1">CONCATENATE("                    ",Liste(J253:P253),IF(AB254&lt;&gt;"",",",""))</f>
        <v xml:space="preserve">                    (244, 1, '14770', 'Brandenburg an der Havel', 'Ringallee', '25', 1),</v>
      </c>
      <c r="AD253" s="2" t="str" cm="1">
        <f t="array" aca="1" ref="AD253" ca="1">CONCATENATE("                   ",Liste(R253:V253),IF(AD254&lt;&gt;"",",",""))</f>
        <v xml:space="preserve">                   (244, 1, '03381', '45818', 1),</v>
      </c>
    </row>
    <row r="254" spans="2:30" x14ac:dyDescent="0.45">
      <c r="B254" s="4">
        <f>Grunddaten!A247</f>
        <v>245</v>
      </c>
      <c r="C254" s="4" t="str">
        <f>CONCATENATE("'",Grunddaten!F247,"'")</f>
        <v>'Hannemann'</v>
      </c>
      <c r="D254" s="4" t="str">
        <f>CONCATENATE("'",Grunddaten!E247,"'")</f>
        <v>'Marianne'</v>
      </c>
      <c r="E254" s="4">
        <f>VLOOKUP(Grunddaten!D247,FormOfAddress,2,TRUE)</f>
        <v>2</v>
      </c>
      <c r="F254" s="4">
        <f>VLOOKUP(Grunddaten!I247,FamilyStatus,2,FALSE)</f>
        <v>2</v>
      </c>
      <c r="G254" s="4" t="str">
        <f>IF(Grunddaten!J247&lt;&gt;"",CONCATENATE("'",TEXT(Grunddaten!J247,"JJJJ-MM-tt"),"'"),"NULL")</f>
        <v>'2003-09-16'</v>
      </c>
      <c r="H254" s="4" t="str">
        <f>CONCATENATE("'",TEXT(Grunddaten!G247,"JJJJ-MM-tt"),"'")</f>
        <v>'1973-11-19'</v>
      </c>
      <c r="J254" s="14">
        <f>Grunddaten!A247</f>
        <v>245</v>
      </c>
      <c r="K254" s="14">
        <f>Grunddaten!Y247</f>
        <v>1</v>
      </c>
      <c r="L254" s="14" t="str">
        <f ca="1">CONCATENATE("'",Grunddaten!Z247,"'")</f>
        <v>'14467'</v>
      </c>
      <c r="M254" s="14" t="str">
        <f>CONCATENATE("'",Grunddaten!AA247,"'")</f>
        <v>'Potsdam'</v>
      </c>
      <c r="N254" s="14" t="str">
        <f>CONCATENATE("'",Grunddaten!AB247,"'")</f>
        <v>'Friedrichstraße'</v>
      </c>
      <c r="O254" s="14" t="str">
        <f>CONCATENATE("'",Grunddaten!AC247,"'")</f>
        <v>'19'</v>
      </c>
      <c r="P254" s="14">
        <f>Grunddaten!AD247</f>
        <v>1</v>
      </c>
      <c r="R254" s="13">
        <f>Grunddaten!A247</f>
        <v>245</v>
      </c>
      <c r="S254" s="13">
        <f>Grunddaten!AF247</f>
        <v>1</v>
      </c>
      <c r="T254" s="13" t="str">
        <f>CONCATENATE("'",Grunddaten!AG247,"'")</f>
        <v>'0331'</v>
      </c>
      <c r="U254" s="13" t="str">
        <f ca="1">CONCATENATE("'",Grunddaten!AH247,"'")</f>
        <v>'89560'</v>
      </c>
      <c r="V254" s="13">
        <f>Grunddaten!AI247</f>
        <v>1</v>
      </c>
      <c r="Z254" s="2" t="str" cm="1">
        <f t="array" ref="Z254">CONCATENATE("                   ",Liste(B254:H254),IF(Z255&lt;&gt;"",",",""))</f>
        <v xml:space="preserve">                   (245, 'Hannemann', 'Marianne', 2, 2, '2003-09-16', '1973-11-19'),</v>
      </c>
      <c r="AB254" s="2" t="str" cm="1">
        <f t="array" aca="1" ref="AB254" ca="1">CONCATENATE("                    ",Liste(J254:P254),IF(AB255&lt;&gt;"",",",""))</f>
        <v xml:space="preserve">                    (245, 1, '14467', 'Potsdam', 'Friedrichstraße', '19', 1),</v>
      </c>
      <c r="AD254" s="2" t="str" cm="1">
        <f t="array" aca="1" ref="AD254" ca="1">CONCATENATE("                   ",Liste(R254:V254),IF(AD255&lt;&gt;"",",",""))</f>
        <v xml:space="preserve">                   (245, 1, '0331', '89560', 1),</v>
      </c>
    </row>
    <row r="255" spans="2:30" x14ac:dyDescent="0.45">
      <c r="B255" s="4">
        <f>Grunddaten!A248</f>
        <v>246</v>
      </c>
      <c r="C255" s="4" t="str">
        <f>CONCATENATE("'",Grunddaten!F248,"'")</f>
        <v>'Hardt'</v>
      </c>
      <c r="D255" s="4" t="str">
        <f>CONCATENATE("'",Grunddaten!E248,"'")</f>
        <v>'Franz'</v>
      </c>
      <c r="E255" s="4">
        <f>VLOOKUP(Grunddaten!D248,FormOfAddress,2,TRUE)</f>
        <v>1</v>
      </c>
      <c r="F255" s="4">
        <f>VLOOKUP(Grunddaten!I248,FamilyStatus,2,FALSE)</f>
        <v>2</v>
      </c>
      <c r="G255" s="4" t="str">
        <f>IF(Grunddaten!J248&lt;&gt;"",CONCATENATE("'",TEXT(Grunddaten!J248,"JJJJ-MM-tt"),"'"),"NULL")</f>
        <v>'1987-06-03'</v>
      </c>
      <c r="H255" s="4" t="str">
        <f>CONCATENATE("'",TEXT(Grunddaten!G248,"JJJJ-MM-tt"),"'")</f>
        <v>'1962-02-15'</v>
      </c>
      <c r="J255" s="14">
        <f>Grunddaten!A248</f>
        <v>246</v>
      </c>
      <c r="K255" s="14">
        <f>Grunddaten!Y248</f>
        <v>1</v>
      </c>
      <c r="L255" s="14" t="str">
        <f ca="1">CONCATENATE("'",Grunddaten!Z248,"'")</f>
        <v>'14050'</v>
      </c>
      <c r="M255" s="14" t="str">
        <f>CONCATENATE("'",Grunddaten!AA248,"'")</f>
        <v>'Berlin'</v>
      </c>
      <c r="N255" s="14" t="str">
        <f>CONCATENATE("'",Grunddaten!AB248,"'")</f>
        <v>'Bergweg'</v>
      </c>
      <c r="O255" s="14" t="str">
        <f>CONCATENATE("'",Grunddaten!AC248,"'")</f>
        <v>'27C'</v>
      </c>
      <c r="P255" s="14">
        <f>Grunddaten!AD248</f>
        <v>1</v>
      </c>
      <c r="R255" s="13">
        <f>Grunddaten!A248</f>
        <v>246</v>
      </c>
      <c r="S255" s="13">
        <f>Grunddaten!AF248</f>
        <v>1</v>
      </c>
      <c r="T255" s="13" t="str">
        <f>CONCATENATE("'",Grunddaten!AG248,"'")</f>
        <v>'030'</v>
      </c>
      <c r="U255" s="13" t="str">
        <f ca="1">CONCATENATE("'",Grunddaten!AH248,"'")</f>
        <v>'67250024'</v>
      </c>
      <c r="V255" s="13">
        <f>Grunddaten!AI248</f>
        <v>1</v>
      </c>
      <c r="Z255" s="2" t="str" cm="1">
        <f t="array" ref="Z255">CONCATENATE("                   ",Liste(B255:H255),IF(Z256&lt;&gt;"",",",""))</f>
        <v xml:space="preserve">                   (246, 'Hardt', 'Franz', 1, 2, '1987-06-03', '1962-02-15'),</v>
      </c>
      <c r="AB255" s="2" t="str" cm="1">
        <f t="array" aca="1" ref="AB255" ca="1">CONCATENATE("                    ",Liste(J255:P255),IF(AB256&lt;&gt;"",",",""))</f>
        <v xml:space="preserve">                    (246, 1, '14050', 'Berlin', 'Bergweg', '27C', 1),</v>
      </c>
      <c r="AD255" s="2" t="str" cm="1">
        <f t="array" aca="1" ref="AD255" ca="1">CONCATENATE("                   ",Liste(R255:V255),IF(AD256&lt;&gt;"",",",""))</f>
        <v xml:space="preserve">                   (246, 1, '030', '67250024', 1),</v>
      </c>
    </row>
    <row r="256" spans="2:30" x14ac:dyDescent="0.45">
      <c r="B256" s="4">
        <f>Grunddaten!A249</f>
        <v>247</v>
      </c>
      <c r="C256" s="4" t="str">
        <f>CONCATENATE("'",Grunddaten!F249,"'")</f>
        <v>'Baudisch'</v>
      </c>
      <c r="D256" s="4" t="str">
        <f>CONCATENATE("'",Grunddaten!E249,"'")</f>
        <v>'Gisela'</v>
      </c>
      <c r="E256" s="4">
        <f>VLOOKUP(Grunddaten!D249,FormOfAddress,2,TRUE)</f>
        <v>2</v>
      </c>
      <c r="F256" s="4">
        <f>VLOOKUP(Grunddaten!I249,FamilyStatus,2,FALSE)</f>
        <v>1</v>
      </c>
      <c r="G256" s="4" t="str">
        <f>IF(Grunddaten!J249&lt;&gt;"",CONCATENATE("'",TEXT(Grunddaten!J249,"JJJJ-MM-tt"),"'"),"NULL")</f>
        <v>NULL</v>
      </c>
      <c r="H256" s="4" t="str">
        <f>CONCATENATE("'",TEXT(Grunddaten!G249,"JJJJ-MM-tt"),"'")</f>
        <v>'1988-07-06'</v>
      </c>
      <c r="J256" s="14">
        <f>Grunddaten!A249</f>
        <v>247</v>
      </c>
      <c r="K256" s="14">
        <f>Grunddaten!Y249</f>
        <v>1</v>
      </c>
      <c r="L256" s="14" t="str">
        <f ca="1">CONCATENATE("'",Grunddaten!Z249,"'")</f>
        <v>'14052'</v>
      </c>
      <c r="M256" s="14" t="str">
        <f>CONCATENATE("'",Grunddaten!AA249,"'")</f>
        <v>'Berlin'</v>
      </c>
      <c r="N256" s="14" t="str">
        <f>CONCATENATE("'",Grunddaten!AB249,"'")</f>
        <v>'Richmondstraße'</v>
      </c>
      <c r="O256" s="14" t="str">
        <f>CONCATENATE("'",Grunddaten!AC249,"'")</f>
        <v>'82'</v>
      </c>
      <c r="P256" s="14">
        <f>Grunddaten!AD249</f>
        <v>1</v>
      </c>
      <c r="R256" s="13">
        <f>Grunddaten!A249</f>
        <v>247</v>
      </c>
      <c r="S256" s="13">
        <f>Grunddaten!AF249</f>
        <v>1</v>
      </c>
      <c r="T256" s="13" t="str">
        <f>CONCATENATE("'",Grunddaten!AG249,"'")</f>
        <v>'030'</v>
      </c>
      <c r="U256" s="13" t="str">
        <f ca="1">CONCATENATE("'",Grunddaten!AH249,"'")</f>
        <v>'88125150'</v>
      </c>
      <c r="V256" s="13">
        <f>Grunddaten!AI249</f>
        <v>1</v>
      </c>
      <c r="Z256" s="2" t="str" cm="1">
        <f t="array" ref="Z256">CONCATENATE("                   ",Liste(B256:H256),IF(Z257&lt;&gt;"",",",""))</f>
        <v xml:space="preserve">                   (247, 'Baudisch', 'Gisela', 2, 1, NULL, '1988-07-06'),</v>
      </c>
      <c r="AB256" s="2" t="str" cm="1">
        <f t="array" aca="1" ref="AB256" ca="1">CONCATENATE("                    ",Liste(J256:P256),IF(AB257&lt;&gt;"",",",""))</f>
        <v xml:space="preserve">                    (247, 1, '14052', 'Berlin', 'Richmondstraße', '82', 1),</v>
      </c>
      <c r="AD256" s="2" t="str" cm="1">
        <f t="array" aca="1" ref="AD256" ca="1">CONCATENATE("                   ",Liste(R256:V256),IF(AD257&lt;&gt;"",",",""))</f>
        <v xml:space="preserve">                   (247, 1, '030', '88125150', 1),</v>
      </c>
    </row>
    <row r="257" spans="2:30" x14ac:dyDescent="0.45">
      <c r="B257" s="4">
        <f>Grunddaten!A250</f>
        <v>248</v>
      </c>
      <c r="C257" s="4" t="str">
        <f>CONCATENATE("'",Grunddaten!F250,"'")</f>
        <v>'Gröning'</v>
      </c>
      <c r="D257" s="4" t="str">
        <f>CONCATENATE("'",Grunddaten!E250,"'")</f>
        <v>'Timo'</v>
      </c>
      <c r="E257" s="4">
        <f>VLOOKUP(Grunddaten!D250,FormOfAddress,2,TRUE)</f>
        <v>1</v>
      </c>
      <c r="F257" s="4">
        <f>VLOOKUP(Grunddaten!I250,FamilyStatus,2,FALSE)</f>
        <v>2</v>
      </c>
      <c r="G257" s="4" t="str">
        <f>IF(Grunddaten!J250&lt;&gt;"",CONCATENATE("'",TEXT(Grunddaten!J250,"JJJJ-MM-tt"),"'"),"NULL")</f>
        <v>'2016-08-26'</v>
      </c>
      <c r="H257" s="4" t="str">
        <f>CONCATENATE("'",TEXT(Grunddaten!G250,"JJJJ-MM-tt"),"'")</f>
        <v>'1980-09-21'</v>
      </c>
      <c r="J257" s="14">
        <f>Grunddaten!A250</f>
        <v>248</v>
      </c>
      <c r="K257" s="14">
        <f>Grunddaten!Y250</f>
        <v>1</v>
      </c>
      <c r="L257" s="14" t="str">
        <f ca="1">CONCATENATE("'",Grunddaten!Z250,"'")</f>
        <v>'14050'</v>
      </c>
      <c r="M257" s="14" t="str">
        <f>CONCATENATE("'",Grunddaten!AA250,"'")</f>
        <v>'Berlin'</v>
      </c>
      <c r="N257" s="14" t="str">
        <f>CONCATENATE("'",Grunddaten!AB250,"'")</f>
        <v>'Kolibriweg'</v>
      </c>
      <c r="O257" s="14" t="str">
        <f>CONCATENATE("'",Grunddaten!AC250,"'")</f>
        <v>'11A'</v>
      </c>
      <c r="P257" s="14">
        <f>Grunddaten!AD250</f>
        <v>1</v>
      </c>
      <c r="R257" s="13">
        <f>Grunddaten!A250</f>
        <v>248</v>
      </c>
      <c r="S257" s="13">
        <f>Grunddaten!AF250</f>
        <v>1</v>
      </c>
      <c r="T257" s="13" t="str">
        <f>CONCATENATE("'",Grunddaten!AG250,"'")</f>
        <v>'030'</v>
      </c>
      <c r="U257" s="13" t="str">
        <f ca="1">CONCATENATE("'",Grunddaten!AH250,"'")</f>
        <v>'44270666'</v>
      </c>
      <c r="V257" s="13">
        <f>Grunddaten!AI250</f>
        <v>1</v>
      </c>
      <c r="Z257" s="2" t="str" cm="1">
        <f t="array" ref="Z257">CONCATENATE("                   ",Liste(B257:H257),IF(Z258&lt;&gt;"",",",""))</f>
        <v xml:space="preserve">                   (248, 'Gröning', 'Timo', 1, 2, '2016-08-26', '1980-09-21'),</v>
      </c>
      <c r="AB257" s="2" t="str" cm="1">
        <f t="array" aca="1" ref="AB257" ca="1">CONCATENATE("                    ",Liste(J257:P257),IF(AB258&lt;&gt;"",",",""))</f>
        <v xml:space="preserve">                    (248, 1, '14050', 'Berlin', 'Kolibriweg', '11A', 1),</v>
      </c>
      <c r="AD257" s="2" t="str" cm="1">
        <f t="array" aca="1" ref="AD257" ca="1">CONCATENATE("                   ",Liste(R257:V257),IF(AD258&lt;&gt;"",",",""))</f>
        <v xml:space="preserve">                   (248, 1, '030', '44270666', 1),</v>
      </c>
    </row>
    <row r="258" spans="2:30" x14ac:dyDescent="0.45">
      <c r="B258" s="4">
        <f>Grunddaten!A251</f>
        <v>249</v>
      </c>
      <c r="C258" s="4" t="str">
        <f>CONCATENATE("'",Grunddaten!F251,"'")</f>
        <v>'Brutzer'</v>
      </c>
      <c r="D258" s="4" t="str">
        <f>CONCATENATE("'",Grunddaten!E251,"'")</f>
        <v>'Dieter'</v>
      </c>
      <c r="E258" s="4">
        <f>VLOOKUP(Grunddaten!D251,FormOfAddress,2,TRUE)</f>
        <v>1</v>
      </c>
      <c r="F258" s="4">
        <f>VLOOKUP(Grunddaten!I251,FamilyStatus,2,FALSE)</f>
        <v>3</v>
      </c>
      <c r="G258" s="4" t="str">
        <f>IF(Grunddaten!J251&lt;&gt;"",CONCATENATE("'",TEXT(Grunddaten!J251,"JJJJ-MM-tt"),"'"),"NULL")</f>
        <v>'1999-10-29'</v>
      </c>
      <c r="H258" s="4" t="str">
        <f>CONCATENATE("'",TEXT(Grunddaten!G251,"JJJJ-MM-tt"),"'")</f>
        <v>'1970-05-02'</v>
      </c>
      <c r="J258" s="14">
        <f>Grunddaten!A251</f>
        <v>249</v>
      </c>
      <c r="K258" s="14">
        <f>Grunddaten!Y251</f>
        <v>1</v>
      </c>
      <c r="L258" s="14" t="str">
        <f ca="1">CONCATENATE("'",Grunddaten!Z251,"'")</f>
        <v>'12247'</v>
      </c>
      <c r="M258" s="14" t="str">
        <f>CONCATENATE("'",Grunddaten!AA251,"'")</f>
        <v>'Berlin'</v>
      </c>
      <c r="N258" s="14" t="str">
        <f>CONCATENATE("'",Grunddaten!AB251,"'")</f>
        <v>'Kaiserstraße'</v>
      </c>
      <c r="O258" s="14" t="str">
        <f>CONCATENATE("'",Grunddaten!AC251,"'")</f>
        <v>'3'</v>
      </c>
      <c r="P258" s="14">
        <f>Grunddaten!AD251</f>
        <v>1</v>
      </c>
      <c r="R258" s="13">
        <f>Grunddaten!A251</f>
        <v>249</v>
      </c>
      <c r="S258" s="13">
        <f>Grunddaten!AF251</f>
        <v>1</v>
      </c>
      <c r="T258" s="13" t="str">
        <f>CONCATENATE("'",Grunddaten!AG251,"'")</f>
        <v>'030'</v>
      </c>
      <c r="U258" s="13" t="str">
        <f ca="1">CONCATENATE("'",Grunddaten!AH251,"'")</f>
        <v>'85026905'</v>
      </c>
      <c r="V258" s="13">
        <f>Grunddaten!AI251</f>
        <v>1</v>
      </c>
      <c r="Z258" s="2" t="str" cm="1">
        <f t="array" ref="Z258">CONCATENATE("                   ",Liste(B258:H258),IF(Z259&lt;&gt;"",",",""))</f>
        <v xml:space="preserve">                   (249, 'Brutzer', 'Dieter', 1, 3, '1999-10-29', '1970-05-02')</v>
      </c>
      <c r="AB258" s="2" t="str" cm="1">
        <f t="array" aca="1" ref="AB258" ca="1">CONCATENATE("                    ",Liste(J258:P258),IF(AB259&lt;&gt;"",",",""))</f>
        <v xml:space="preserve">                    (249, 1, '12247', 'Berlin', 'Kaiserstraße', '3', 1)</v>
      </c>
      <c r="AD258" s="2" t="str" cm="1">
        <f t="array" aca="1" ref="AD258" ca="1">CONCATENATE("                   ",Liste(R258:V258),IF(AD259&lt;&gt;"",",",""))</f>
        <v xml:space="preserve">                   (249, 1, '030', '85026905', 1)</v>
      </c>
    </row>
    <row r="259" spans="2:30" x14ac:dyDescent="0.45">
      <c r="Z259" s="2"/>
    </row>
    <row r="260" spans="2:30" x14ac:dyDescent="0.45">
      <c r="Z260" s="2" t="str" cm="1">
        <f t="array" ref="Z260">CONCATENATE("INSERT INTO ",A$1," ",Liste(B$1:H$1)," VALUES")</f>
        <v>INSERT INTO Person (ID, Name, FirstName, FormOfAddress, FamilyStatus, FamilyStatusSince, Birthday) VALUES</v>
      </c>
      <c r="AB260" s="2" t="str" cm="1">
        <f t="array" ref="AB260">CONCATENATE("INSERT INTO ",I$1," ",Liste(J$1:P$1)," VALUES")</f>
        <v>INSERT INTO Address (ID, AddressType, Zipcode, City, Street, StreetNumber, Country) VALUES</v>
      </c>
      <c r="AD260" s="2" t="str" cm="1">
        <f t="array" ref="AD260">CONCATENATE("INSERT INTO ",Q$1," ",Liste(R$1:V$1)," VALUES")</f>
        <v>INSERT INTO Phone (ID, PhoneType, AreaCode, CallNumber, Country) VALUES</v>
      </c>
    </row>
    <row r="261" spans="2:30" x14ac:dyDescent="0.45">
      <c r="B261" s="4">
        <f>Grunddaten!A252</f>
        <v>250</v>
      </c>
      <c r="C261" s="4" t="str">
        <f>CONCATENATE("'",Grunddaten!F252,"'")</f>
        <v>'Held'</v>
      </c>
      <c r="D261" s="4" t="str">
        <f>CONCATENATE("'",Grunddaten!E252,"'")</f>
        <v>'Matthias'</v>
      </c>
      <c r="E261" s="4">
        <f>VLOOKUP(Grunddaten!D252,FormOfAddress,2,TRUE)</f>
        <v>1</v>
      </c>
      <c r="F261" s="4">
        <f>VLOOKUP(Grunddaten!I252,FamilyStatus,2,FALSE)</f>
        <v>4</v>
      </c>
      <c r="G261" s="4" t="str">
        <f>IF(Grunddaten!J252&lt;&gt;"",CONCATENATE("'",TEXT(Grunddaten!J252,"JJJJ-MM-tt"),"'"),"NULL")</f>
        <v>'2015-05-13'</v>
      </c>
      <c r="H261" s="4" t="str">
        <f>CONCATENATE("'",TEXT(Grunddaten!G252,"JJJJ-MM-tt"),"'")</f>
        <v>'1952-11-24'</v>
      </c>
      <c r="J261" s="14">
        <f>Grunddaten!A252</f>
        <v>250</v>
      </c>
      <c r="K261" s="14">
        <f>Grunddaten!Y252</f>
        <v>1</v>
      </c>
      <c r="L261" s="14" t="str">
        <f ca="1">CONCATENATE("'",Grunddaten!Z252,"'")</f>
        <v>'14778'</v>
      </c>
      <c r="M261" s="14" t="str">
        <f>CONCATENATE("'",Grunddaten!AA252,"'")</f>
        <v>'Beetzsee'</v>
      </c>
      <c r="N261" s="14" t="str">
        <f>CONCATENATE("'",Grunddaten!AB252,"'")</f>
        <v>'Theodor-Heuss-Allee'</v>
      </c>
      <c r="O261" s="14" t="str">
        <f>CONCATENATE("'",Grunddaten!AC252,"'")</f>
        <v>'8'</v>
      </c>
      <c r="P261" s="14">
        <f>Grunddaten!AD252</f>
        <v>1</v>
      </c>
      <c r="R261" s="13">
        <f>Grunddaten!A252</f>
        <v>250</v>
      </c>
      <c r="S261" s="13">
        <f>Grunddaten!AF252</f>
        <v>1</v>
      </c>
      <c r="T261" s="13" t="str">
        <f>CONCATENATE("'",Grunddaten!AG252,"'")</f>
        <v>'03381'</v>
      </c>
      <c r="U261" s="13" t="str">
        <f ca="1">CONCATENATE("'",Grunddaten!AH252,"'")</f>
        <v>'66762'</v>
      </c>
      <c r="V261" s="13">
        <f>Grunddaten!AI252</f>
        <v>1</v>
      </c>
      <c r="Z261" s="2" t="str" cm="1">
        <f t="array" ref="Z261">CONCATENATE("                   ",Liste(B261:H261),IF(Z262&lt;&gt;"",",",""))</f>
        <v xml:space="preserve">                   (250, 'Held', 'Matthias', 1, 4, '2015-05-13', '1952-11-24'),</v>
      </c>
      <c r="AB261" s="2" t="str" cm="1">
        <f t="array" aca="1" ref="AB261" ca="1">CONCATENATE("                    ",Liste(J261:P261),IF(AB262&lt;&gt;"",",",""))</f>
        <v xml:space="preserve">                    (250, 1, '14778', 'Beetzsee', 'Theodor-Heuss-Allee', '8', 1),</v>
      </c>
      <c r="AD261" s="2" t="str" cm="1">
        <f t="array" aca="1" ref="AD261" ca="1">CONCATENATE("                   ",Liste(R261:V261),IF(AD262&lt;&gt;"",",",""))</f>
        <v xml:space="preserve">                   (250, 1, '03381', '66762', 1),</v>
      </c>
    </row>
    <row r="262" spans="2:30" x14ac:dyDescent="0.45">
      <c r="B262" s="4">
        <f>Grunddaten!A253</f>
        <v>251</v>
      </c>
      <c r="C262" s="4" t="str">
        <f>CONCATENATE("'",Grunddaten!F253,"'")</f>
        <v>'Loos'</v>
      </c>
      <c r="D262" s="4" t="str">
        <f>CONCATENATE("'",Grunddaten!E253,"'")</f>
        <v>'Klaus'</v>
      </c>
      <c r="E262" s="4">
        <f>VLOOKUP(Grunddaten!D253,FormOfAddress,2,TRUE)</f>
        <v>1</v>
      </c>
      <c r="F262" s="4">
        <f>VLOOKUP(Grunddaten!I253,FamilyStatus,2,FALSE)</f>
        <v>1</v>
      </c>
      <c r="G262" s="4" t="str">
        <f>IF(Grunddaten!J253&lt;&gt;"",CONCATENATE("'",TEXT(Grunddaten!J253,"JJJJ-MM-tt"),"'"),"NULL")</f>
        <v>NULL</v>
      </c>
      <c r="H262" s="4" t="str">
        <f>CONCATENATE("'",TEXT(Grunddaten!G253,"JJJJ-MM-tt"),"'")</f>
        <v>'1985-01-30'</v>
      </c>
      <c r="J262" s="14">
        <f>Grunddaten!A253</f>
        <v>251</v>
      </c>
      <c r="K262" s="14">
        <f>Grunddaten!Y253</f>
        <v>1</v>
      </c>
      <c r="L262" s="14" t="str">
        <f ca="1">CONCATENATE("'",Grunddaten!Z253,"'")</f>
        <v>'13581'</v>
      </c>
      <c r="M262" s="14" t="str">
        <f>CONCATENATE("'",Grunddaten!AA253,"'")</f>
        <v>'Berlin'</v>
      </c>
      <c r="N262" s="14" t="str">
        <f>CONCATENATE("'",Grunddaten!AB253,"'")</f>
        <v>'Ringstraße'</v>
      </c>
      <c r="O262" s="14" t="str">
        <f>CONCATENATE("'",Grunddaten!AC253,"'")</f>
        <v>'1'</v>
      </c>
      <c r="P262" s="14">
        <f>Grunddaten!AD253</f>
        <v>1</v>
      </c>
      <c r="R262" s="13">
        <f>Grunddaten!A253</f>
        <v>251</v>
      </c>
      <c r="S262" s="13">
        <f>Grunddaten!AF253</f>
        <v>1</v>
      </c>
      <c r="T262" s="13" t="str">
        <f>CONCATENATE("'",Grunddaten!AG253,"'")</f>
        <v>'030'</v>
      </c>
      <c r="U262" s="13" t="str">
        <f ca="1">CONCATENATE("'",Grunddaten!AH253,"'")</f>
        <v>'97986103'</v>
      </c>
      <c r="V262" s="13">
        <f>Grunddaten!AI253</f>
        <v>1</v>
      </c>
      <c r="Z262" s="2" t="str" cm="1">
        <f t="array" ref="Z262">CONCATENATE("                   ",Liste(B262:H262),IF(Z263&lt;&gt;"",",",""))</f>
        <v xml:space="preserve">                   (251, 'Loos', 'Klaus', 1, 1, NULL, '1985-01-30'),</v>
      </c>
      <c r="AB262" s="2" t="str" cm="1">
        <f t="array" aca="1" ref="AB262" ca="1">CONCATENATE("                    ",Liste(J262:P262),IF(AB263&lt;&gt;"",",",""))</f>
        <v xml:space="preserve">                    (251, 1, '13581', 'Berlin', 'Ringstraße', '1', 1),</v>
      </c>
      <c r="AD262" s="2" t="str" cm="1">
        <f t="array" aca="1" ref="AD262" ca="1">CONCATENATE("                   ",Liste(R262:V262),IF(AD263&lt;&gt;"",",",""))</f>
        <v xml:space="preserve">                   (251, 1, '030', '97986103', 1),</v>
      </c>
    </row>
    <row r="263" spans="2:30" x14ac:dyDescent="0.45">
      <c r="B263" s="4">
        <f>Grunddaten!A254</f>
        <v>252</v>
      </c>
      <c r="C263" s="4" t="str">
        <f>CONCATENATE("'",Grunddaten!F254,"'")</f>
        <v>'Dahlke'</v>
      </c>
      <c r="D263" s="4" t="str">
        <f>CONCATENATE("'",Grunddaten!E254,"'")</f>
        <v>'Eberhard'</v>
      </c>
      <c r="E263" s="4">
        <f>VLOOKUP(Grunddaten!D254,FormOfAddress,2,TRUE)</f>
        <v>1</v>
      </c>
      <c r="F263" s="4">
        <f>VLOOKUP(Grunddaten!I254,FamilyStatus,2,FALSE)</f>
        <v>2</v>
      </c>
      <c r="G263" s="4" t="str">
        <f>IF(Grunddaten!J254&lt;&gt;"",CONCATENATE("'",TEXT(Grunddaten!J254,"JJJJ-MM-tt"),"'"),"NULL")</f>
        <v>'2017-11-06'</v>
      </c>
      <c r="H263" s="4" t="str">
        <f>CONCATENATE("'",TEXT(Grunddaten!G254,"JJJJ-MM-tt"),"'")</f>
        <v>'1978-02-16'</v>
      </c>
      <c r="J263" s="14">
        <f>Grunddaten!A254</f>
        <v>252</v>
      </c>
      <c r="K263" s="14">
        <f>Grunddaten!Y254</f>
        <v>1</v>
      </c>
      <c r="L263" s="14" t="str">
        <f ca="1">CONCATENATE("'",Grunddaten!Z254,"'")</f>
        <v>'13581'</v>
      </c>
      <c r="M263" s="14" t="str">
        <f>CONCATENATE("'",Grunddaten!AA254,"'")</f>
        <v>'Berlin'</v>
      </c>
      <c r="N263" s="14" t="str">
        <f>CONCATENATE("'",Grunddaten!AB254,"'")</f>
        <v>'Allee'</v>
      </c>
      <c r="O263" s="14" t="str">
        <f>CONCATENATE("'",Grunddaten!AC254,"'")</f>
        <v>'25'</v>
      </c>
      <c r="P263" s="14">
        <f>Grunddaten!AD254</f>
        <v>1</v>
      </c>
      <c r="R263" s="13">
        <f>Grunddaten!A254</f>
        <v>252</v>
      </c>
      <c r="S263" s="13">
        <f>Grunddaten!AF254</f>
        <v>1</v>
      </c>
      <c r="T263" s="13" t="str">
        <f>CONCATENATE("'",Grunddaten!AG254,"'")</f>
        <v>'030'</v>
      </c>
      <c r="U263" s="13" t="str">
        <f ca="1">CONCATENATE("'",Grunddaten!AH254,"'")</f>
        <v>'56944992'</v>
      </c>
      <c r="V263" s="13">
        <f>Grunddaten!AI254</f>
        <v>1</v>
      </c>
      <c r="Z263" s="2" t="str" cm="1">
        <f t="array" ref="Z263">CONCATENATE("                   ",Liste(B263:H263),IF(Z264&lt;&gt;"",",",""))</f>
        <v xml:space="preserve">                   (252, 'Dahlke', 'Eberhard', 1, 2, '2017-11-06', '1978-02-16'),</v>
      </c>
      <c r="AB263" s="2" t="str" cm="1">
        <f t="array" aca="1" ref="AB263" ca="1">CONCATENATE("                    ",Liste(J263:P263),IF(AB264&lt;&gt;"",",",""))</f>
        <v xml:space="preserve">                    (252, 1, '13581', 'Berlin', 'Allee', '25', 1),</v>
      </c>
      <c r="AD263" s="2" t="str" cm="1">
        <f t="array" aca="1" ref="AD263" ca="1">CONCATENATE("                   ",Liste(R263:V263),IF(AD264&lt;&gt;"",",",""))</f>
        <v xml:space="preserve">                   (252, 1, '030', '56944992', 1),</v>
      </c>
    </row>
    <row r="264" spans="2:30" x14ac:dyDescent="0.45">
      <c r="B264" s="4">
        <f>Grunddaten!A255</f>
        <v>253</v>
      </c>
      <c r="C264" s="4" t="str">
        <f>CONCATENATE("'",Grunddaten!F255,"'")</f>
        <v>'Kaiser'</v>
      </c>
      <c r="D264" s="4" t="str">
        <f>CONCATENATE("'",Grunddaten!E255,"'")</f>
        <v>'Dennis'</v>
      </c>
      <c r="E264" s="4">
        <f>VLOOKUP(Grunddaten!D255,FormOfAddress,2,TRUE)</f>
        <v>1</v>
      </c>
      <c r="F264" s="4">
        <f>VLOOKUP(Grunddaten!I255,FamilyStatus,2,FALSE)</f>
        <v>1</v>
      </c>
      <c r="G264" s="4" t="str">
        <f>IF(Grunddaten!J255&lt;&gt;"",CONCATENATE("'",TEXT(Grunddaten!J255,"JJJJ-MM-tt"),"'"),"NULL")</f>
        <v>NULL</v>
      </c>
      <c r="H264" s="4" t="str">
        <f>CONCATENATE("'",TEXT(Grunddaten!G255,"JJJJ-MM-tt"),"'")</f>
        <v>'2000-01-05'</v>
      </c>
      <c r="J264" s="14">
        <f>Grunddaten!A255</f>
        <v>253</v>
      </c>
      <c r="K264" s="14">
        <f>Grunddaten!Y255</f>
        <v>1</v>
      </c>
      <c r="L264" s="14" t="str">
        <f ca="1">CONCATENATE("'",Grunddaten!Z255,"'")</f>
        <v>'12679'</v>
      </c>
      <c r="M264" s="14" t="str">
        <f>CONCATENATE("'",Grunddaten!AA255,"'")</f>
        <v>'Berlin'</v>
      </c>
      <c r="N264" s="14" t="str">
        <f>CONCATENATE("'",Grunddaten!AB255,"'")</f>
        <v>'Kaiserstraße'</v>
      </c>
      <c r="O264" s="14" t="str">
        <f>CONCATENATE("'",Grunddaten!AC255,"'")</f>
        <v>'27'</v>
      </c>
      <c r="P264" s="14">
        <f>Grunddaten!AD255</f>
        <v>1</v>
      </c>
      <c r="R264" s="13">
        <f>Grunddaten!A255</f>
        <v>253</v>
      </c>
      <c r="S264" s="13">
        <f>Grunddaten!AF255</f>
        <v>1</v>
      </c>
      <c r="T264" s="13" t="str">
        <f>CONCATENATE("'",Grunddaten!AG255,"'")</f>
        <v>'030'</v>
      </c>
      <c r="U264" s="13" t="str">
        <f ca="1">CONCATENATE("'",Grunddaten!AH255,"'")</f>
        <v>'57306334'</v>
      </c>
      <c r="V264" s="13">
        <f>Grunddaten!AI255</f>
        <v>1</v>
      </c>
      <c r="Z264" s="2" t="str" cm="1">
        <f t="array" ref="Z264">CONCATENATE("                   ",Liste(B264:H264),IF(Z265&lt;&gt;"",",",""))</f>
        <v xml:space="preserve">                   (253, 'Kaiser', 'Dennis', 1, 1, NULL, '2000-01-05'),</v>
      </c>
      <c r="AB264" s="2" t="str" cm="1">
        <f t="array" aca="1" ref="AB264" ca="1">CONCATENATE("                    ",Liste(J264:P264),IF(AB265&lt;&gt;"",",",""))</f>
        <v xml:space="preserve">                    (253, 1, '12679', 'Berlin', 'Kaiserstraße', '27', 1),</v>
      </c>
      <c r="AD264" s="2" t="str" cm="1">
        <f t="array" aca="1" ref="AD264" ca="1">CONCATENATE("                   ",Liste(R264:V264),IF(AD265&lt;&gt;"",",",""))</f>
        <v xml:space="preserve">                   (253, 1, '030', '57306334', 1),</v>
      </c>
    </row>
    <row r="265" spans="2:30" x14ac:dyDescent="0.45">
      <c r="B265" s="4">
        <f>Grunddaten!A256</f>
        <v>254</v>
      </c>
      <c r="C265" s="4" t="str">
        <f>CONCATENATE("'",Grunddaten!F256,"'")</f>
        <v>'Mehlitz'</v>
      </c>
      <c r="D265" s="4" t="str">
        <f>CONCATENATE("'",Grunddaten!E256,"'")</f>
        <v>'Dorothea'</v>
      </c>
      <c r="E265" s="4">
        <f>VLOOKUP(Grunddaten!D256,FormOfAddress,2,TRUE)</f>
        <v>2</v>
      </c>
      <c r="F265" s="4">
        <f>VLOOKUP(Grunddaten!I256,FamilyStatus,2,FALSE)</f>
        <v>4</v>
      </c>
      <c r="G265" s="4" t="str">
        <f>IF(Grunddaten!J256&lt;&gt;"",CONCATENATE("'",TEXT(Grunddaten!J256,"JJJJ-MM-tt"),"'"),"NULL")</f>
        <v>'2013-09-14'</v>
      </c>
      <c r="H265" s="4" t="str">
        <f>CONCATENATE("'",TEXT(Grunddaten!G256,"JJJJ-MM-tt"),"'")</f>
        <v>'1953-03-17'</v>
      </c>
      <c r="J265" s="14">
        <f>Grunddaten!A256</f>
        <v>254</v>
      </c>
      <c r="K265" s="14">
        <f>Grunddaten!Y256</f>
        <v>1</v>
      </c>
      <c r="L265" s="14" t="str">
        <f ca="1">CONCATENATE("'",Grunddaten!Z256,"'")</f>
        <v>'10405'</v>
      </c>
      <c r="M265" s="14" t="str">
        <f>CONCATENATE("'",Grunddaten!AA256,"'")</f>
        <v>'Berlin'</v>
      </c>
      <c r="N265" s="14" t="str">
        <f>CONCATENATE("'",Grunddaten!AB256,"'")</f>
        <v>'Schubertstraße'</v>
      </c>
      <c r="O265" s="14" t="str">
        <f>CONCATENATE("'",Grunddaten!AC256,"'")</f>
        <v>'23'</v>
      </c>
      <c r="P265" s="14">
        <f>Grunddaten!AD256</f>
        <v>1</v>
      </c>
      <c r="R265" s="13">
        <f>Grunddaten!A256</f>
        <v>254</v>
      </c>
      <c r="S265" s="13">
        <f>Grunddaten!AF256</f>
        <v>1</v>
      </c>
      <c r="T265" s="13" t="str">
        <f>CONCATENATE("'",Grunddaten!AG256,"'")</f>
        <v>'030'</v>
      </c>
      <c r="U265" s="13" t="str">
        <f ca="1">CONCATENATE("'",Grunddaten!AH256,"'")</f>
        <v>'66535220'</v>
      </c>
      <c r="V265" s="13">
        <f>Grunddaten!AI256</f>
        <v>1</v>
      </c>
      <c r="Z265" s="2" t="str" cm="1">
        <f t="array" ref="Z265">CONCATENATE("                   ",Liste(B265:H265),IF(Z266&lt;&gt;"",",",""))</f>
        <v xml:space="preserve">                   (254, 'Mehlitz', 'Dorothea', 2, 4, '2013-09-14', '1953-03-17'),</v>
      </c>
      <c r="AB265" s="2" t="str" cm="1">
        <f t="array" aca="1" ref="AB265" ca="1">CONCATENATE("                    ",Liste(J265:P265),IF(AB266&lt;&gt;"",",",""))</f>
        <v xml:space="preserve">                    (254, 1, '10405', 'Berlin', 'Schubertstraße', '23', 1),</v>
      </c>
      <c r="AD265" s="2" t="str" cm="1">
        <f t="array" aca="1" ref="AD265" ca="1">CONCATENATE("                   ",Liste(R265:V265),IF(AD266&lt;&gt;"",",",""))</f>
        <v xml:space="preserve">                   (254, 1, '030', '66535220', 1),</v>
      </c>
    </row>
    <row r="266" spans="2:30" x14ac:dyDescent="0.45">
      <c r="B266" s="4">
        <f>Grunddaten!A257</f>
        <v>255</v>
      </c>
      <c r="C266" s="4" t="str">
        <f>CONCATENATE("'",Grunddaten!F257,"'")</f>
        <v>'Dunker'</v>
      </c>
      <c r="D266" s="4" t="str">
        <f>CONCATENATE("'",Grunddaten!E257,"'")</f>
        <v>'Sonja'</v>
      </c>
      <c r="E266" s="4">
        <f>VLOOKUP(Grunddaten!D257,FormOfAddress,2,TRUE)</f>
        <v>2</v>
      </c>
      <c r="F266" s="4">
        <f>VLOOKUP(Grunddaten!I257,FamilyStatus,2,FALSE)</f>
        <v>3</v>
      </c>
      <c r="G266" s="4" t="str">
        <f>IF(Grunddaten!J257&lt;&gt;"",CONCATENATE("'",TEXT(Grunddaten!J257,"JJJJ-MM-tt"),"'"),"NULL")</f>
        <v>'2012-08-17'</v>
      </c>
      <c r="H266" s="4" t="str">
        <f>CONCATENATE("'",TEXT(Grunddaten!G257,"JJJJ-MM-tt"),"'")</f>
        <v>'1978-06-18'</v>
      </c>
      <c r="J266" s="14">
        <f>Grunddaten!A257</f>
        <v>255</v>
      </c>
      <c r="K266" s="14">
        <f>Grunddaten!Y257</f>
        <v>1</v>
      </c>
      <c r="L266" s="14" t="str">
        <f ca="1">CONCATENATE("'",Grunddaten!Z257,"'")</f>
        <v>'14822'</v>
      </c>
      <c r="M266" s="14" t="str">
        <f>CONCATENATE("'",Grunddaten!AA257,"'")</f>
        <v>'Brück'</v>
      </c>
      <c r="N266" s="14" t="str">
        <f>CONCATENATE("'",Grunddaten!AB257,"'")</f>
        <v>'Bahnhofsweg'</v>
      </c>
      <c r="O266" s="14" t="str">
        <f>CONCATENATE("'",Grunddaten!AC257,"'")</f>
        <v>'15'</v>
      </c>
      <c r="P266" s="14">
        <f>Grunddaten!AD257</f>
        <v>1</v>
      </c>
      <c r="R266" s="13">
        <f>Grunddaten!A257</f>
        <v>255</v>
      </c>
      <c r="S266" s="13">
        <f>Grunddaten!AF257</f>
        <v>1</v>
      </c>
      <c r="T266" s="13" t="str">
        <f>CONCATENATE("'",Grunddaten!AG257,"'")</f>
        <v>'033844'</v>
      </c>
      <c r="U266" s="13" t="str">
        <f ca="1">CONCATENATE("'",Grunddaten!AH257,"'")</f>
        <v>'6711'</v>
      </c>
      <c r="V266" s="13">
        <f>Grunddaten!AI257</f>
        <v>1</v>
      </c>
      <c r="Z266" s="2" t="str" cm="1">
        <f t="array" ref="Z266">CONCATENATE("                   ",Liste(B266:H266),IF(Z267&lt;&gt;"",",",""))</f>
        <v xml:space="preserve">                   (255, 'Dunker', 'Sonja', 2, 3, '2012-08-17', '1978-06-18'),</v>
      </c>
      <c r="AB266" s="2" t="str" cm="1">
        <f t="array" aca="1" ref="AB266" ca="1">CONCATENATE("                    ",Liste(J266:P266),IF(AB267&lt;&gt;"",",",""))</f>
        <v xml:space="preserve">                    (255, 1, '14822', 'Brück', 'Bahnhofsweg', '15', 1),</v>
      </c>
      <c r="AD266" s="2" t="str" cm="1">
        <f t="array" aca="1" ref="AD266" ca="1">CONCATENATE("                   ",Liste(R266:V266),IF(AD267&lt;&gt;"",",",""))</f>
        <v xml:space="preserve">                   (255, 1, '033844', '6711', 1),</v>
      </c>
    </row>
    <row r="267" spans="2:30" x14ac:dyDescent="0.45">
      <c r="B267" s="4">
        <f>Grunddaten!A258</f>
        <v>256</v>
      </c>
      <c r="C267" s="4" t="str">
        <f>CONCATENATE("'",Grunddaten!F258,"'")</f>
        <v>'Käser'</v>
      </c>
      <c r="D267" s="4" t="str">
        <f>CONCATENATE("'",Grunddaten!E258,"'")</f>
        <v>'Günter'</v>
      </c>
      <c r="E267" s="4">
        <f>VLOOKUP(Grunddaten!D258,FormOfAddress,2,TRUE)</f>
        <v>1</v>
      </c>
      <c r="F267" s="4">
        <f>VLOOKUP(Grunddaten!I258,FamilyStatus,2,FALSE)</f>
        <v>1</v>
      </c>
      <c r="G267" s="4" t="str">
        <f>IF(Grunddaten!J258&lt;&gt;"",CONCATENATE("'",TEXT(Grunddaten!J258,"JJJJ-MM-tt"),"'"),"NULL")</f>
        <v>NULL</v>
      </c>
      <c r="H267" s="4" t="str">
        <f>CONCATENATE("'",TEXT(Grunddaten!G258,"JJJJ-MM-tt"),"'")</f>
        <v>'2004-03-11'</v>
      </c>
      <c r="J267" s="14">
        <f>Grunddaten!A258</f>
        <v>256</v>
      </c>
      <c r="K267" s="14">
        <f>Grunddaten!Y258</f>
        <v>1</v>
      </c>
      <c r="L267" s="14" t="str">
        <f ca="1">CONCATENATE("'",Grunddaten!Z258,"'")</f>
        <v>'14554'</v>
      </c>
      <c r="M267" s="14" t="str">
        <f>CONCATENATE("'",Grunddaten!AA258,"'")</f>
        <v>'Seddiner See'</v>
      </c>
      <c r="N267" s="14" t="str">
        <f>CONCATENATE("'",Grunddaten!AB258,"'")</f>
        <v>'Schulweg'</v>
      </c>
      <c r="O267" s="14" t="str">
        <f>CONCATENATE("'",Grunddaten!AC258,"'")</f>
        <v>'20'</v>
      </c>
      <c r="P267" s="14">
        <f>Grunddaten!AD258</f>
        <v>1</v>
      </c>
      <c r="R267" s="13">
        <f>Grunddaten!A258</f>
        <v>256</v>
      </c>
      <c r="S267" s="13">
        <f>Grunddaten!AF258</f>
        <v>1</v>
      </c>
      <c r="T267" s="13" t="str">
        <f>CONCATENATE("'",Grunddaten!AG258,"'")</f>
        <v>'033205'</v>
      </c>
      <c r="U267" s="13" t="str">
        <f ca="1">CONCATENATE("'",Grunddaten!AH258,"'")</f>
        <v>'5395'</v>
      </c>
      <c r="V267" s="13">
        <f>Grunddaten!AI258</f>
        <v>1</v>
      </c>
      <c r="Z267" s="2" t="str" cm="1">
        <f t="array" ref="Z267">CONCATENATE("                   ",Liste(B267:H267),IF(Z268&lt;&gt;"",",",""))</f>
        <v xml:space="preserve">                   (256, 'Käser', 'Günter', 1, 1, NULL, '2004-03-11'),</v>
      </c>
      <c r="AB267" s="2" t="str" cm="1">
        <f t="array" aca="1" ref="AB267" ca="1">CONCATENATE("                    ",Liste(J267:P267),IF(AB268&lt;&gt;"",",",""))</f>
        <v xml:space="preserve">                    (256, 1, '14554', 'Seddiner See', 'Schulweg', '20', 1),</v>
      </c>
      <c r="AD267" s="2" t="str" cm="1">
        <f t="array" aca="1" ref="AD267" ca="1">CONCATENATE("                   ",Liste(R267:V267),IF(AD268&lt;&gt;"",",",""))</f>
        <v xml:space="preserve">                   (256, 1, '033205', '5395', 1),</v>
      </c>
    </row>
    <row r="268" spans="2:30" x14ac:dyDescent="0.45">
      <c r="B268" s="4">
        <f>Grunddaten!A259</f>
        <v>257</v>
      </c>
      <c r="C268" s="4" t="str">
        <f>CONCATENATE("'",Grunddaten!F259,"'")</f>
        <v>'Nitsche'</v>
      </c>
      <c r="D268" s="4" t="str">
        <f>CONCATENATE("'",Grunddaten!E259,"'")</f>
        <v>'Urs'</v>
      </c>
      <c r="E268" s="4">
        <f>VLOOKUP(Grunddaten!D259,FormOfAddress,2,TRUE)</f>
        <v>1</v>
      </c>
      <c r="F268" s="4">
        <f>VLOOKUP(Grunddaten!I259,FamilyStatus,2,FALSE)</f>
        <v>2</v>
      </c>
      <c r="G268" s="4" t="str">
        <f>IF(Grunddaten!J259&lt;&gt;"",CONCATENATE("'",TEXT(Grunddaten!J259,"JJJJ-MM-tt"),"'"),"NULL")</f>
        <v>'1990-09-14'</v>
      </c>
      <c r="H268" s="4" t="str">
        <f>CONCATENATE("'",TEXT(Grunddaten!G259,"JJJJ-MM-tt"),"'")</f>
        <v>'1959-01-19'</v>
      </c>
      <c r="J268" s="14">
        <f>Grunddaten!A259</f>
        <v>257</v>
      </c>
      <c r="K268" s="14">
        <f>Grunddaten!Y259</f>
        <v>1</v>
      </c>
      <c r="L268" s="14" t="str">
        <f ca="1">CONCATENATE("'",Grunddaten!Z259,"'")</f>
        <v>'12524'</v>
      </c>
      <c r="M268" s="14" t="str">
        <f>CONCATENATE("'",Grunddaten!AA259,"'")</f>
        <v>'Berlin'</v>
      </c>
      <c r="N268" s="14" t="str">
        <f>CONCATENATE("'",Grunddaten!AB259,"'")</f>
        <v>'Rosenweg'</v>
      </c>
      <c r="O268" s="14" t="str">
        <f>CONCATENATE("'",Grunddaten!AC259,"'")</f>
        <v>'1'</v>
      </c>
      <c r="P268" s="14">
        <f>Grunddaten!AD259</f>
        <v>1</v>
      </c>
      <c r="R268" s="13">
        <f>Grunddaten!A259</f>
        <v>257</v>
      </c>
      <c r="S268" s="13">
        <f>Grunddaten!AF259</f>
        <v>1</v>
      </c>
      <c r="T268" s="13" t="str">
        <f>CONCATENATE("'",Grunddaten!AG259,"'")</f>
        <v>'030'</v>
      </c>
      <c r="U268" s="13" t="str">
        <f ca="1">CONCATENATE("'",Grunddaten!AH259,"'")</f>
        <v>'58353504'</v>
      </c>
      <c r="V268" s="13">
        <f>Grunddaten!AI259</f>
        <v>1</v>
      </c>
      <c r="Z268" s="2" t="str" cm="1">
        <f t="array" ref="Z268">CONCATENATE("                   ",Liste(B268:H268),IF(Z269&lt;&gt;"",",",""))</f>
        <v xml:space="preserve">                   (257, 'Nitsche', 'Urs', 1, 2, '1990-09-14', '1959-01-19'),</v>
      </c>
      <c r="AB268" s="2" t="str" cm="1">
        <f t="array" aca="1" ref="AB268" ca="1">CONCATENATE("                    ",Liste(J268:P268),IF(AB269&lt;&gt;"",",",""))</f>
        <v xml:space="preserve">                    (257, 1, '12524', 'Berlin', 'Rosenweg', '1', 1),</v>
      </c>
      <c r="AD268" s="2" t="str" cm="1">
        <f t="array" aca="1" ref="AD268" ca="1">CONCATENATE("                   ",Liste(R268:V268),IF(AD269&lt;&gt;"",",",""))</f>
        <v xml:space="preserve">                   (257, 1, '030', '58353504', 1),</v>
      </c>
    </row>
    <row r="269" spans="2:30" x14ac:dyDescent="0.45">
      <c r="B269" s="4">
        <f>Grunddaten!A260</f>
        <v>258</v>
      </c>
      <c r="C269" s="4" t="str">
        <f>CONCATENATE("'",Grunddaten!F260,"'")</f>
        <v>'Rath'</v>
      </c>
      <c r="D269" s="4" t="str">
        <f>CONCATENATE("'",Grunddaten!E260,"'")</f>
        <v>'Manfred'</v>
      </c>
      <c r="E269" s="4">
        <f>VLOOKUP(Grunddaten!D260,FormOfAddress,2,TRUE)</f>
        <v>1</v>
      </c>
      <c r="F269" s="4">
        <f>VLOOKUP(Grunddaten!I260,FamilyStatus,2,FALSE)</f>
        <v>1</v>
      </c>
      <c r="G269" s="4" t="str">
        <f>IF(Grunddaten!J260&lt;&gt;"",CONCATENATE("'",TEXT(Grunddaten!J260,"JJJJ-MM-tt"),"'"),"NULL")</f>
        <v>NULL</v>
      </c>
      <c r="H269" s="4" t="str">
        <f>CONCATENATE("'",TEXT(Grunddaten!G260,"JJJJ-MM-tt"),"'")</f>
        <v>'2004-11-30'</v>
      </c>
      <c r="J269" s="14">
        <f>Grunddaten!A260</f>
        <v>258</v>
      </c>
      <c r="K269" s="14">
        <f>Grunddaten!Y260</f>
        <v>1</v>
      </c>
      <c r="L269" s="14" t="str">
        <f ca="1">CONCATENATE("'",Grunddaten!Z260,"'")</f>
        <v>'12247'</v>
      </c>
      <c r="M269" s="14" t="str">
        <f>CONCATENATE("'",Grunddaten!AA260,"'")</f>
        <v>'Berlin'</v>
      </c>
      <c r="N269" s="14" t="str">
        <f>CONCATENATE("'",Grunddaten!AB260,"'")</f>
        <v>'Kastanienweg'</v>
      </c>
      <c r="O269" s="14" t="str">
        <f>CONCATENATE("'",Grunddaten!AC260,"'")</f>
        <v>'21'</v>
      </c>
      <c r="P269" s="14">
        <f>Grunddaten!AD260</f>
        <v>1</v>
      </c>
      <c r="R269" s="13">
        <f>Grunddaten!A260</f>
        <v>258</v>
      </c>
      <c r="S269" s="13">
        <f>Grunddaten!AF260</f>
        <v>1</v>
      </c>
      <c r="T269" s="13" t="str">
        <f>CONCATENATE("'",Grunddaten!AG260,"'")</f>
        <v>'030'</v>
      </c>
      <c r="U269" s="13" t="str">
        <f ca="1">CONCATENATE("'",Grunddaten!AH260,"'")</f>
        <v>'92857998'</v>
      </c>
      <c r="V269" s="13">
        <f>Grunddaten!AI260</f>
        <v>1</v>
      </c>
      <c r="Z269" s="2" t="str" cm="1">
        <f t="array" ref="Z269">CONCATENATE("                   ",Liste(B269:H269),IF(Z270&lt;&gt;"",",",""))</f>
        <v xml:space="preserve">                   (258, 'Rath', 'Manfred', 1, 1, NULL, '2004-11-30'),</v>
      </c>
      <c r="AB269" s="2" t="str" cm="1">
        <f t="array" aca="1" ref="AB269" ca="1">CONCATENATE("                    ",Liste(J269:P269),IF(AB270&lt;&gt;"",",",""))</f>
        <v xml:space="preserve">                    (258, 1, '12247', 'Berlin', 'Kastanienweg', '21', 1),</v>
      </c>
      <c r="AD269" s="2" t="str" cm="1">
        <f t="array" aca="1" ref="AD269" ca="1">CONCATENATE("                   ",Liste(R269:V269),IF(AD270&lt;&gt;"",",",""))</f>
        <v xml:space="preserve">                   (258, 1, '030', '92857998', 1),</v>
      </c>
    </row>
    <row r="270" spans="2:30" x14ac:dyDescent="0.45">
      <c r="B270" s="4">
        <f>Grunddaten!A261</f>
        <v>259</v>
      </c>
      <c r="C270" s="4" t="str">
        <f>CONCATENATE("'",Grunddaten!F261,"'")</f>
        <v>'Hartmann'</v>
      </c>
      <c r="D270" s="4" t="str">
        <f>CONCATENATE("'",Grunddaten!E261,"'")</f>
        <v>'Herbert'</v>
      </c>
      <c r="E270" s="4">
        <f>VLOOKUP(Grunddaten!D261,FormOfAddress,2,TRUE)</f>
        <v>1</v>
      </c>
      <c r="F270" s="4">
        <f>VLOOKUP(Grunddaten!I261,FamilyStatus,2,FALSE)</f>
        <v>3</v>
      </c>
      <c r="G270" s="4" t="str">
        <f>IF(Grunddaten!J261&lt;&gt;"",CONCATENATE("'",TEXT(Grunddaten!J261,"JJJJ-MM-tt"),"'"),"NULL")</f>
        <v>'2024-02-11'</v>
      </c>
      <c r="H270" s="4" t="str">
        <f>CONCATENATE("'",TEXT(Grunddaten!G261,"JJJJ-MM-tt"),"'")</f>
        <v>'1986-04-20'</v>
      </c>
      <c r="J270" s="14">
        <f>Grunddaten!A261</f>
        <v>259</v>
      </c>
      <c r="K270" s="14">
        <f>Grunddaten!Y261</f>
        <v>1</v>
      </c>
      <c r="L270" s="14" t="str">
        <f ca="1">CONCATENATE("'",Grunddaten!Z261,"'")</f>
        <v>'14621'</v>
      </c>
      <c r="M270" s="14" t="str">
        <f>CONCATENATE("'",Grunddaten!AA261,"'")</f>
        <v>'Schönwalde'</v>
      </c>
      <c r="N270" s="14" t="str">
        <f>CONCATENATE("'",Grunddaten!AB261,"'")</f>
        <v>'Columbusweg'</v>
      </c>
      <c r="O270" s="14" t="str">
        <f>CONCATENATE("'",Grunddaten!AC261,"'")</f>
        <v>'9D/E'</v>
      </c>
      <c r="P270" s="14">
        <f>Grunddaten!AD261</f>
        <v>1</v>
      </c>
      <c r="R270" s="13">
        <f>Grunddaten!A261</f>
        <v>259</v>
      </c>
      <c r="S270" s="13">
        <f>Grunddaten!AF261</f>
        <v>1</v>
      </c>
      <c r="T270" s="13" t="str">
        <f>CONCATENATE("'",Grunddaten!AG261,"'")</f>
        <v>'03322'</v>
      </c>
      <c r="U270" s="13" t="str">
        <f ca="1">CONCATENATE("'",Grunddaten!AH261,"'")</f>
        <v>'84874'</v>
      </c>
      <c r="V270" s="13">
        <f>Grunddaten!AI261</f>
        <v>1</v>
      </c>
      <c r="Z270" s="2" t="str" cm="1">
        <f t="array" ref="Z270">CONCATENATE("                   ",Liste(B270:H270),IF(Z271&lt;&gt;"",",",""))</f>
        <v xml:space="preserve">                   (259, 'Hartmann', 'Herbert', 1, 3, '2024-02-11', '1986-04-20'),</v>
      </c>
      <c r="AB270" s="2" t="str" cm="1">
        <f t="array" aca="1" ref="AB270" ca="1">CONCATENATE("                    ",Liste(J270:P270),IF(AB271&lt;&gt;"",",",""))</f>
        <v xml:space="preserve">                    (259, 1, '14621', 'Schönwalde', 'Columbusweg', '9D/E', 1),</v>
      </c>
      <c r="AD270" s="2" t="str" cm="1">
        <f t="array" aca="1" ref="AD270" ca="1">CONCATENATE("                   ",Liste(R270:V270),IF(AD271&lt;&gt;"",",",""))</f>
        <v xml:space="preserve">                   (259, 1, '03322', '84874', 1),</v>
      </c>
    </row>
    <row r="271" spans="2:30" x14ac:dyDescent="0.45">
      <c r="B271" s="4">
        <f>Grunddaten!A262</f>
        <v>260</v>
      </c>
      <c r="C271" s="4" t="str">
        <f>CONCATENATE("'",Grunddaten!F262,"'")</f>
        <v>'Pohl'</v>
      </c>
      <c r="D271" s="4" t="str">
        <f>CONCATENATE("'",Grunddaten!E262,"'")</f>
        <v>'Gerda'</v>
      </c>
      <c r="E271" s="4">
        <f>VLOOKUP(Grunddaten!D262,FormOfAddress,2,TRUE)</f>
        <v>2</v>
      </c>
      <c r="F271" s="4">
        <f>VLOOKUP(Grunddaten!I262,FamilyStatus,2,FALSE)</f>
        <v>2</v>
      </c>
      <c r="G271" s="4" t="str">
        <f>IF(Grunddaten!J262&lt;&gt;"",CONCATENATE("'",TEXT(Grunddaten!J262,"JJJJ-MM-tt"),"'"),"NULL")</f>
        <v>'1984-03-01'</v>
      </c>
      <c r="H271" s="4" t="str">
        <f>CONCATENATE("'",TEXT(Grunddaten!G262,"JJJJ-MM-tt"),"'")</f>
        <v>'1959-05-01'</v>
      </c>
      <c r="J271" s="14">
        <f>Grunddaten!A262</f>
        <v>260</v>
      </c>
      <c r="K271" s="14">
        <f>Grunddaten!Y262</f>
        <v>1</v>
      </c>
      <c r="L271" s="14" t="str">
        <f ca="1">CONCATENATE("'",Grunddaten!Z262,"'")</f>
        <v>'13581'</v>
      </c>
      <c r="M271" s="14" t="str">
        <f>CONCATENATE("'",Grunddaten!AA262,"'")</f>
        <v>'Berlin'</v>
      </c>
      <c r="N271" s="14" t="str">
        <f>CONCATENATE("'",Grunddaten!AB262,"'")</f>
        <v>'Fasanenstraße'</v>
      </c>
      <c r="O271" s="14" t="str">
        <f>CONCATENATE("'",Grunddaten!AC262,"'")</f>
        <v>'48B/C'</v>
      </c>
      <c r="P271" s="14">
        <f>Grunddaten!AD262</f>
        <v>1</v>
      </c>
      <c r="R271" s="13">
        <f>Grunddaten!A262</f>
        <v>260</v>
      </c>
      <c r="S271" s="13">
        <f>Grunddaten!AF262</f>
        <v>1</v>
      </c>
      <c r="T271" s="13" t="str">
        <f>CONCATENATE("'",Grunddaten!AG262,"'")</f>
        <v>'030'</v>
      </c>
      <c r="U271" s="13" t="str">
        <f ca="1">CONCATENATE("'",Grunddaten!AH262,"'")</f>
        <v>'52403034'</v>
      </c>
      <c r="V271" s="13">
        <f>Grunddaten!AI262</f>
        <v>1</v>
      </c>
      <c r="Z271" s="2" t="str" cm="1">
        <f t="array" ref="Z271">CONCATENATE("                   ",Liste(B271:H271),IF(Z272&lt;&gt;"",",",""))</f>
        <v xml:space="preserve">                   (260, 'Pohl', 'Gerda', 2, 2, '1984-03-01', '1959-05-01'),</v>
      </c>
      <c r="AB271" s="2" t="str" cm="1">
        <f t="array" aca="1" ref="AB271" ca="1">CONCATENATE("                    ",Liste(J271:P271),IF(AB272&lt;&gt;"",",",""))</f>
        <v xml:space="preserve">                    (260, 1, '13581', 'Berlin', 'Fasanenstraße', '48B/C', 1),</v>
      </c>
      <c r="AD271" s="2" t="str" cm="1">
        <f t="array" aca="1" ref="AD271" ca="1">CONCATENATE("                   ",Liste(R271:V271),IF(AD272&lt;&gt;"",",",""))</f>
        <v xml:space="preserve">                   (260, 1, '030', '52403034', 1),</v>
      </c>
    </row>
    <row r="272" spans="2:30" x14ac:dyDescent="0.45">
      <c r="B272" s="4">
        <f>Grunddaten!A263</f>
        <v>261</v>
      </c>
      <c r="C272" s="4" t="str">
        <f>CONCATENATE("'",Grunddaten!F263,"'")</f>
        <v>'Reimann'</v>
      </c>
      <c r="D272" s="4" t="str">
        <f>CONCATENATE("'",Grunddaten!E263,"'")</f>
        <v>'Lutz'</v>
      </c>
      <c r="E272" s="4">
        <f>VLOOKUP(Grunddaten!D263,FormOfAddress,2,TRUE)</f>
        <v>1</v>
      </c>
      <c r="F272" s="4">
        <f>VLOOKUP(Grunddaten!I263,FamilyStatus,2,FALSE)</f>
        <v>1</v>
      </c>
      <c r="G272" s="4" t="str">
        <f>IF(Grunddaten!J263&lt;&gt;"",CONCATENATE("'",TEXT(Grunddaten!J263,"JJJJ-MM-tt"),"'"),"NULL")</f>
        <v>NULL</v>
      </c>
      <c r="H272" s="4" t="str">
        <f>CONCATENATE("'",TEXT(Grunddaten!G263,"JJJJ-MM-tt"),"'")</f>
        <v>'1999-10-16'</v>
      </c>
      <c r="J272" s="14">
        <f>Grunddaten!A263</f>
        <v>261</v>
      </c>
      <c r="K272" s="14">
        <f>Grunddaten!Y263</f>
        <v>1</v>
      </c>
      <c r="L272" s="14" t="str">
        <f ca="1">CONCATENATE("'",Grunddaten!Z263,"'")</f>
        <v>'14621'</v>
      </c>
      <c r="M272" s="14" t="str">
        <f>CONCATENATE("'",Grunddaten!AA263,"'")</f>
        <v>'Paaren im Glien'</v>
      </c>
      <c r="N272" s="14" t="str">
        <f>CONCATENATE("'",Grunddaten!AB263,"'")</f>
        <v>'Nairobiweg'</v>
      </c>
      <c r="O272" s="14" t="str">
        <f>CONCATENATE("'",Grunddaten!AC263,"'")</f>
        <v>'19F/G'</v>
      </c>
      <c r="P272" s="14">
        <f>Grunddaten!AD263</f>
        <v>1</v>
      </c>
      <c r="R272" s="13">
        <f>Grunddaten!A263</f>
        <v>261</v>
      </c>
      <c r="S272" s="13">
        <f>Grunddaten!AF263</f>
        <v>1</v>
      </c>
      <c r="T272" s="13" t="str">
        <f>CONCATENATE("'",Grunddaten!AG263,"'")</f>
        <v>'033230'</v>
      </c>
      <c r="U272" s="13" t="str">
        <f ca="1">CONCATENATE("'",Grunddaten!AH263,"'")</f>
        <v>'7143'</v>
      </c>
      <c r="V272" s="13">
        <f>Grunddaten!AI263</f>
        <v>1</v>
      </c>
      <c r="Z272" s="2" t="str" cm="1">
        <f t="array" ref="Z272">CONCATENATE("                   ",Liste(B272:H272),IF(Z273&lt;&gt;"",",",""))</f>
        <v xml:space="preserve">                   (261, 'Reimann', 'Lutz', 1, 1, NULL, '1999-10-16'),</v>
      </c>
      <c r="AB272" s="2" t="str" cm="1">
        <f t="array" aca="1" ref="AB272" ca="1">CONCATENATE("                    ",Liste(J272:P272),IF(AB273&lt;&gt;"",",",""))</f>
        <v xml:space="preserve">                    (261, 1, '14621', 'Paaren im Glien', 'Nairobiweg', '19F/G', 1),</v>
      </c>
      <c r="AD272" s="2" t="str" cm="1">
        <f t="array" aca="1" ref="AD272" ca="1">CONCATENATE("                   ",Liste(R272:V272),IF(AD273&lt;&gt;"",",",""))</f>
        <v xml:space="preserve">                   (261, 1, '033230', '7143', 1),</v>
      </c>
    </row>
    <row r="273" spans="2:30" x14ac:dyDescent="0.45">
      <c r="B273" s="4">
        <f>Grunddaten!A264</f>
        <v>262</v>
      </c>
      <c r="C273" s="4" t="str">
        <f>CONCATENATE("'",Grunddaten!F264,"'")</f>
        <v>'Schmidt'</v>
      </c>
      <c r="D273" s="4" t="str">
        <f>CONCATENATE("'",Grunddaten!E264,"'")</f>
        <v>'Wolfgang'</v>
      </c>
      <c r="E273" s="4">
        <f>VLOOKUP(Grunddaten!D264,FormOfAddress,2,TRUE)</f>
        <v>1</v>
      </c>
      <c r="F273" s="4">
        <f>VLOOKUP(Grunddaten!I264,FamilyStatus,2,FALSE)</f>
        <v>2</v>
      </c>
      <c r="G273" s="4" t="str">
        <f>IF(Grunddaten!J264&lt;&gt;"",CONCATENATE("'",TEXT(Grunddaten!J264,"JJJJ-MM-tt"),"'"),"NULL")</f>
        <v>'2019-07-05'</v>
      </c>
      <c r="H273" s="4" t="str">
        <f>CONCATENATE("'",TEXT(Grunddaten!G264,"JJJJ-MM-tt"),"'")</f>
        <v>'1981-03-10'</v>
      </c>
      <c r="J273" s="14">
        <f>Grunddaten!A264</f>
        <v>262</v>
      </c>
      <c r="K273" s="14">
        <f>Grunddaten!Y264</f>
        <v>1</v>
      </c>
      <c r="L273" s="14" t="str">
        <f ca="1">CONCATENATE("'",Grunddaten!Z264,"'")</f>
        <v>'14542'</v>
      </c>
      <c r="M273" s="14" t="str">
        <f>CONCATENATE("'",Grunddaten!AA264,"'")</f>
        <v>'Werder'</v>
      </c>
      <c r="N273" s="14" t="str">
        <f>CONCATENATE("'",Grunddaten!AB264,"'")</f>
        <v>'Mühlenweg'</v>
      </c>
      <c r="O273" s="14" t="str">
        <f>CONCATENATE("'",Grunddaten!AC264,"'")</f>
        <v>'21'</v>
      </c>
      <c r="P273" s="14">
        <f>Grunddaten!AD264</f>
        <v>1</v>
      </c>
      <c r="R273" s="13">
        <f>Grunddaten!A264</f>
        <v>262</v>
      </c>
      <c r="S273" s="13">
        <f>Grunddaten!AF264</f>
        <v>1</v>
      </c>
      <c r="T273" s="13" t="str">
        <f>CONCATENATE("'",Grunddaten!AG264,"'")</f>
        <v>'033202'</v>
      </c>
      <c r="U273" s="13" t="str">
        <f ca="1">CONCATENATE("'",Grunddaten!AH264,"'")</f>
        <v>'4490'</v>
      </c>
      <c r="V273" s="13">
        <f>Grunddaten!AI264</f>
        <v>1</v>
      </c>
      <c r="Z273" s="2" t="str" cm="1">
        <f t="array" ref="Z273">CONCATENATE("                   ",Liste(B273:H273),IF(Z274&lt;&gt;"",",",""))</f>
        <v xml:space="preserve">                   (262, 'Schmidt', 'Wolfgang', 1, 2, '2019-07-05', '1981-03-10'),</v>
      </c>
      <c r="AB273" s="2" t="str" cm="1">
        <f t="array" aca="1" ref="AB273" ca="1">CONCATENATE("                    ",Liste(J273:P273),IF(AB274&lt;&gt;"",",",""))</f>
        <v xml:space="preserve">                    (262, 1, '14542', 'Werder', 'Mühlenweg', '21', 1),</v>
      </c>
      <c r="AD273" s="2" t="str" cm="1">
        <f t="array" aca="1" ref="AD273" ca="1">CONCATENATE("                   ",Liste(R273:V273),IF(AD274&lt;&gt;"",",",""))</f>
        <v xml:space="preserve">                   (262, 1, '033202', '4490', 1),</v>
      </c>
    </row>
    <row r="274" spans="2:30" x14ac:dyDescent="0.45">
      <c r="B274" s="4">
        <f>Grunddaten!A265</f>
        <v>263</v>
      </c>
      <c r="C274" s="4" t="str">
        <f>CONCATENATE("'",Grunddaten!F265,"'")</f>
        <v>'Dräger'</v>
      </c>
      <c r="D274" s="4" t="str">
        <f>CONCATENATE("'",Grunddaten!E265,"'")</f>
        <v>'Viola'</v>
      </c>
      <c r="E274" s="4">
        <f>VLOOKUP(Grunddaten!D265,FormOfAddress,2,TRUE)</f>
        <v>2</v>
      </c>
      <c r="F274" s="4">
        <f>VLOOKUP(Grunddaten!I265,FamilyStatus,2,FALSE)</f>
        <v>1</v>
      </c>
      <c r="G274" s="4" t="str">
        <f>IF(Grunddaten!J265&lt;&gt;"",CONCATENATE("'",TEXT(Grunddaten!J265,"JJJJ-MM-tt"),"'"),"NULL")</f>
        <v>NULL</v>
      </c>
      <c r="H274" s="4" t="str">
        <f>CONCATENATE("'",TEXT(Grunddaten!G265,"JJJJ-MM-tt"),"'")</f>
        <v>'2002-01-15'</v>
      </c>
      <c r="J274" s="14">
        <f>Grunddaten!A265</f>
        <v>263</v>
      </c>
      <c r="K274" s="14">
        <f>Grunddaten!Y265</f>
        <v>1</v>
      </c>
      <c r="L274" s="14" t="str">
        <f ca="1">CONCATENATE("'",Grunddaten!Z265,"'")</f>
        <v>'13435'</v>
      </c>
      <c r="M274" s="14" t="str">
        <f>CONCATENATE("'",Grunddaten!AA265,"'")</f>
        <v>'Berlin'</v>
      </c>
      <c r="N274" s="14" t="str">
        <f>CONCATENATE("'",Grunddaten!AB265,"'")</f>
        <v>'Limastraße'</v>
      </c>
      <c r="O274" s="14" t="str">
        <f>CONCATENATE("'",Grunddaten!AC265,"'")</f>
        <v>'15C/D'</v>
      </c>
      <c r="P274" s="14">
        <f>Grunddaten!AD265</f>
        <v>1</v>
      </c>
      <c r="R274" s="13">
        <f>Grunddaten!A265</f>
        <v>263</v>
      </c>
      <c r="S274" s="13">
        <f>Grunddaten!AF265</f>
        <v>1</v>
      </c>
      <c r="T274" s="13" t="str">
        <f>CONCATENATE("'",Grunddaten!AG265,"'")</f>
        <v>'030'</v>
      </c>
      <c r="U274" s="13" t="str">
        <f ca="1">CONCATENATE("'",Grunddaten!AH265,"'")</f>
        <v>'47684578'</v>
      </c>
      <c r="V274" s="13">
        <f>Grunddaten!AI265</f>
        <v>1</v>
      </c>
      <c r="Z274" s="2" t="str" cm="1">
        <f t="array" ref="Z274">CONCATENATE("                   ",Liste(B274:H274),IF(Z275&lt;&gt;"",",",""))</f>
        <v xml:space="preserve">                   (263, 'Dräger', 'Viola', 2, 1, NULL, '2002-01-15'),</v>
      </c>
      <c r="AB274" s="2" t="str" cm="1">
        <f t="array" aca="1" ref="AB274" ca="1">CONCATENATE("                    ",Liste(J274:P274),IF(AB275&lt;&gt;"",",",""))</f>
        <v xml:space="preserve">                    (263, 1, '13435', 'Berlin', 'Limastraße', '15C/D', 1),</v>
      </c>
      <c r="AD274" s="2" t="str" cm="1">
        <f t="array" aca="1" ref="AD274" ca="1">CONCATENATE("                   ",Liste(R274:V274),IF(AD275&lt;&gt;"",",",""))</f>
        <v xml:space="preserve">                   (263, 1, '030', '47684578', 1),</v>
      </c>
    </row>
    <row r="275" spans="2:30" x14ac:dyDescent="0.45">
      <c r="B275" s="4">
        <f>Grunddaten!A266</f>
        <v>264</v>
      </c>
      <c r="C275" s="4" t="str">
        <f>CONCATENATE("'",Grunddaten!F266,"'")</f>
        <v>'Schöning'</v>
      </c>
      <c r="D275" s="4" t="str">
        <f>CONCATENATE("'",Grunddaten!E266,"'")</f>
        <v>'Walter'</v>
      </c>
      <c r="E275" s="4">
        <f>VLOOKUP(Grunddaten!D266,FormOfAddress,2,TRUE)</f>
        <v>1</v>
      </c>
      <c r="F275" s="4">
        <f>VLOOKUP(Grunddaten!I266,FamilyStatus,2,FALSE)</f>
        <v>2</v>
      </c>
      <c r="G275" s="4" t="str">
        <f>IF(Grunddaten!J266&lt;&gt;"",CONCATENATE("'",TEXT(Grunddaten!J266,"JJJJ-MM-tt"),"'"),"NULL")</f>
        <v>'2009-11-01'</v>
      </c>
      <c r="H275" s="4" t="str">
        <f>CONCATENATE("'",TEXT(Grunddaten!G266,"JJJJ-MM-tt"),"'")</f>
        <v>'1974-10-16'</v>
      </c>
      <c r="J275" s="14">
        <f>Grunddaten!A266</f>
        <v>264</v>
      </c>
      <c r="K275" s="14">
        <f>Grunddaten!Y266</f>
        <v>1</v>
      </c>
      <c r="L275" s="14" t="str">
        <f ca="1">CONCATENATE("'",Grunddaten!Z266,"'")</f>
        <v>'14621'</v>
      </c>
      <c r="M275" s="14" t="str">
        <f>CONCATENATE("'",Grunddaten!AA266,"'")</f>
        <v>'Paaren im Glien'</v>
      </c>
      <c r="N275" s="14" t="str">
        <f>CONCATENATE("'",Grunddaten!AB266,"'")</f>
        <v>'Weidengasse'</v>
      </c>
      <c r="O275" s="14" t="str">
        <f>CONCATENATE("'",Grunddaten!AC266,"'")</f>
        <v>'15B'</v>
      </c>
      <c r="P275" s="14">
        <f>Grunddaten!AD266</f>
        <v>1</v>
      </c>
      <c r="R275" s="13">
        <f>Grunddaten!A266</f>
        <v>264</v>
      </c>
      <c r="S275" s="13">
        <f>Grunddaten!AF266</f>
        <v>1</v>
      </c>
      <c r="T275" s="13" t="str">
        <f>CONCATENATE("'",Grunddaten!AG266,"'")</f>
        <v>'033230'</v>
      </c>
      <c r="U275" s="13" t="str">
        <f ca="1">CONCATENATE("'",Grunddaten!AH266,"'")</f>
        <v>'6845'</v>
      </c>
      <c r="V275" s="13">
        <f>Grunddaten!AI266</f>
        <v>1</v>
      </c>
      <c r="Z275" s="2" t="str" cm="1">
        <f t="array" ref="Z275">CONCATENATE("                   ",Liste(B275:H275),IF(Z276&lt;&gt;"",",",""))</f>
        <v xml:space="preserve">                   (264, 'Schöning', 'Walter', 1, 2, '2009-11-01', '1974-10-16'),</v>
      </c>
      <c r="AB275" s="2" t="str" cm="1">
        <f t="array" aca="1" ref="AB275" ca="1">CONCATENATE("                    ",Liste(J275:P275),IF(AB276&lt;&gt;"",",",""))</f>
        <v xml:space="preserve">                    (264, 1, '14621', 'Paaren im Glien', 'Weidengasse', '15B', 1),</v>
      </c>
      <c r="AD275" s="2" t="str" cm="1">
        <f t="array" aca="1" ref="AD275" ca="1">CONCATENATE("                   ",Liste(R275:V275),IF(AD276&lt;&gt;"",",",""))</f>
        <v xml:space="preserve">                   (264, 1, '033230', '6845', 1),</v>
      </c>
    </row>
    <row r="276" spans="2:30" x14ac:dyDescent="0.45">
      <c r="B276" s="4">
        <f>Grunddaten!A267</f>
        <v>265</v>
      </c>
      <c r="C276" s="4" t="str">
        <f>CONCATENATE("'",Grunddaten!F267,"'")</f>
        <v>'Hirschmann'</v>
      </c>
      <c r="D276" s="4" t="str">
        <f>CONCATENATE("'",Grunddaten!E267,"'")</f>
        <v>'Brigitte'</v>
      </c>
      <c r="E276" s="4">
        <f>VLOOKUP(Grunddaten!D267,FormOfAddress,2,TRUE)</f>
        <v>2</v>
      </c>
      <c r="F276" s="4">
        <f>VLOOKUP(Grunddaten!I267,FamilyStatus,2,FALSE)</f>
        <v>2</v>
      </c>
      <c r="G276" s="4" t="str">
        <f>IF(Grunddaten!J267&lt;&gt;"",CONCATENATE("'",TEXT(Grunddaten!J267,"JJJJ-MM-tt"),"'"),"NULL")</f>
        <v>'2000-05-28'</v>
      </c>
      <c r="H276" s="4" t="str">
        <f>CONCATENATE("'",TEXT(Grunddaten!G267,"JJJJ-MM-tt"),"'")</f>
        <v>'1971-06-22'</v>
      </c>
      <c r="J276" s="14">
        <f>Grunddaten!A267</f>
        <v>265</v>
      </c>
      <c r="K276" s="14">
        <f>Grunddaten!Y267</f>
        <v>1</v>
      </c>
      <c r="L276" s="14" t="str">
        <f ca="1">CONCATENATE("'",Grunddaten!Z267,"'")</f>
        <v>'10623'</v>
      </c>
      <c r="M276" s="14" t="str">
        <f>CONCATENATE("'",Grunddaten!AA267,"'")</f>
        <v>'Berlin'</v>
      </c>
      <c r="N276" s="14" t="str">
        <f>CONCATENATE("'",Grunddaten!AB267,"'")</f>
        <v>'Rosenweg'</v>
      </c>
      <c r="O276" s="14" t="str">
        <f>CONCATENATE("'",Grunddaten!AC267,"'")</f>
        <v>'4F'</v>
      </c>
      <c r="P276" s="14">
        <f>Grunddaten!AD267</f>
        <v>1</v>
      </c>
      <c r="R276" s="13">
        <f>Grunddaten!A267</f>
        <v>265</v>
      </c>
      <c r="S276" s="13">
        <f>Grunddaten!AF267</f>
        <v>1</v>
      </c>
      <c r="T276" s="13" t="str">
        <f>CONCATENATE("'",Grunddaten!AG267,"'")</f>
        <v>'030'</v>
      </c>
      <c r="U276" s="13" t="str">
        <f ca="1">CONCATENATE("'",Grunddaten!AH267,"'")</f>
        <v>'47205256'</v>
      </c>
      <c r="V276" s="13">
        <f>Grunddaten!AI267</f>
        <v>1</v>
      </c>
      <c r="Z276" s="2" t="str" cm="1">
        <f t="array" ref="Z276">CONCATENATE("                   ",Liste(B276:H276),IF(Z277&lt;&gt;"",",",""))</f>
        <v xml:space="preserve">                   (265, 'Hirschmann', 'Brigitte', 2, 2, '2000-05-28', '1971-06-22'),</v>
      </c>
      <c r="AB276" s="2" t="str" cm="1">
        <f t="array" aca="1" ref="AB276" ca="1">CONCATENATE("                    ",Liste(J276:P276),IF(AB277&lt;&gt;"",",",""))</f>
        <v xml:space="preserve">                    (265, 1, '10623', 'Berlin', 'Rosenweg', '4F', 1),</v>
      </c>
      <c r="AD276" s="2" t="str" cm="1">
        <f t="array" aca="1" ref="AD276" ca="1">CONCATENATE("                   ",Liste(R276:V276),IF(AD277&lt;&gt;"",",",""))</f>
        <v xml:space="preserve">                   (265, 1, '030', '47205256', 1),</v>
      </c>
    </row>
    <row r="277" spans="2:30" x14ac:dyDescent="0.45">
      <c r="B277" s="4">
        <f>Grunddaten!A268</f>
        <v>266</v>
      </c>
      <c r="C277" s="4" t="str">
        <f>CONCATENATE("'",Grunddaten!F268,"'")</f>
        <v>'Schümann'</v>
      </c>
      <c r="D277" s="4" t="str">
        <f>CONCATENATE("'",Grunddaten!E268,"'")</f>
        <v>'Marie'</v>
      </c>
      <c r="E277" s="4">
        <f>VLOOKUP(Grunddaten!D268,FormOfAddress,2,TRUE)</f>
        <v>2</v>
      </c>
      <c r="F277" s="4">
        <f>VLOOKUP(Grunddaten!I268,FamilyStatus,2,FALSE)</f>
        <v>2</v>
      </c>
      <c r="G277" s="4" t="str">
        <f>IF(Grunddaten!J268&lt;&gt;"",CONCATENATE("'",TEXT(Grunddaten!J268,"JJJJ-MM-tt"),"'"),"NULL")</f>
        <v>'2005-06-29'</v>
      </c>
      <c r="H277" s="4" t="str">
        <f>CONCATENATE("'",TEXT(Grunddaten!G268,"JJJJ-MM-tt"),"'")</f>
        <v>'1970-10-18'</v>
      </c>
      <c r="J277" s="14">
        <f>Grunddaten!A268</f>
        <v>266</v>
      </c>
      <c r="K277" s="14">
        <f>Grunddaten!Y268</f>
        <v>1</v>
      </c>
      <c r="L277" s="14" t="str">
        <f ca="1">CONCATENATE("'",Grunddaten!Z268,"'")</f>
        <v>'10585'</v>
      </c>
      <c r="M277" s="14" t="str">
        <f>CONCATENATE("'",Grunddaten!AA268,"'")</f>
        <v>'Berlin'</v>
      </c>
      <c r="N277" s="14" t="str">
        <f>CONCATENATE("'",Grunddaten!AB268,"'")</f>
        <v>'Robert-Schumann-Straße'</v>
      </c>
      <c r="O277" s="14" t="str">
        <f>CONCATENATE("'",Grunddaten!AC268,"'")</f>
        <v>'88'</v>
      </c>
      <c r="P277" s="14">
        <f>Grunddaten!AD268</f>
        <v>1</v>
      </c>
      <c r="R277" s="13">
        <f>Grunddaten!A268</f>
        <v>266</v>
      </c>
      <c r="S277" s="13">
        <f>Grunddaten!AF268</f>
        <v>1</v>
      </c>
      <c r="T277" s="13" t="str">
        <f>CONCATENATE("'",Grunddaten!AG268,"'")</f>
        <v>'030'</v>
      </c>
      <c r="U277" s="13" t="str">
        <f ca="1">CONCATENATE("'",Grunddaten!AH268,"'")</f>
        <v>'95898094'</v>
      </c>
      <c r="V277" s="13">
        <f>Grunddaten!AI268</f>
        <v>1</v>
      </c>
      <c r="Z277" s="2" t="str" cm="1">
        <f t="array" ref="Z277">CONCATENATE("                   ",Liste(B277:H277),IF(Z278&lt;&gt;"",",",""))</f>
        <v xml:space="preserve">                   (266, 'Schümann', 'Marie', 2, 2, '2005-06-29', '1970-10-18'),</v>
      </c>
      <c r="AB277" s="2" t="str" cm="1">
        <f t="array" aca="1" ref="AB277" ca="1">CONCATENATE("                    ",Liste(J277:P277),IF(AB278&lt;&gt;"",",",""))</f>
        <v xml:space="preserve">                    (266, 1, '10585', 'Berlin', 'Robert-Schumann-Straße', '88', 1),</v>
      </c>
      <c r="AD277" s="2" t="str" cm="1">
        <f t="array" aca="1" ref="AD277" ca="1">CONCATENATE("                   ",Liste(R277:V277),IF(AD278&lt;&gt;"",",",""))</f>
        <v xml:space="preserve">                   (266, 1, '030', '95898094', 1),</v>
      </c>
    </row>
    <row r="278" spans="2:30" x14ac:dyDescent="0.45">
      <c r="B278" s="4">
        <f>Grunddaten!A269</f>
        <v>267</v>
      </c>
      <c r="C278" s="4" t="str">
        <f>CONCATENATE("'",Grunddaten!F269,"'")</f>
        <v>'Wagner'</v>
      </c>
      <c r="D278" s="4" t="str">
        <f>CONCATENATE("'",Grunddaten!E269,"'")</f>
        <v>'Otto'</v>
      </c>
      <c r="E278" s="4">
        <f>VLOOKUP(Grunddaten!D269,FormOfAddress,2,TRUE)</f>
        <v>1</v>
      </c>
      <c r="F278" s="4">
        <f>VLOOKUP(Grunddaten!I269,FamilyStatus,2,FALSE)</f>
        <v>3</v>
      </c>
      <c r="G278" s="4" t="str">
        <f>IF(Grunddaten!J269&lt;&gt;"",CONCATENATE("'",TEXT(Grunddaten!J269,"JJJJ-MM-tt"),"'"),"NULL")</f>
        <v>'2023-01-06'</v>
      </c>
      <c r="H278" s="4" t="str">
        <f>CONCATENATE("'",TEXT(Grunddaten!G269,"JJJJ-MM-tt"),"'")</f>
        <v>'1984-03-29'</v>
      </c>
      <c r="J278" s="14">
        <f>Grunddaten!A269</f>
        <v>267</v>
      </c>
      <c r="K278" s="14">
        <f>Grunddaten!Y269</f>
        <v>1</v>
      </c>
      <c r="L278" s="14" t="str">
        <f ca="1">CONCATENATE("'",Grunddaten!Z269,"'")</f>
        <v>'13597'</v>
      </c>
      <c r="M278" s="14" t="str">
        <f>CONCATENATE("'",Grunddaten!AA269,"'")</f>
        <v>'Berlin'</v>
      </c>
      <c r="N278" s="14" t="str">
        <f>CONCATENATE("'",Grunddaten!AB269,"'")</f>
        <v>'Louisvillestraße'</v>
      </c>
      <c r="O278" s="14" t="str">
        <f>CONCATENATE("'",Grunddaten!AC269,"'")</f>
        <v>'10D'</v>
      </c>
      <c r="P278" s="14">
        <f>Grunddaten!AD269</f>
        <v>1</v>
      </c>
      <c r="R278" s="13">
        <f>Grunddaten!A269</f>
        <v>267</v>
      </c>
      <c r="S278" s="13">
        <f>Grunddaten!AF269</f>
        <v>1</v>
      </c>
      <c r="T278" s="13" t="str">
        <f>CONCATENATE("'",Grunddaten!AG269,"'")</f>
        <v>'030'</v>
      </c>
      <c r="U278" s="13" t="str">
        <f ca="1">CONCATENATE("'",Grunddaten!AH269,"'")</f>
        <v>'53633575'</v>
      </c>
      <c r="V278" s="13">
        <f>Grunddaten!AI269</f>
        <v>1</v>
      </c>
      <c r="Z278" s="2" t="str" cm="1">
        <f t="array" ref="Z278">CONCATENATE("                   ",Liste(B278:H278),IF(Z279&lt;&gt;"",",",""))</f>
        <v xml:space="preserve">                   (267, 'Wagner', 'Otto', 1, 3, '2023-01-06', '1984-03-29'),</v>
      </c>
      <c r="AB278" s="2" t="str" cm="1">
        <f t="array" aca="1" ref="AB278" ca="1">CONCATENATE("                    ",Liste(J278:P278),IF(AB279&lt;&gt;"",",",""))</f>
        <v xml:space="preserve">                    (267, 1, '13597', 'Berlin', 'Louisvillestraße', '10D', 1),</v>
      </c>
      <c r="AD278" s="2" t="str" cm="1">
        <f t="array" aca="1" ref="AD278" ca="1">CONCATENATE("                   ",Liste(R278:V278),IF(AD279&lt;&gt;"",",",""))</f>
        <v xml:space="preserve">                   (267, 1, '030', '53633575', 1),</v>
      </c>
    </row>
    <row r="279" spans="2:30" x14ac:dyDescent="0.45">
      <c r="B279" s="4">
        <f>Grunddaten!A270</f>
        <v>268</v>
      </c>
      <c r="C279" s="4" t="str">
        <f>CONCATENATE("'",Grunddaten!F270,"'")</f>
        <v>'Rettig'</v>
      </c>
      <c r="D279" s="4" t="str">
        <f>CONCATENATE("'",Grunddaten!E270,"'")</f>
        <v>'Ursela'</v>
      </c>
      <c r="E279" s="4">
        <f>VLOOKUP(Grunddaten!D270,FormOfAddress,2,TRUE)</f>
        <v>2</v>
      </c>
      <c r="F279" s="4">
        <f>VLOOKUP(Grunddaten!I270,FamilyStatus,2,FALSE)</f>
        <v>1</v>
      </c>
      <c r="G279" s="4" t="str">
        <f>IF(Grunddaten!J270&lt;&gt;"",CONCATENATE("'",TEXT(Grunddaten!J270,"JJJJ-MM-tt"),"'"),"NULL")</f>
        <v>NULL</v>
      </c>
      <c r="H279" s="4" t="str">
        <f>CONCATENATE("'",TEXT(Grunddaten!G270,"JJJJ-MM-tt"),"'")</f>
        <v>'1990-10-25'</v>
      </c>
      <c r="J279" s="14">
        <f>Grunddaten!A270</f>
        <v>268</v>
      </c>
      <c r="K279" s="14">
        <f>Grunddaten!Y270</f>
        <v>1</v>
      </c>
      <c r="L279" s="14" t="str">
        <f ca="1">CONCATENATE("'",Grunddaten!Z270,"'")</f>
        <v>'13597'</v>
      </c>
      <c r="M279" s="14" t="str">
        <f>CONCATENATE("'",Grunddaten!AA270,"'")</f>
        <v>'Berlin'</v>
      </c>
      <c r="N279" s="14" t="str">
        <f>CONCATENATE("'",Grunddaten!AB270,"'")</f>
        <v>'New-Orleans-Allee'</v>
      </c>
      <c r="O279" s="14" t="str">
        <f>CONCATENATE("'",Grunddaten!AC270,"'")</f>
        <v>'20D'</v>
      </c>
      <c r="P279" s="14">
        <f>Grunddaten!AD270</f>
        <v>1</v>
      </c>
      <c r="R279" s="13">
        <f>Grunddaten!A270</f>
        <v>268</v>
      </c>
      <c r="S279" s="13">
        <f>Grunddaten!AF270</f>
        <v>1</v>
      </c>
      <c r="T279" s="13" t="str">
        <f>CONCATENATE("'",Grunddaten!AG270,"'")</f>
        <v>'030'</v>
      </c>
      <c r="U279" s="13" t="str">
        <f ca="1">CONCATENATE("'",Grunddaten!AH270,"'")</f>
        <v>'75881972'</v>
      </c>
      <c r="V279" s="13">
        <f>Grunddaten!AI270</f>
        <v>1</v>
      </c>
      <c r="Z279" s="2" t="str" cm="1">
        <f t="array" ref="Z279">CONCATENATE("                   ",Liste(B279:H279),IF(Z280&lt;&gt;"",",",""))</f>
        <v xml:space="preserve">                   (268, 'Rettig', 'Ursela', 2, 1, NULL, '1990-10-25'),</v>
      </c>
      <c r="AB279" s="2" t="str" cm="1">
        <f t="array" aca="1" ref="AB279" ca="1">CONCATENATE("                    ",Liste(J279:P279),IF(AB280&lt;&gt;"",",",""))</f>
        <v xml:space="preserve">                    (268, 1, '13597', 'Berlin', 'New-Orleans-Allee', '20D', 1),</v>
      </c>
      <c r="AD279" s="2" t="str" cm="1">
        <f t="array" aca="1" ref="AD279" ca="1">CONCATENATE("                   ",Liste(R279:V279),IF(AD280&lt;&gt;"",",",""))</f>
        <v xml:space="preserve">                   (268, 1, '030', '75881972', 1),</v>
      </c>
    </row>
    <row r="280" spans="2:30" x14ac:dyDescent="0.45">
      <c r="B280" s="4">
        <f>Grunddaten!A271</f>
        <v>269</v>
      </c>
      <c r="C280" s="4" t="str">
        <f>CONCATENATE("'",Grunddaten!F271,"'")</f>
        <v>'Baumgardt'</v>
      </c>
      <c r="D280" s="4" t="str">
        <f>CONCATENATE("'",Grunddaten!E271,"'")</f>
        <v>'Reinhard'</v>
      </c>
      <c r="E280" s="4">
        <f>VLOOKUP(Grunddaten!D271,FormOfAddress,2,TRUE)</f>
        <v>1</v>
      </c>
      <c r="F280" s="4">
        <f>VLOOKUP(Grunddaten!I271,FamilyStatus,2,FALSE)</f>
        <v>2</v>
      </c>
      <c r="G280" s="4" t="str">
        <f>IF(Grunddaten!J271&lt;&gt;"",CONCATENATE("'",TEXT(Grunddaten!J271,"JJJJ-MM-tt"),"'"),"NULL")</f>
        <v>'2030-10-18'</v>
      </c>
      <c r="H280" s="4" t="str">
        <f>CONCATENATE("'",TEXT(Grunddaten!G271,"JJJJ-MM-tt"),"'")</f>
        <v>'1991-01-11'</v>
      </c>
      <c r="J280" s="14">
        <f>Grunddaten!A271</f>
        <v>269</v>
      </c>
      <c r="K280" s="14">
        <f>Grunddaten!Y271</f>
        <v>1</v>
      </c>
      <c r="L280" s="14" t="str">
        <f ca="1">CONCATENATE("'",Grunddaten!Z271,"'")</f>
        <v>'13597'</v>
      </c>
      <c r="M280" s="14" t="str">
        <f>CONCATENATE("'",Grunddaten!AA271,"'")</f>
        <v>'Berlin'</v>
      </c>
      <c r="N280" s="14" t="str">
        <f>CONCATENATE("'",Grunddaten!AB271,"'")</f>
        <v>'Pekingweg'</v>
      </c>
      <c r="O280" s="14" t="str">
        <f>CONCATENATE("'",Grunddaten!AC271,"'")</f>
        <v>'27'</v>
      </c>
      <c r="P280" s="14">
        <f>Grunddaten!AD271</f>
        <v>1</v>
      </c>
      <c r="R280" s="13">
        <f>Grunddaten!A271</f>
        <v>269</v>
      </c>
      <c r="S280" s="13">
        <f>Grunddaten!AF271</f>
        <v>1</v>
      </c>
      <c r="T280" s="13" t="str">
        <f>CONCATENATE("'",Grunddaten!AG271,"'")</f>
        <v>'030'</v>
      </c>
      <c r="U280" s="13" t="str">
        <f ca="1">CONCATENATE("'",Grunddaten!AH271,"'")</f>
        <v>'88107909'</v>
      </c>
      <c r="V280" s="13">
        <f>Grunddaten!AI271</f>
        <v>1</v>
      </c>
      <c r="Z280" s="2" t="str" cm="1">
        <f t="array" ref="Z280">CONCATENATE("                   ",Liste(B280:H280),IF(Z281&lt;&gt;"",",",""))</f>
        <v xml:space="preserve">                   (269, 'Baumgardt', 'Reinhard', 1, 2, '2030-10-18', '1991-01-11'),</v>
      </c>
      <c r="AB280" s="2" t="str" cm="1">
        <f t="array" aca="1" ref="AB280" ca="1">CONCATENATE("                    ",Liste(J280:P280),IF(AB281&lt;&gt;"",",",""))</f>
        <v xml:space="preserve">                    (269, 1, '13597', 'Berlin', 'Pekingweg', '27', 1),</v>
      </c>
      <c r="AD280" s="2" t="str" cm="1">
        <f t="array" aca="1" ref="AD280" ca="1">CONCATENATE("                   ",Liste(R280:V280),IF(AD281&lt;&gt;"",",",""))</f>
        <v xml:space="preserve">                   (269, 1, '030', '88107909', 1),</v>
      </c>
    </row>
    <row r="281" spans="2:30" x14ac:dyDescent="0.45">
      <c r="B281" s="4">
        <f>Grunddaten!A272</f>
        <v>270</v>
      </c>
      <c r="C281" s="4" t="str">
        <f>CONCATENATE("'",Grunddaten!F272,"'")</f>
        <v>'Peter'</v>
      </c>
      <c r="D281" s="4" t="str">
        <f>CONCATENATE("'",Grunddaten!E272,"'")</f>
        <v>'Ines'</v>
      </c>
      <c r="E281" s="4">
        <f>VLOOKUP(Grunddaten!D272,FormOfAddress,2,TRUE)</f>
        <v>2</v>
      </c>
      <c r="F281" s="4">
        <f>VLOOKUP(Grunddaten!I272,FamilyStatus,2,FALSE)</f>
        <v>3</v>
      </c>
      <c r="G281" s="4" t="str">
        <f>IF(Grunddaten!J272&lt;&gt;"",CONCATENATE("'",TEXT(Grunddaten!J272,"JJJJ-MM-tt"),"'"),"NULL")</f>
        <v>'1998-02-16'</v>
      </c>
      <c r="H281" s="4" t="str">
        <f>CONCATENATE("'",TEXT(Grunddaten!G272,"JJJJ-MM-tt"),"'")</f>
        <v>'1956-09-27'</v>
      </c>
      <c r="J281" s="14">
        <f>Grunddaten!A272</f>
        <v>270</v>
      </c>
      <c r="K281" s="14">
        <f>Grunddaten!Y272</f>
        <v>1</v>
      </c>
      <c r="L281" s="14" t="str">
        <f ca="1">CONCATENATE("'",Grunddaten!Z272,"'")</f>
        <v>'14624'</v>
      </c>
      <c r="M281" s="14" t="str">
        <f>CONCATENATE("'",Grunddaten!AA272,"'")</f>
        <v>'Seeburg'</v>
      </c>
      <c r="N281" s="14" t="str">
        <f>CONCATENATE("'",Grunddaten!AB272,"'")</f>
        <v>'Wiesenweg'</v>
      </c>
      <c r="O281" s="14" t="str">
        <f>CONCATENATE("'",Grunddaten!AC272,"'")</f>
        <v>'22'</v>
      </c>
      <c r="P281" s="14">
        <f>Grunddaten!AD272</f>
        <v>1</v>
      </c>
      <c r="R281" s="13">
        <f>Grunddaten!A272</f>
        <v>270</v>
      </c>
      <c r="S281" s="13">
        <f>Grunddaten!AF272</f>
        <v>1</v>
      </c>
      <c r="T281" s="13" t="str">
        <f>CONCATENATE("'",Grunddaten!AG272,"'")</f>
        <v>'03322'</v>
      </c>
      <c r="U281" s="13" t="str">
        <f ca="1">CONCATENATE("'",Grunddaten!AH272,"'")</f>
        <v>'72517'</v>
      </c>
      <c r="V281" s="13">
        <f>Grunddaten!AI272</f>
        <v>1</v>
      </c>
      <c r="Z281" s="2" t="str" cm="1">
        <f t="array" ref="Z281">CONCATENATE("                   ",Liste(B281:H281),IF(Z282&lt;&gt;"",",",""))</f>
        <v xml:space="preserve">                   (270, 'Peter', 'Ines', 2, 3, '1998-02-16', '1956-09-27'),</v>
      </c>
      <c r="AB281" s="2" t="str" cm="1">
        <f t="array" aca="1" ref="AB281" ca="1">CONCATENATE("                    ",Liste(J281:P281),IF(AB282&lt;&gt;"",",",""))</f>
        <v xml:space="preserve">                    (270, 1, '14624', 'Seeburg', 'Wiesenweg', '22', 1),</v>
      </c>
      <c r="AD281" s="2" t="str" cm="1">
        <f t="array" aca="1" ref="AD281" ca="1">CONCATENATE("                   ",Liste(R281:V281),IF(AD282&lt;&gt;"",",",""))</f>
        <v xml:space="preserve">                   (270, 1, '03322', '72517', 1),</v>
      </c>
    </row>
    <row r="282" spans="2:30" x14ac:dyDescent="0.45">
      <c r="B282" s="4">
        <f>Grunddaten!A273</f>
        <v>271</v>
      </c>
      <c r="C282" s="4" t="str">
        <f>CONCATENATE("'",Grunddaten!F273,"'")</f>
        <v>'Born'</v>
      </c>
      <c r="D282" s="4" t="str">
        <f>CONCATENATE("'",Grunddaten!E273,"'")</f>
        <v>'Michael'</v>
      </c>
      <c r="E282" s="4">
        <f>VLOOKUP(Grunddaten!D273,FormOfAddress,2,TRUE)</f>
        <v>1</v>
      </c>
      <c r="F282" s="4">
        <f>VLOOKUP(Grunddaten!I273,FamilyStatus,2,FALSE)</f>
        <v>1</v>
      </c>
      <c r="G282" s="4" t="str">
        <f>IF(Grunddaten!J273&lt;&gt;"",CONCATENATE("'",TEXT(Grunddaten!J273,"JJJJ-MM-tt"),"'"),"NULL")</f>
        <v>NULL</v>
      </c>
      <c r="H282" s="4" t="str">
        <f>CONCATENATE("'",TEXT(Grunddaten!G273,"JJJJ-MM-tt"),"'")</f>
        <v>'1994-06-28'</v>
      </c>
      <c r="J282" s="14">
        <f>Grunddaten!A273</f>
        <v>271</v>
      </c>
      <c r="K282" s="14">
        <f>Grunddaten!Y273</f>
        <v>1</v>
      </c>
      <c r="L282" s="14" t="str">
        <f ca="1">CONCATENATE("'",Grunddaten!Z273,"'")</f>
        <v>'13597'</v>
      </c>
      <c r="M282" s="14" t="str">
        <f>CONCATENATE("'",Grunddaten!AA273,"'")</f>
        <v>'Berlin'</v>
      </c>
      <c r="N282" s="14" t="str">
        <f>CONCATENATE("'",Grunddaten!AB273,"'")</f>
        <v>'Pittsburghplatz'</v>
      </c>
      <c r="O282" s="14" t="str">
        <f>CONCATENATE("'",Grunddaten!AC273,"'")</f>
        <v>'12'</v>
      </c>
      <c r="P282" s="14">
        <f>Grunddaten!AD273</f>
        <v>1</v>
      </c>
      <c r="R282" s="13">
        <f>Grunddaten!A273</f>
        <v>271</v>
      </c>
      <c r="S282" s="13">
        <f>Grunddaten!AF273</f>
        <v>1</v>
      </c>
      <c r="T282" s="13" t="str">
        <f>CONCATENATE("'",Grunddaten!AG273,"'")</f>
        <v>'030'</v>
      </c>
      <c r="U282" s="13" t="str">
        <f ca="1">CONCATENATE("'",Grunddaten!AH273,"'")</f>
        <v>'81506252'</v>
      </c>
      <c r="V282" s="13">
        <f>Grunddaten!AI273</f>
        <v>1</v>
      </c>
      <c r="Z282" s="2" t="str" cm="1">
        <f t="array" ref="Z282">CONCATENATE("                   ",Liste(B282:H282),IF(Z283&lt;&gt;"",",",""))</f>
        <v xml:space="preserve">                   (271, 'Born', 'Michael', 1, 1, NULL, '1994-06-28'),</v>
      </c>
      <c r="AB282" s="2" t="str" cm="1">
        <f t="array" aca="1" ref="AB282" ca="1">CONCATENATE("                    ",Liste(J282:P282),IF(AB283&lt;&gt;"",",",""))</f>
        <v xml:space="preserve">                    (271, 1, '13597', 'Berlin', 'Pittsburghplatz', '12', 1),</v>
      </c>
      <c r="AD282" s="2" t="str" cm="1">
        <f t="array" aca="1" ref="AD282" ca="1">CONCATENATE("                   ",Liste(R282:V282),IF(AD283&lt;&gt;"",",",""))</f>
        <v xml:space="preserve">                   (271, 1, '030', '81506252', 1),</v>
      </c>
    </row>
    <row r="283" spans="2:30" x14ac:dyDescent="0.45">
      <c r="B283" s="4">
        <f>Grunddaten!A274</f>
        <v>272</v>
      </c>
      <c r="C283" s="4" t="str">
        <f>CONCATENATE("'",Grunddaten!F274,"'")</f>
        <v>'Seitz'</v>
      </c>
      <c r="D283" s="4" t="str">
        <f>CONCATENATE("'",Grunddaten!E274,"'")</f>
        <v>'Annette'</v>
      </c>
      <c r="E283" s="4">
        <f>VLOOKUP(Grunddaten!D274,FormOfAddress,2,TRUE)</f>
        <v>2</v>
      </c>
      <c r="F283" s="4">
        <f>VLOOKUP(Grunddaten!I274,FamilyStatus,2,FALSE)</f>
        <v>2</v>
      </c>
      <c r="G283" s="4" t="str">
        <f>IF(Grunddaten!J274&lt;&gt;"",CONCATENATE("'",TEXT(Grunddaten!J274,"JJJJ-MM-tt"),"'"),"NULL")</f>
        <v>'2018-04-08'</v>
      </c>
      <c r="H283" s="4" t="str">
        <f>CONCATENATE("'",TEXT(Grunddaten!G274,"JJJJ-MM-tt"),"'")</f>
        <v>'1982-06-15'</v>
      </c>
      <c r="J283" s="14">
        <f>Grunddaten!A274</f>
        <v>272</v>
      </c>
      <c r="K283" s="14">
        <f>Grunddaten!Y274</f>
        <v>1</v>
      </c>
      <c r="L283" s="14" t="str">
        <f ca="1">CONCATENATE("'",Grunddaten!Z274,"'")</f>
        <v>'10707'</v>
      </c>
      <c r="M283" s="14" t="str">
        <f>CONCATENATE("'",Grunddaten!AA274,"'")</f>
        <v>'Berlin'</v>
      </c>
      <c r="N283" s="14" t="str">
        <f>CONCATENATE("'",Grunddaten!AB274,"'")</f>
        <v>'Kapstadtweg'</v>
      </c>
      <c r="O283" s="14" t="str">
        <f>CONCATENATE("'",Grunddaten!AC274,"'")</f>
        <v>'16'</v>
      </c>
      <c r="P283" s="14">
        <f>Grunddaten!AD274</f>
        <v>1</v>
      </c>
      <c r="R283" s="13">
        <f>Grunddaten!A274</f>
        <v>272</v>
      </c>
      <c r="S283" s="13">
        <f>Grunddaten!AF274</f>
        <v>1</v>
      </c>
      <c r="T283" s="13" t="str">
        <f>CONCATENATE("'",Grunddaten!AG274,"'")</f>
        <v>'030'</v>
      </c>
      <c r="U283" s="13" t="str">
        <f ca="1">CONCATENATE("'",Grunddaten!AH274,"'")</f>
        <v>'84541758'</v>
      </c>
      <c r="V283" s="13">
        <f>Grunddaten!AI274</f>
        <v>1</v>
      </c>
      <c r="Z283" s="2" t="str" cm="1">
        <f t="array" ref="Z283">CONCATENATE("                   ",Liste(B283:H283),IF(Z284&lt;&gt;"",",",""))</f>
        <v xml:space="preserve">                   (272, 'Seitz', 'Annette', 2, 2, '2018-04-08', '1982-06-15'),</v>
      </c>
      <c r="AB283" s="2" t="str" cm="1">
        <f t="array" aca="1" ref="AB283" ca="1">CONCATENATE("                    ",Liste(J283:P283),IF(AB284&lt;&gt;"",",",""))</f>
        <v xml:space="preserve">                    (272, 1, '10707', 'Berlin', 'Kapstadtweg', '16', 1),</v>
      </c>
      <c r="AD283" s="2" t="str" cm="1">
        <f t="array" aca="1" ref="AD283" ca="1">CONCATENATE("                   ",Liste(R283:V283),IF(AD284&lt;&gt;"",",",""))</f>
        <v xml:space="preserve">                   (272, 1, '030', '84541758', 1),</v>
      </c>
    </row>
    <row r="284" spans="2:30" x14ac:dyDescent="0.45">
      <c r="B284" s="4">
        <f>Grunddaten!A275</f>
        <v>273</v>
      </c>
      <c r="C284" s="4" t="str">
        <f>CONCATENATE("'",Grunddaten!F275,"'")</f>
        <v>'Winkler'</v>
      </c>
      <c r="D284" s="4" t="str">
        <f>CONCATENATE("'",Grunddaten!E275,"'")</f>
        <v>'Rita'</v>
      </c>
      <c r="E284" s="4">
        <f>VLOOKUP(Grunddaten!D275,FormOfAddress,2,TRUE)</f>
        <v>2</v>
      </c>
      <c r="F284" s="4">
        <f>VLOOKUP(Grunddaten!I275,FamilyStatus,2,FALSE)</f>
        <v>2</v>
      </c>
      <c r="G284" s="4" t="str">
        <f>IF(Grunddaten!J275&lt;&gt;"",CONCATENATE("'",TEXT(Grunddaten!J275,"JJJJ-MM-tt"),"'"),"NULL")</f>
        <v>'1978-09-21'</v>
      </c>
      <c r="H284" s="4" t="str">
        <f>CONCATENATE("'",TEXT(Grunddaten!G275,"JJJJ-MM-tt"),"'")</f>
        <v>'1954-02-27'</v>
      </c>
      <c r="J284" s="14">
        <f>Grunddaten!A275</f>
        <v>273</v>
      </c>
      <c r="K284" s="14">
        <f>Grunddaten!Y275</f>
        <v>1</v>
      </c>
      <c r="L284" s="14" t="str">
        <f ca="1">CONCATENATE("'",Grunddaten!Z275,"'")</f>
        <v>'13581'</v>
      </c>
      <c r="M284" s="14" t="str">
        <f>CONCATENATE("'",Grunddaten!AA275,"'")</f>
        <v>'Berlin'</v>
      </c>
      <c r="N284" s="14" t="str">
        <f>CONCATENATE("'",Grunddaten!AB275,"'")</f>
        <v>'Mühlenweg'</v>
      </c>
      <c r="O284" s="14" t="str">
        <f>CONCATENATE("'",Grunddaten!AC275,"'")</f>
        <v>'15'</v>
      </c>
      <c r="P284" s="14">
        <f>Grunddaten!AD275</f>
        <v>1</v>
      </c>
      <c r="R284" s="13">
        <f>Grunddaten!A275</f>
        <v>273</v>
      </c>
      <c r="S284" s="13">
        <f>Grunddaten!AF275</f>
        <v>1</v>
      </c>
      <c r="T284" s="13" t="str">
        <f>CONCATENATE("'",Grunddaten!AG275,"'")</f>
        <v>'030'</v>
      </c>
      <c r="U284" s="13" t="str">
        <f ca="1">CONCATENATE("'",Grunddaten!AH275,"'")</f>
        <v>'65689551'</v>
      </c>
      <c r="V284" s="13">
        <f>Grunddaten!AI275</f>
        <v>1</v>
      </c>
      <c r="Z284" s="2" t="str" cm="1">
        <f t="array" ref="Z284">CONCATENATE("                   ",Liste(B284:H284),IF(Z285&lt;&gt;"",",",""))</f>
        <v xml:space="preserve">                   (273, 'Winkler', 'Rita', 2, 2, '1978-09-21', '1954-02-27'),</v>
      </c>
      <c r="AB284" s="2" t="str" cm="1">
        <f t="array" aca="1" ref="AB284" ca="1">CONCATENATE("                    ",Liste(J284:P284),IF(AB285&lt;&gt;"",",",""))</f>
        <v xml:space="preserve">                    (273, 1, '13581', 'Berlin', 'Mühlenweg', '15', 1),</v>
      </c>
      <c r="AD284" s="2" t="str" cm="1">
        <f t="array" aca="1" ref="AD284" ca="1">CONCATENATE("                   ",Liste(R284:V284),IF(AD285&lt;&gt;"",",",""))</f>
        <v xml:space="preserve">                   (273, 1, '030', '65689551', 1),</v>
      </c>
    </row>
    <row r="285" spans="2:30" x14ac:dyDescent="0.45">
      <c r="B285" s="4">
        <f>Grunddaten!A276</f>
        <v>274</v>
      </c>
      <c r="C285" s="4" t="str">
        <f>CONCATENATE("'",Grunddaten!F276,"'")</f>
        <v>'Dreyer'</v>
      </c>
      <c r="D285" s="4" t="str">
        <f>CONCATENATE("'",Grunddaten!E276,"'")</f>
        <v>'Marlene'</v>
      </c>
      <c r="E285" s="4">
        <f>VLOOKUP(Grunddaten!D276,FormOfAddress,2,TRUE)</f>
        <v>2</v>
      </c>
      <c r="F285" s="4">
        <f>VLOOKUP(Grunddaten!I276,FamilyStatus,2,FALSE)</f>
        <v>2</v>
      </c>
      <c r="G285" s="4" t="str">
        <f>IF(Grunddaten!J276&lt;&gt;"",CONCATENATE("'",TEXT(Grunddaten!J276,"JJJJ-MM-tt"),"'"),"NULL")</f>
        <v>'2009-09-29'</v>
      </c>
      <c r="H285" s="4" t="str">
        <f>CONCATENATE("'",TEXT(Grunddaten!G276,"JJJJ-MM-tt"),"'")</f>
        <v>'1988-01-17'</v>
      </c>
      <c r="J285" s="14">
        <f>Grunddaten!A276</f>
        <v>274</v>
      </c>
      <c r="K285" s="14">
        <f>Grunddaten!Y276</f>
        <v>1</v>
      </c>
      <c r="L285" s="14" t="str">
        <f ca="1">CONCATENATE("'",Grunddaten!Z276,"'")</f>
        <v>'12679'</v>
      </c>
      <c r="M285" s="14" t="str">
        <f>CONCATENATE("'",Grunddaten!AA276,"'")</f>
        <v>'Berlin'</v>
      </c>
      <c r="N285" s="14" t="str">
        <f>CONCATENATE("'",Grunddaten!AB276,"'")</f>
        <v>'Nelkenweg'</v>
      </c>
      <c r="O285" s="14" t="str">
        <f>CONCATENATE("'",Grunddaten!AC276,"'")</f>
        <v>'11'</v>
      </c>
      <c r="P285" s="14">
        <f>Grunddaten!AD276</f>
        <v>1</v>
      </c>
      <c r="R285" s="13">
        <f>Grunddaten!A276</f>
        <v>274</v>
      </c>
      <c r="S285" s="13">
        <f>Grunddaten!AF276</f>
        <v>1</v>
      </c>
      <c r="T285" s="13" t="str">
        <f>CONCATENATE("'",Grunddaten!AG276,"'")</f>
        <v>'030'</v>
      </c>
      <c r="U285" s="13" t="str">
        <f ca="1">CONCATENATE("'",Grunddaten!AH276,"'")</f>
        <v>'85558563'</v>
      </c>
      <c r="V285" s="13">
        <f>Grunddaten!AI276</f>
        <v>1</v>
      </c>
      <c r="Z285" s="2" t="str" cm="1">
        <f t="array" ref="Z285">CONCATENATE("                   ",Liste(B285:H285),IF(Z286&lt;&gt;"",",",""))</f>
        <v xml:space="preserve">                   (274, 'Dreyer', 'Marlene', 2, 2, '2009-09-29', '1988-01-17'),</v>
      </c>
      <c r="AB285" s="2" t="str" cm="1">
        <f t="array" aca="1" ref="AB285" ca="1">CONCATENATE("                    ",Liste(J285:P285),IF(AB286&lt;&gt;"",",",""))</f>
        <v xml:space="preserve">                    (274, 1, '12679', 'Berlin', 'Nelkenweg', '11', 1),</v>
      </c>
      <c r="AD285" s="2" t="str" cm="1">
        <f t="array" aca="1" ref="AD285" ca="1">CONCATENATE("                   ",Liste(R285:V285),IF(AD286&lt;&gt;"",",",""))</f>
        <v xml:space="preserve">                   (274, 1, '030', '85558563', 1),</v>
      </c>
    </row>
    <row r="286" spans="2:30" x14ac:dyDescent="0.45">
      <c r="B286" s="4">
        <f>Grunddaten!A277</f>
        <v>275</v>
      </c>
      <c r="C286" s="4" t="str">
        <f>CONCATENATE("'",Grunddaten!F277,"'")</f>
        <v>'Deutsch'</v>
      </c>
      <c r="D286" s="4" t="str">
        <f>CONCATENATE("'",Grunddaten!E277,"'")</f>
        <v>'Harry'</v>
      </c>
      <c r="E286" s="4">
        <f>VLOOKUP(Grunddaten!D277,FormOfAddress,2,TRUE)</f>
        <v>1</v>
      </c>
      <c r="F286" s="4">
        <f>VLOOKUP(Grunddaten!I277,FamilyStatus,2,FALSE)</f>
        <v>1</v>
      </c>
      <c r="G286" s="4" t="str">
        <f>IF(Grunddaten!J277&lt;&gt;"",CONCATENATE("'",TEXT(Grunddaten!J277,"JJJJ-MM-tt"),"'"),"NULL")</f>
        <v>NULL</v>
      </c>
      <c r="H286" s="4" t="str">
        <f>CONCATENATE("'",TEXT(Grunddaten!G277,"JJJJ-MM-tt"),"'")</f>
        <v>'2002-06-02'</v>
      </c>
      <c r="J286" s="14">
        <f>Grunddaten!A277</f>
        <v>275</v>
      </c>
      <c r="K286" s="14">
        <f>Grunddaten!Y277</f>
        <v>1</v>
      </c>
      <c r="L286" s="14" t="str">
        <f ca="1">CONCATENATE("'",Grunddaten!Z277,"'")</f>
        <v>'13597'</v>
      </c>
      <c r="M286" s="14" t="str">
        <f>CONCATENATE("'",Grunddaten!AA277,"'")</f>
        <v>'Berlin'</v>
      </c>
      <c r="N286" s="14" t="str">
        <f>CONCATENATE("'",Grunddaten!AB277,"'")</f>
        <v>'Indianapolisweg'</v>
      </c>
      <c r="O286" s="14" t="str">
        <f>CONCATENATE("'",Grunddaten!AC277,"'")</f>
        <v>'90C'</v>
      </c>
      <c r="P286" s="14">
        <f>Grunddaten!AD277</f>
        <v>1</v>
      </c>
      <c r="R286" s="13">
        <f>Grunddaten!A277</f>
        <v>275</v>
      </c>
      <c r="S286" s="13">
        <f>Grunddaten!AF277</f>
        <v>1</v>
      </c>
      <c r="T286" s="13" t="str">
        <f>CONCATENATE("'",Grunddaten!AG277,"'")</f>
        <v>'030'</v>
      </c>
      <c r="U286" s="13" t="str">
        <f ca="1">CONCATENATE("'",Grunddaten!AH277,"'")</f>
        <v>'82708521'</v>
      </c>
      <c r="V286" s="13">
        <f>Grunddaten!AI277</f>
        <v>1</v>
      </c>
      <c r="Z286" s="2" t="str" cm="1">
        <f t="array" ref="Z286">CONCATENATE("                   ",Liste(B286:H286),IF(Z287&lt;&gt;"",",",""))</f>
        <v xml:space="preserve">                   (275, 'Deutsch', 'Harry', 1, 1, NULL, '2002-06-02'),</v>
      </c>
      <c r="AB286" s="2" t="str" cm="1">
        <f t="array" aca="1" ref="AB286" ca="1">CONCATENATE("                    ",Liste(J286:P286),IF(AB287&lt;&gt;"",",",""))</f>
        <v xml:space="preserve">                    (275, 1, '13597', 'Berlin', 'Indianapolisweg', '90C', 1),</v>
      </c>
      <c r="AD286" s="2" t="str" cm="1">
        <f t="array" aca="1" ref="AD286" ca="1">CONCATENATE("                   ",Liste(R286:V286),IF(AD287&lt;&gt;"",",",""))</f>
        <v xml:space="preserve">                   (275, 1, '030', '82708521', 1),</v>
      </c>
    </row>
    <row r="287" spans="2:30" x14ac:dyDescent="0.45">
      <c r="B287" s="4">
        <f>Grunddaten!A278</f>
        <v>276</v>
      </c>
      <c r="C287" s="4" t="str">
        <f>CONCATENATE("'",Grunddaten!F278,"'")</f>
        <v>'Schulz'</v>
      </c>
      <c r="D287" s="4" t="str">
        <f>CONCATENATE("'",Grunddaten!E278,"'")</f>
        <v>'Hildegard'</v>
      </c>
      <c r="E287" s="4">
        <f>VLOOKUP(Grunddaten!D278,FormOfAddress,2,TRUE)</f>
        <v>2</v>
      </c>
      <c r="F287" s="4">
        <f>VLOOKUP(Grunddaten!I278,FamilyStatus,2,FALSE)</f>
        <v>1</v>
      </c>
      <c r="G287" s="4" t="str">
        <f>IF(Grunddaten!J278&lt;&gt;"",CONCATENATE("'",TEXT(Grunddaten!J278,"JJJJ-MM-tt"),"'"),"NULL")</f>
        <v>NULL</v>
      </c>
      <c r="H287" s="4" t="str">
        <f>CONCATENATE("'",TEXT(Grunddaten!G278,"JJJJ-MM-tt"),"'")</f>
        <v>'2005-11-27'</v>
      </c>
      <c r="J287" s="14">
        <f>Grunddaten!A278</f>
        <v>276</v>
      </c>
      <c r="K287" s="14">
        <f>Grunddaten!Y278</f>
        <v>1</v>
      </c>
      <c r="L287" s="14" t="str">
        <f ca="1">CONCATENATE("'",Grunddaten!Z278,"'")</f>
        <v>'13581'</v>
      </c>
      <c r="M287" s="14" t="str">
        <f>CONCATENATE("'",Grunddaten!AA278,"'")</f>
        <v>'Berlin'</v>
      </c>
      <c r="N287" s="14" t="str">
        <f>CONCATENATE("'",Grunddaten!AB278,"'")</f>
        <v>'Am Wasserturm'</v>
      </c>
      <c r="O287" s="14" t="str">
        <f>CONCATENATE("'",Grunddaten!AC278,"'")</f>
        <v>'2C'</v>
      </c>
      <c r="P287" s="14">
        <f>Grunddaten!AD278</f>
        <v>1</v>
      </c>
      <c r="R287" s="13">
        <f>Grunddaten!A278</f>
        <v>276</v>
      </c>
      <c r="S287" s="13">
        <f>Grunddaten!AF278</f>
        <v>1</v>
      </c>
      <c r="T287" s="13" t="str">
        <f>CONCATENATE("'",Grunddaten!AG278,"'")</f>
        <v>'030'</v>
      </c>
      <c r="U287" s="13" t="str">
        <f ca="1">CONCATENATE("'",Grunddaten!AH278,"'")</f>
        <v>'75115323'</v>
      </c>
      <c r="V287" s="13">
        <f>Grunddaten!AI278</f>
        <v>1</v>
      </c>
      <c r="Z287" s="2" t="str" cm="1">
        <f t="array" ref="Z287">CONCATENATE("                   ",Liste(B287:H287),IF(Z288&lt;&gt;"",",",""))</f>
        <v xml:space="preserve">                   (276, 'Schulz', 'Hildegard', 2, 1, NULL, '2005-11-27'),</v>
      </c>
      <c r="AB287" s="2" t="str" cm="1">
        <f t="array" aca="1" ref="AB287" ca="1">CONCATENATE("                    ",Liste(J287:P287),IF(AB288&lt;&gt;"",",",""))</f>
        <v xml:space="preserve">                    (276, 1, '13581', 'Berlin', 'Am Wasserturm', '2C', 1),</v>
      </c>
      <c r="AD287" s="2" t="str" cm="1">
        <f t="array" aca="1" ref="AD287" ca="1">CONCATENATE("                   ",Liste(R287:V287),IF(AD288&lt;&gt;"",",",""))</f>
        <v xml:space="preserve">                   (276, 1, '030', '75115323', 1),</v>
      </c>
    </row>
    <row r="288" spans="2:30" x14ac:dyDescent="0.45">
      <c r="B288" s="4">
        <f>Grunddaten!A279</f>
        <v>277</v>
      </c>
      <c r="C288" s="4" t="str">
        <f>CONCATENATE("'",Grunddaten!F279,"'")</f>
        <v>'Bergner'</v>
      </c>
      <c r="D288" s="4" t="str">
        <f>CONCATENATE("'",Grunddaten!E279,"'")</f>
        <v>'Erich'</v>
      </c>
      <c r="E288" s="4">
        <f>VLOOKUP(Grunddaten!D279,FormOfAddress,2,TRUE)</f>
        <v>1</v>
      </c>
      <c r="F288" s="4">
        <f>VLOOKUP(Grunddaten!I279,FamilyStatus,2,FALSE)</f>
        <v>3</v>
      </c>
      <c r="G288" s="4" t="str">
        <f>IF(Grunddaten!J279&lt;&gt;"",CONCATENATE("'",TEXT(Grunddaten!J279,"JJJJ-MM-tt"),"'"),"NULL")</f>
        <v>'2015-01-29'</v>
      </c>
      <c r="H288" s="4" t="str">
        <f>CONCATENATE("'",TEXT(Grunddaten!G279,"JJJJ-MM-tt"),"'")</f>
        <v>'1974-06-11'</v>
      </c>
      <c r="J288" s="14">
        <f>Grunddaten!A279</f>
        <v>277</v>
      </c>
      <c r="K288" s="14">
        <f>Grunddaten!Y279</f>
        <v>1</v>
      </c>
      <c r="L288" s="14" t="str">
        <f ca="1">CONCATENATE("'",Grunddaten!Z279,"'")</f>
        <v>'14552'</v>
      </c>
      <c r="M288" s="14" t="str">
        <f>CONCATENATE("'",Grunddaten!AA279,"'")</f>
        <v>'Michendorf'</v>
      </c>
      <c r="N288" s="14" t="str">
        <f>CONCATENATE("'",Grunddaten!AB279,"'")</f>
        <v>'August-Bebel-Straße'</v>
      </c>
      <c r="O288" s="14" t="str">
        <f>CONCATENATE("'",Grunddaten!AC279,"'")</f>
        <v>'5D'</v>
      </c>
      <c r="P288" s="14">
        <f>Grunddaten!AD279</f>
        <v>1</v>
      </c>
      <c r="R288" s="13">
        <f>Grunddaten!A279</f>
        <v>277</v>
      </c>
      <c r="S288" s="13">
        <f>Grunddaten!AF279</f>
        <v>1</v>
      </c>
      <c r="T288" s="13" t="str">
        <f>CONCATENATE("'",Grunddaten!AG279,"'")</f>
        <v>'033205'</v>
      </c>
      <c r="U288" s="13" t="str">
        <f ca="1">CONCATENATE("'",Grunddaten!AH279,"'")</f>
        <v>'8571'</v>
      </c>
      <c r="V288" s="13">
        <f>Grunddaten!AI279</f>
        <v>1</v>
      </c>
      <c r="Z288" s="2" t="str" cm="1">
        <f t="array" ref="Z288">CONCATENATE("                   ",Liste(B288:H288),IF(Z289&lt;&gt;"",",",""))</f>
        <v xml:space="preserve">                   (277, 'Bergner', 'Erich', 1, 3, '2015-01-29', '1974-06-11'),</v>
      </c>
      <c r="AB288" s="2" t="str" cm="1">
        <f t="array" aca="1" ref="AB288" ca="1">CONCATENATE("                    ",Liste(J288:P288),IF(AB289&lt;&gt;"",",",""))</f>
        <v xml:space="preserve">                    (277, 1, '14552', 'Michendorf', 'August-Bebel-Straße', '5D', 1),</v>
      </c>
      <c r="AD288" s="2" t="str" cm="1">
        <f t="array" aca="1" ref="AD288" ca="1">CONCATENATE("                   ",Liste(R288:V288),IF(AD289&lt;&gt;"",",",""))</f>
        <v xml:space="preserve">                   (277, 1, '033205', '8571', 1),</v>
      </c>
    </row>
    <row r="289" spans="2:30" x14ac:dyDescent="0.45">
      <c r="B289" s="4">
        <f>Grunddaten!A280</f>
        <v>278</v>
      </c>
      <c r="C289" s="4" t="str">
        <f>CONCATENATE("'",Grunddaten!F280,"'")</f>
        <v>'Haase'</v>
      </c>
      <c r="D289" s="4" t="str">
        <f>CONCATENATE("'",Grunddaten!E280,"'")</f>
        <v>'Christel'</v>
      </c>
      <c r="E289" s="4">
        <f>VLOOKUP(Grunddaten!D280,FormOfAddress,2,TRUE)</f>
        <v>2</v>
      </c>
      <c r="F289" s="4">
        <f>VLOOKUP(Grunddaten!I280,FamilyStatus,2,FALSE)</f>
        <v>1</v>
      </c>
      <c r="G289" s="4" t="str">
        <f>IF(Grunddaten!J280&lt;&gt;"",CONCATENATE("'",TEXT(Grunddaten!J280,"JJJJ-MM-tt"),"'"),"NULL")</f>
        <v>NULL</v>
      </c>
      <c r="H289" s="4" t="str">
        <f>CONCATENATE("'",TEXT(Grunddaten!G280,"JJJJ-MM-tt"),"'")</f>
        <v>'2004-09-23'</v>
      </c>
      <c r="J289" s="14">
        <f>Grunddaten!A280</f>
        <v>278</v>
      </c>
      <c r="K289" s="14">
        <f>Grunddaten!Y280</f>
        <v>1</v>
      </c>
      <c r="L289" s="14" t="str">
        <f ca="1">CONCATENATE("'",Grunddaten!Z280,"'")</f>
        <v>'14550'</v>
      </c>
      <c r="M289" s="14" t="str">
        <f>CONCATENATE("'",Grunddaten!AA280,"'")</f>
        <v>'Töplitz'</v>
      </c>
      <c r="N289" s="14" t="str">
        <f>CONCATENATE("'",Grunddaten!AB280,"'")</f>
        <v>'Albert-Einstein-Straße'</v>
      </c>
      <c r="O289" s="14" t="str">
        <f>CONCATENATE("'",Grunddaten!AC280,"'")</f>
        <v>'24E'</v>
      </c>
      <c r="P289" s="14">
        <f>Grunddaten!AD280</f>
        <v>1</v>
      </c>
      <c r="R289" s="13">
        <f>Grunddaten!A280</f>
        <v>278</v>
      </c>
      <c r="S289" s="13">
        <f>Grunddaten!AF280</f>
        <v>1</v>
      </c>
      <c r="T289" s="13" t="str">
        <f>CONCATENATE("'",Grunddaten!AG280,"'")</f>
        <v>'033209'</v>
      </c>
      <c r="U289" s="13" t="str">
        <f ca="1">CONCATENATE("'",Grunddaten!AH280,"'")</f>
        <v>'5508'</v>
      </c>
      <c r="V289" s="13">
        <f>Grunddaten!AI280</f>
        <v>1</v>
      </c>
      <c r="Z289" s="2" t="str" cm="1">
        <f t="array" ref="Z289">CONCATENATE("                   ",Liste(B289:H289),IF(Z290&lt;&gt;"",",",""))</f>
        <v xml:space="preserve">                   (278, 'Haase', 'Christel', 2, 1, NULL, '2004-09-23'),</v>
      </c>
      <c r="AB289" s="2" t="str" cm="1">
        <f t="array" aca="1" ref="AB289" ca="1">CONCATENATE("                    ",Liste(J289:P289),IF(AB290&lt;&gt;"",",",""))</f>
        <v xml:space="preserve">                    (278, 1, '14550', 'Töplitz', 'Albert-Einstein-Straße', '24E', 1),</v>
      </c>
      <c r="AD289" s="2" t="str" cm="1">
        <f t="array" aca="1" ref="AD289" ca="1">CONCATENATE("                   ",Liste(R289:V289),IF(AD290&lt;&gt;"",",",""))</f>
        <v xml:space="preserve">                   (278, 1, '033209', '5508', 1),</v>
      </c>
    </row>
    <row r="290" spans="2:30" x14ac:dyDescent="0.45">
      <c r="B290" s="4">
        <f>Grunddaten!A281</f>
        <v>279</v>
      </c>
      <c r="C290" s="4" t="str">
        <f>CONCATENATE("'",Grunddaten!F281,"'")</f>
        <v>'Brunner'</v>
      </c>
      <c r="D290" s="4" t="str">
        <f>CONCATENATE("'",Grunddaten!E281,"'")</f>
        <v>'Günter'</v>
      </c>
      <c r="E290" s="4">
        <f>VLOOKUP(Grunddaten!D281,FormOfAddress,2,TRUE)</f>
        <v>1</v>
      </c>
      <c r="F290" s="4">
        <f>VLOOKUP(Grunddaten!I281,FamilyStatus,2,FALSE)</f>
        <v>1</v>
      </c>
      <c r="G290" s="4" t="str">
        <f>IF(Grunddaten!J281&lt;&gt;"",CONCATENATE("'",TEXT(Grunddaten!J281,"JJJJ-MM-tt"),"'"),"NULL")</f>
        <v>NULL</v>
      </c>
      <c r="H290" s="4" t="str">
        <f>CONCATENATE("'",TEXT(Grunddaten!G281,"JJJJ-MM-tt"),"'")</f>
        <v>'1997-07-19'</v>
      </c>
      <c r="J290" s="14">
        <f>Grunddaten!A281</f>
        <v>279</v>
      </c>
      <c r="K290" s="14">
        <f>Grunddaten!Y281</f>
        <v>1</v>
      </c>
      <c r="L290" s="14" t="str">
        <f ca="1">CONCATENATE("'",Grunddaten!Z281,"'")</f>
        <v>'14542'</v>
      </c>
      <c r="M290" s="14" t="str">
        <f>CONCATENATE("'",Grunddaten!AA281,"'")</f>
        <v>'Werder (Havel)'</v>
      </c>
      <c r="N290" s="14" t="str">
        <f>CONCATENATE("'",Grunddaten!AB281,"'")</f>
        <v>'Albert-Einstein-Straße'</v>
      </c>
      <c r="O290" s="14" t="str">
        <f>CONCATENATE("'",Grunddaten!AC281,"'")</f>
        <v>'9'</v>
      </c>
      <c r="P290" s="14">
        <f>Grunddaten!AD281</f>
        <v>1</v>
      </c>
      <c r="R290" s="13">
        <f>Grunddaten!A281</f>
        <v>279</v>
      </c>
      <c r="S290" s="13">
        <f>Grunddaten!AF281</f>
        <v>1</v>
      </c>
      <c r="T290" s="13" t="str">
        <f>CONCATENATE("'",Grunddaten!AG281,"'")</f>
        <v>'03327'</v>
      </c>
      <c r="U290" s="13" t="str">
        <f ca="1">CONCATENATE("'",Grunddaten!AH281,"'")</f>
        <v>'43040'</v>
      </c>
      <c r="V290" s="13">
        <f>Grunddaten!AI281</f>
        <v>1</v>
      </c>
      <c r="Z290" s="2" t="str" cm="1">
        <f t="array" ref="Z290">CONCATENATE("                   ",Liste(B290:H290),IF(Z291&lt;&gt;"",",",""))</f>
        <v xml:space="preserve">                   (279, 'Brunner', 'Günter', 1, 1, NULL, '1997-07-19'),</v>
      </c>
      <c r="AB290" s="2" t="str" cm="1">
        <f t="array" aca="1" ref="AB290" ca="1">CONCATENATE("                    ",Liste(J290:P290),IF(AB291&lt;&gt;"",",",""))</f>
        <v xml:space="preserve">                    (279, 1, '14542', 'Werder (Havel)', 'Albert-Einstein-Straße', '9', 1),</v>
      </c>
      <c r="AD290" s="2" t="str" cm="1">
        <f t="array" aca="1" ref="AD290" ca="1">CONCATENATE("                   ",Liste(R290:V290),IF(AD291&lt;&gt;"",",",""))</f>
        <v xml:space="preserve">                   (279, 1, '03327', '43040', 1),</v>
      </c>
    </row>
    <row r="291" spans="2:30" x14ac:dyDescent="0.45">
      <c r="B291" s="4">
        <f>Grunddaten!A282</f>
        <v>280</v>
      </c>
      <c r="C291" s="4" t="str">
        <f>CONCATENATE("'",Grunddaten!F282,"'")</f>
        <v>'Fritsche'</v>
      </c>
      <c r="D291" s="4" t="str">
        <f>CONCATENATE("'",Grunddaten!E282,"'")</f>
        <v>'Hans- Jürgen'</v>
      </c>
      <c r="E291" s="4">
        <f>VLOOKUP(Grunddaten!D282,FormOfAddress,2,TRUE)</f>
        <v>1</v>
      </c>
      <c r="F291" s="4">
        <f>VLOOKUP(Grunddaten!I282,FamilyStatus,2,FALSE)</f>
        <v>2</v>
      </c>
      <c r="G291" s="4" t="str">
        <f>IF(Grunddaten!J282&lt;&gt;"",CONCATENATE("'",TEXT(Grunddaten!J282,"JJJJ-MM-tt"),"'"),"NULL")</f>
        <v>'2004-02-12'</v>
      </c>
      <c r="H291" s="4" t="str">
        <f>CONCATENATE("'",TEXT(Grunddaten!G282,"JJJJ-MM-tt"),"'")</f>
        <v>'1966-07-08'</v>
      </c>
      <c r="J291" s="14">
        <f>Grunddaten!A282</f>
        <v>280</v>
      </c>
      <c r="K291" s="14">
        <f>Grunddaten!Y282</f>
        <v>1</v>
      </c>
      <c r="L291" s="14" t="str">
        <f ca="1">CONCATENATE("'",Grunddaten!Z282,"'")</f>
        <v>'13581'</v>
      </c>
      <c r="M291" s="14" t="str">
        <f>CONCATENATE("'",Grunddaten!AA282,"'")</f>
        <v>'Berlin'</v>
      </c>
      <c r="N291" s="14" t="str">
        <f>CONCATENATE("'",Grunddaten!AB282,"'")</f>
        <v>'Wolfgang-Amadeus-Mozart-Straße'</v>
      </c>
      <c r="O291" s="14" t="str">
        <f>CONCATENATE("'",Grunddaten!AC282,"'")</f>
        <v>'50D'</v>
      </c>
      <c r="P291" s="14">
        <f>Grunddaten!AD282</f>
        <v>1</v>
      </c>
      <c r="R291" s="13">
        <f>Grunddaten!A282</f>
        <v>280</v>
      </c>
      <c r="S291" s="13">
        <f>Grunddaten!AF282</f>
        <v>1</v>
      </c>
      <c r="T291" s="13" t="str">
        <f>CONCATENATE("'",Grunddaten!AG282,"'")</f>
        <v>'030'</v>
      </c>
      <c r="U291" s="13" t="str">
        <f ca="1">CONCATENATE("'",Grunddaten!AH282,"'")</f>
        <v>'84736501'</v>
      </c>
      <c r="V291" s="13">
        <f>Grunddaten!AI282</f>
        <v>1</v>
      </c>
      <c r="Z291" s="2" t="str" cm="1">
        <f t="array" ref="Z291">CONCATENATE("                   ",Liste(B291:H291),IF(Z292&lt;&gt;"",",",""))</f>
        <v xml:space="preserve">                   (280, 'Fritsche', 'Hans- Jürgen', 1, 2, '2004-02-12', '1966-07-08'),</v>
      </c>
      <c r="AB291" s="2" t="str" cm="1">
        <f t="array" aca="1" ref="AB291" ca="1">CONCATENATE("                    ",Liste(J291:P291),IF(AB292&lt;&gt;"",",",""))</f>
        <v xml:space="preserve">                    (280, 1, '13581', 'Berlin', 'Wolfgang-Amadeus-Mozart-Straße', '50D', 1),</v>
      </c>
      <c r="AD291" s="2" t="str" cm="1">
        <f t="array" aca="1" ref="AD291" ca="1">CONCATENATE("                   ",Liste(R291:V291),IF(AD292&lt;&gt;"",",",""))</f>
        <v xml:space="preserve">                   (280, 1, '030', '84736501', 1),</v>
      </c>
    </row>
    <row r="292" spans="2:30" x14ac:dyDescent="0.45">
      <c r="B292" s="4">
        <f>Grunddaten!A283</f>
        <v>281</v>
      </c>
      <c r="C292" s="4" t="str">
        <f>CONCATENATE("'",Grunddaten!F283,"'")</f>
        <v>'Hesse'</v>
      </c>
      <c r="D292" s="4" t="str">
        <f>CONCATENATE("'",Grunddaten!E283,"'")</f>
        <v>'Ernst'</v>
      </c>
      <c r="E292" s="4">
        <f>VLOOKUP(Grunddaten!D283,FormOfAddress,2,TRUE)</f>
        <v>1</v>
      </c>
      <c r="F292" s="4">
        <f>VLOOKUP(Grunddaten!I283,FamilyStatus,2,FALSE)</f>
        <v>2</v>
      </c>
      <c r="G292" s="4" t="str">
        <f>IF(Grunddaten!J283&lt;&gt;"",CONCATENATE("'",TEXT(Grunddaten!J283,"JJJJ-MM-tt"),"'"),"NULL")</f>
        <v>'2024-07-08'</v>
      </c>
      <c r="H292" s="4" t="str">
        <f>CONCATENATE("'",TEXT(Grunddaten!G283,"JJJJ-MM-tt"),"'")</f>
        <v>'1989-10-14'</v>
      </c>
      <c r="J292" s="14">
        <f>Grunddaten!A283</f>
        <v>281</v>
      </c>
      <c r="K292" s="14">
        <f>Grunddaten!Y283</f>
        <v>1</v>
      </c>
      <c r="L292" s="14" t="str">
        <f ca="1">CONCATENATE("'",Grunddaten!Z283,"'")</f>
        <v>'13581'</v>
      </c>
      <c r="M292" s="14" t="str">
        <f>CONCATENATE("'",Grunddaten!AA283,"'")</f>
        <v>'Berlin'</v>
      </c>
      <c r="N292" s="14" t="str">
        <f>CONCATENATE("'",Grunddaten!AB283,"'")</f>
        <v>'Friedhofstraße'</v>
      </c>
      <c r="O292" s="14" t="str">
        <f>CONCATENATE("'",Grunddaten!AC283,"'")</f>
        <v>'32'</v>
      </c>
      <c r="P292" s="14">
        <f>Grunddaten!AD283</f>
        <v>1</v>
      </c>
      <c r="R292" s="13">
        <f>Grunddaten!A283</f>
        <v>281</v>
      </c>
      <c r="S292" s="13">
        <f>Grunddaten!AF283</f>
        <v>1</v>
      </c>
      <c r="T292" s="13" t="str">
        <f>CONCATENATE("'",Grunddaten!AG283,"'")</f>
        <v>'030'</v>
      </c>
      <c r="U292" s="13" t="str">
        <f ca="1">CONCATENATE("'",Grunddaten!AH283,"'")</f>
        <v>'78983915'</v>
      </c>
      <c r="V292" s="13">
        <f>Grunddaten!AI283</f>
        <v>1</v>
      </c>
      <c r="Z292" s="2" t="str" cm="1">
        <f t="array" ref="Z292">CONCATENATE("                   ",Liste(B292:H292),IF(Z293&lt;&gt;"",",",""))</f>
        <v xml:space="preserve">                   (281, 'Hesse', 'Ernst', 1, 2, '2024-07-08', '1989-10-14'),</v>
      </c>
      <c r="AB292" s="2" t="str" cm="1">
        <f t="array" aca="1" ref="AB292" ca="1">CONCATENATE("                    ",Liste(J292:P292),IF(AB293&lt;&gt;"",",",""))</f>
        <v xml:space="preserve">                    (281, 1, '13581', 'Berlin', 'Friedhofstraße', '32', 1),</v>
      </c>
      <c r="AD292" s="2" t="str" cm="1">
        <f t="array" aca="1" ref="AD292" ca="1">CONCATENATE("                   ",Liste(R292:V292),IF(AD293&lt;&gt;"",",",""))</f>
        <v xml:space="preserve">                   (281, 1, '030', '78983915', 1),</v>
      </c>
    </row>
    <row r="293" spans="2:30" x14ac:dyDescent="0.45">
      <c r="B293" s="4">
        <f>Grunddaten!A284</f>
        <v>282</v>
      </c>
      <c r="C293" s="4" t="str">
        <f>CONCATENATE("'",Grunddaten!F284,"'")</f>
        <v>'Karstens'</v>
      </c>
      <c r="D293" s="4" t="str">
        <f>CONCATENATE("'",Grunddaten!E284,"'")</f>
        <v>'Detlef'</v>
      </c>
      <c r="E293" s="4">
        <f>VLOOKUP(Grunddaten!D284,FormOfAddress,2,TRUE)</f>
        <v>1</v>
      </c>
      <c r="F293" s="4">
        <f>VLOOKUP(Grunddaten!I284,FamilyStatus,2,FALSE)</f>
        <v>2</v>
      </c>
      <c r="G293" s="4" t="str">
        <f>IF(Grunddaten!J284&lt;&gt;"",CONCATENATE("'",TEXT(Grunddaten!J284,"JJJJ-MM-tt"),"'"),"NULL")</f>
        <v>'1980-09-16'</v>
      </c>
      <c r="H293" s="4" t="str">
        <f>CONCATENATE("'",TEXT(Grunddaten!G284,"JJJJ-MM-tt"),"'")</f>
        <v>'1953-08-21'</v>
      </c>
      <c r="J293" s="14">
        <f>Grunddaten!A284</f>
        <v>282</v>
      </c>
      <c r="K293" s="14">
        <f>Grunddaten!Y284</f>
        <v>1</v>
      </c>
      <c r="L293" s="14" t="str">
        <f ca="1">CONCATENATE("'",Grunddaten!Z284,"'")</f>
        <v>'13403'</v>
      </c>
      <c r="M293" s="14" t="str">
        <f>CONCATENATE("'",Grunddaten!AA284,"'")</f>
        <v>'Berlin'</v>
      </c>
      <c r="N293" s="14" t="str">
        <f>CONCATENATE("'",Grunddaten!AB284,"'")</f>
        <v>'Ludwig-Erhard-Straße'</v>
      </c>
      <c r="O293" s="14" t="str">
        <f>CONCATENATE("'",Grunddaten!AC284,"'")</f>
        <v>'20'</v>
      </c>
      <c r="P293" s="14">
        <f>Grunddaten!AD284</f>
        <v>1</v>
      </c>
      <c r="R293" s="13">
        <f>Grunddaten!A284</f>
        <v>282</v>
      </c>
      <c r="S293" s="13">
        <f>Grunddaten!AF284</f>
        <v>1</v>
      </c>
      <c r="T293" s="13" t="str">
        <f>CONCATENATE("'",Grunddaten!AG284,"'")</f>
        <v>'030'</v>
      </c>
      <c r="U293" s="13" t="str">
        <f ca="1">CONCATENATE("'",Grunddaten!AH284,"'")</f>
        <v>'67704934'</v>
      </c>
      <c r="V293" s="13">
        <f>Grunddaten!AI284</f>
        <v>1</v>
      </c>
      <c r="Z293" s="2" t="str" cm="1">
        <f t="array" ref="Z293">CONCATENATE("                   ",Liste(B293:H293),IF(Z294&lt;&gt;"",",",""))</f>
        <v xml:space="preserve">                   (282, 'Karstens', 'Detlef', 1, 2, '1980-09-16', '1953-08-21'),</v>
      </c>
      <c r="AB293" s="2" t="str" cm="1">
        <f t="array" aca="1" ref="AB293" ca="1">CONCATENATE("                    ",Liste(J293:P293),IF(AB294&lt;&gt;"",",",""))</f>
        <v xml:space="preserve">                    (282, 1, '13403', 'Berlin', 'Ludwig-Erhard-Straße', '20', 1),</v>
      </c>
      <c r="AD293" s="2" t="str" cm="1">
        <f t="array" aca="1" ref="AD293" ca="1">CONCATENATE("                   ",Liste(R293:V293),IF(AD294&lt;&gt;"",",",""))</f>
        <v xml:space="preserve">                   (282, 1, '030', '67704934', 1),</v>
      </c>
    </row>
    <row r="294" spans="2:30" x14ac:dyDescent="0.45">
      <c r="B294" s="4">
        <f>Grunddaten!A285</f>
        <v>283</v>
      </c>
      <c r="C294" s="4" t="str">
        <f>CONCATENATE("'",Grunddaten!F285,"'")</f>
        <v>'Senger'</v>
      </c>
      <c r="D294" s="4" t="str">
        <f>CONCATENATE("'",Grunddaten!E285,"'")</f>
        <v>'Edith'</v>
      </c>
      <c r="E294" s="4">
        <f>VLOOKUP(Grunddaten!D285,FormOfAddress,2,TRUE)</f>
        <v>2</v>
      </c>
      <c r="F294" s="4">
        <f>VLOOKUP(Grunddaten!I285,FamilyStatus,2,FALSE)</f>
        <v>4</v>
      </c>
      <c r="G294" s="4" t="str">
        <f>IF(Grunddaten!J285&lt;&gt;"",CONCATENATE("'",TEXT(Grunddaten!J285,"JJJJ-MM-tt"),"'"),"NULL")</f>
        <v>'2021-02-03'</v>
      </c>
      <c r="H294" s="4" t="str">
        <f>CONCATENATE("'",TEXT(Grunddaten!G285,"JJJJ-MM-tt"),"'")</f>
        <v>'1974-07-02'</v>
      </c>
      <c r="J294" s="14">
        <f>Grunddaten!A285</f>
        <v>283</v>
      </c>
      <c r="K294" s="14">
        <f>Grunddaten!Y285</f>
        <v>1</v>
      </c>
      <c r="L294" s="14" t="str">
        <f ca="1">CONCATENATE("'",Grunddaten!Z285,"'")</f>
        <v>'12524'</v>
      </c>
      <c r="M294" s="14" t="str">
        <f>CONCATENATE("'",Grunddaten!AA285,"'")</f>
        <v>'Berlin'</v>
      </c>
      <c r="N294" s="14" t="str">
        <f>CONCATENATE("'",Grunddaten!AB285,"'")</f>
        <v>'Johannes-Brahms-Straße'</v>
      </c>
      <c r="O294" s="14" t="str">
        <f>CONCATENATE("'",Grunddaten!AC285,"'")</f>
        <v>'82'</v>
      </c>
      <c r="P294" s="14">
        <f>Grunddaten!AD285</f>
        <v>1</v>
      </c>
      <c r="R294" s="13">
        <f>Grunddaten!A285</f>
        <v>283</v>
      </c>
      <c r="S294" s="13">
        <f>Grunddaten!AF285</f>
        <v>1</v>
      </c>
      <c r="T294" s="13" t="str">
        <f>CONCATENATE("'",Grunddaten!AG285,"'")</f>
        <v>'030'</v>
      </c>
      <c r="U294" s="13" t="str">
        <f ca="1">CONCATENATE("'",Grunddaten!AH285,"'")</f>
        <v>'68159820'</v>
      </c>
      <c r="V294" s="13">
        <f>Grunddaten!AI285</f>
        <v>1</v>
      </c>
      <c r="Z294" s="2" t="str" cm="1">
        <f t="array" ref="Z294">CONCATENATE("                   ",Liste(B294:H294),IF(Z295&lt;&gt;"",",",""))</f>
        <v xml:space="preserve">                   (283, 'Senger', 'Edith', 2, 4, '2021-02-03', '1974-07-02'),</v>
      </c>
      <c r="AB294" s="2" t="str" cm="1">
        <f t="array" aca="1" ref="AB294" ca="1">CONCATENATE("                    ",Liste(J294:P294),IF(AB295&lt;&gt;"",",",""))</f>
        <v xml:space="preserve">                    (283, 1, '12524', 'Berlin', 'Johannes-Brahms-Straße', '82', 1),</v>
      </c>
      <c r="AD294" s="2" t="str" cm="1">
        <f t="array" aca="1" ref="AD294" ca="1">CONCATENATE("                   ",Liste(R294:V294),IF(AD295&lt;&gt;"",",",""))</f>
        <v xml:space="preserve">                   (283, 1, '030', '68159820', 1),</v>
      </c>
    </row>
    <row r="295" spans="2:30" x14ac:dyDescent="0.45">
      <c r="B295" s="4">
        <f>Grunddaten!A286</f>
        <v>284</v>
      </c>
      <c r="C295" s="4" t="str">
        <f>CONCATENATE("'",Grunddaten!F286,"'")</f>
        <v>'Heusinger'</v>
      </c>
      <c r="D295" s="4" t="str">
        <f>CONCATENATE("'",Grunddaten!E286,"'")</f>
        <v>'Frank'</v>
      </c>
      <c r="E295" s="4">
        <f>VLOOKUP(Grunddaten!D286,FormOfAddress,2,TRUE)</f>
        <v>1</v>
      </c>
      <c r="F295" s="4">
        <f>VLOOKUP(Grunddaten!I286,FamilyStatus,2,FALSE)</f>
        <v>2</v>
      </c>
      <c r="G295" s="4" t="str">
        <f>IF(Grunddaten!J286&lt;&gt;"",CONCATENATE("'",TEXT(Grunddaten!J286,"JJJJ-MM-tt"),"'"),"NULL")</f>
        <v>'1990-03-21'</v>
      </c>
      <c r="H295" s="4" t="str">
        <f>CONCATENATE("'",TEXT(Grunddaten!G286,"JJJJ-MM-tt"),"'")</f>
        <v>'1969-02-27'</v>
      </c>
      <c r="J295" s="14">
        <f>Grunddaten!A286</f>
        <v>284</v>
      </c>
      <c r="K295" s="14">
        <f>Grunddaten!Y286</f>
        <v>1</v>
      </c>
      <c r="L295" s="14" t="str">
        <f ca="1">CONCATENATE("'",Grunddaten!Z286,"'")</f>
        <v>'14050'</v>
      </c>
      <c r="M295" s="14" t="str">
        <f>CONCATENATE("'",Grunddaten!AA286,"'")</f>
        <v>'Berlin'</v>
      </c>
      <c r="N295" s="14" t="str">
        <f>CONCATENATE("'",Grunddaten!AB286,"'")</f>
        <v>'Ludwig-Wittgenstein-Straße'</v>
      </c>
      <c r="O295" s="14" t="str">
        <f>CONCATENATE("'",Grunddaten!AC286,"'")</f>
        <v>'29'</v>
      </c>
      <c r="P295" s="14">
        <f>Grunddaten!AD286</f>
        <v>1</v>
      </c>
      <c r="R295" s="13">
        <f>Grunddaten!A286</f>
        <v>284</v>
      </c>
      <c r="S295" s="13">
        <f>Grunddaten!AF286</f>
        <v>1</v>
      </c>
      <c r="T295" s="13" t="str">
        <f>CONCATENATE("'",Grunddaten!AG286,"'")</f>
        <v>'030'</v>
      </c>
      <c r="U295" s="13" t="str">
        <f ca="1">CONCATENATE("'",Grunddaten!AH286,"'")</f>
        <v>'91063988'</v>
      </c>
      <c r="V295" s="13">
        <f>Grunddaten!AI286</f>
        <v>1</v>
      </c>
      <c r="Z295" s="2" t="str" cm="1">
        <f t="array" ref="Z295">CONCATENATE("                   ",Liste(B295:H295),IF(Z296&lt;&gt;"",",",""))</f>
        <v xml:space="preserve">                   (284, 'Heusinger', 'Frank', 1, 2, '1990-03-21', '1969-02-27'),</v>
      </c>
      <c r="AB295" s="2" t="str" cm="1">
        <f t="array" aca="1" ref="AB295" ca="1">CONCATENATE("                    ",Liste(J295:P295),IF(AB296&lt;&gt;"",",",""))</f>
        <v xml:space="preserve">                    (284, 1, '14050', 'Berlin', 'Ludwig-Wittgenstein-Straße', '29', 1),</v>
      </c>
      <c r="AD295" s="2" t="str" cm="1">
        <f t="array" aca="1" ref="AD295" ca="1">CONCATENATE("                   ",Liste(R295:V295),IF(AD296&lt;&gt;"",",",""))</f>
        <v xml:space="preserve">                   (284, 1, '030', '91063988', 1),</v>
      </c>
    </row>
    <row r="296" spans="2:30" x14ac:dyDescent="0.45">
      <c r="B296" s="4">
        <f>Grunddaten!A287</f>
        <v>285</v>
      </c>
      <c r="C296" s="4" t="str">
        <f>CONCATENATE("'",Grunddaten!F287,"'")</f>
        <v>'Koch'</v>
      </c>
      <c r="D296" s="4" t="str">
        <f>CONCATENATE("'",Grunddaten!E287,"'")</f>
        <v>'Richard'</v>
      </c>
      <c r="E296" s="4">
        <f>VLOOKUP(Grunddaten!D287,FormOfAddress,2,TRUE)</f>
        <v>1</v>
      </c>
      <c r="F296" s="4">
        <f>VLOOKUP(Grunddaten!I287,FamilyStatus,2,FALSE)</f>
        <v>2</v>
      </c>
      <c r="G296" s="4" t="str">
        <f>IF(Grunddaten!J287&lt;&gt;"",CONCATENATE("'",TEXT(Grunddaten!J287,"JJJJ-MM-tt"),"'"),"NULL")</f>
        <v>'1980-12-21'</v>
      </c>
      <c r="H296" s="4" t="str">
        <f>CONCATENATE("'",TEXT(Grunddaten!G287,"JJJJ-MM-tt"),"'")</f>
        <v>'1960-03-24'</v>
      </c>
      <c r="J296" s="14">
        <f>Grunddaten!A287</f>
        <v>285</v>
      </c>
      <c r="K296" s="14">
        <f>Grunddaten!Y287</f>
        <v>1</v>
      </c>
      <c r="L296" s="14" t="str">
        <f ca="1">CONCATENATE("'",Grunddaten!Z287,"'")</f>
        <v>'14822'</v>
      </c>
      <c r="M296" s="14" t="str">
        <f>CONCATENATE("'",Grunddaten!AA287,"'")</f>
        <v>'Brück'</v>
      </c>
      <c r="N296" s="14" t="str">
        <f>CONCATENATE("'",Grunddaten!AB287,"'")</f>
        <v>'Apfelstraße'</v>
      </c>
      <c r="O296" s="14" t="str">
        <f>CONCATENATE("'",Grunddaten!AC287,"'")</f>
        <v>'6'</v>
      </c>
      <c r="P296" s="14">
        <f>Grunddaten!AD287</f>
        <v>1</v>
      </c>
      <c r="R296" s="13">
        <f>Grunddaten!A287</f>
        <v>285</v>
      </c>
      <c r="S296" s="13">
        <f>Grunddaten!AF287</f>
        <v>1</v>
      </c>
      <c r="T296" s="13" t="str">
        <f>CONCATENATE("'",Grunddaten!AG287,"'")</f>
        <v>'033844'</v>
      </c>
      <c r="U296" s="13" t="str">
        <f ca="1">CONCATENATE("'",Grunddaten!AH287,"'")</f>
        <v>'9437'</v>
      </c>
      <c r="V296" s="13">
        <f>Grunddaten!AI287</f>
        <v>1</v>
      </c>
      <c r="Z296" s="2" t="str" cm="1">
        <f t="array" ref="Z296">CONCATENATE("                   ",Liste(B296:H296),IF(Z297&lt;&gt;"",",",""))</f>
        <v xml:space="preserve">                   (285, 'Koch', 'Richard', 1, 2, '1980-12-21', '1960-03-24'),</v>
      </c>
      <c r="AB296" s="2" t="str" cm="1">
        <f t="array" aca="1" ref="AB296" ca="1">CONCATENATE("                    ",Liste(J296:P296),IF(AB297&lt;&gt;"",",",""))</f>
        <v xml:space="preserve">                    (285, 1, '14822', 'Brück', 'Apfelstraße', '6', 1),</v>
      </c>
      <c r="AD296" s="2" t="str" cm="1">
        <f t="array" aca="1" ref="AD296" ca="1">CONCATENATE("                   ",Liste(R296:V296),IF(AD297&lt;&gt;"",",",""))</f>
        <v xml:space="preserve">                   (285, 1, '033844', '9437', 1),</v>
      </c>
    </row>
    <row r="297" spans="2:30" x14ac:dyDescent="0.45">
      <c r="B297" s="4">
        <f>Grunddaten!A288</f>
        <v>286</v>
      </c>
      <c r="C297" s="4" t="str">
        <f>CONCATENATE("'",Grunddaten!F288,"'")</f>
        <v>'Kleinert'</v>
      </c>
      <c r="D297" s="4" t="str">
        <f>CONCATENATE("'",Grunddaten!E288,"'")</f>
        <v>'Uwe'</v>
      </c>
      <c r="E297" s="4">
        <f>VLOOKUP(Grunddaten!D288,FormOfAddress,2,TRUE)</f>
        <v>1</v>
      </c>
      <c r="F297" s="4">
        <f>VLOOKUP(Grunddaten!I288,FamilyStatus,2,FALSE)</f>
        <v>2</v>
      </c>
      <c r="G297" s="4" t="str">
        <f>IF(Grunddaten!J288&lt;&gt;"",CONCATENATE("'",TEXT(Grunddaten!J288,"JJJJ-MM-tt"),"'"),"NULL")</f>
        <v>'2013-01-30'</v>
      </c>
      <c r="H297" s="4" t="str">
        <f>CONCATENATE("'",TEXT(Grunddaten!G288,"JJJJ-MM-tt"),"'")</f>
        <v>'1980-05-30'</v>
      </c>
      <c r="J297" s="14">
        <f>Grunddaten!A288</f>
        <v>286</v>
      </c>
      <c r="K297" s="14">
        <f>Grunddaten!Y288</f>
        <v>1</v>
      </c>
      <c r="L297" s="14" t="str">
        <f ca="1">CONCATENATE("'",Grunddaten!Z288,"'")</f>
        <v>'13597'</v>
      </c>
      <c r="M297" s="14" t="str">
        <f>CONCATENATE("'",Grunddaten!AA288,"'")</f>
        <v>'Berlin'</v>
      </c>
      <c r="N297" s="14" t="str">
        <f>CONCATENATE("'",Grunddaten!AB288,"'")</f>
        <v>'Rio-de-Janeiro-Straße'</v>
      </c>
      <c r="O297" s="14" t="str">
        <f>CONCATENATE("'",Grunddaten!AC288,"'")</f>
        <v>'25C'</v>
      </c>
      <c r="P297" s="14">
        <f>Grunddaten!AD288</f>
        <v>1</v>
      </c>
      <c r="R297" s="13">
        <f>Grunddaten!A288</f>
        <v>286</v>
      </c>
      <c r="S297" s="13">
        <f>Grunddaten!AF288</f>
        <v>1</v>
      </c>
      <c r="T297" s="13" t="str">
        <f>CONCATENATE("'",Grunddaten!AG288,"'")</f>
        <v>'030'</v>
      </c>
      <c r="U297" s="13" t="str">
        <f ca="1">CONCATENATE("'",Grunddaten!AH288,"'")</f>
        <v>'82222591'</v>
      </c>
      <c r="V297" s="13">
        <f>Grunddaten!AI288</f>
        <v>1</v>
      </c>
      <c r="Z297" s="2" t="str" cm="1">
        <f t="array" ref="Z297">CONCATENATE("                   ",Liste(B297:H297),IF(Z298&lt;&gt;"",",",""))</f>
        <v xml:space="preserve">                   (286, 'Kleinert', 'Uwe', 1, 2, '2013-01-30', '1980-05-30'),</v>
      </c>
      <c r="AB297" s="2" t="str" cm="1">
        <f t="array" aca="1" ref="AB297" ca="1">CONCATENATE("                    ",Liste(J297:P297),IF(AB298&lt;&gt;"",",",""))</f>
        <v xml:space="preserve">                    (286, 1, '13597', 'Berlin', 'Rio-de-Janeiro-Straße', '25C', 1),</v>
      </c>
      <c r="AD297" s="2" t="str" cm="1">
        <f t="array" aca="1" ref="AD297" ca="1">CONCATENATE("                   ",Liste(R297:V297),IF(AD298&lt;&gt;"",",",""))</f>
        <v xml:space="preserve">                   (286, 1, '030', '82222591', 1),</v>
      </c>
    </row>
    <row r="298" spans="2:30" x14ac:dyDescent="0.45">
      <c r="B298" s="4">
        <f>Grunddaten!A289</f>
        <v>287</v>
      </c>
      <c r="C298" s="4" t="str">
        <f>CONCATENATE("'",Grunddaten!F289,"'")</f>
        <v>'Hönow'</v>
      </c>
      <c r="D298" s="4" t="str">
        <f>CONCATENATE("'",Grunddaten!E289,"'")</f>
        <v>'Harald'</v>
      </c>
      <c r="E298" s="4">
        <f>VLOOKUP(Grunddaten!D289,FormOfAddress,2,TRUE)</f>
        <v>1</v>
      </c>
      <c r="F298" s="4">
        <f>VLOOKUP(Grunddaten!I289,FamilyStatus,2,FALSE)</f>
        <v>3</v>
      </c>
      <c r="G298" s="4" t="str">
        <f>IF(Grunddaten!J289&lt;&gt;"",CONCATENATE("'",TEXT(Grunddaten!J289,"JJJJ-MM-tt"),"'"),"NULL")</f>
        <v>'2015-07-07'</v>
      </c>
      <c r="H298" s="4" t="str">
        <f>CONCATENATE("'",TEXT(Grunddaten!G289,"JJJJ-MM-tt"),"'")</f>
        <v>'1961-12-05'</v>
      </c>
      <c r="J298" s="14">
        <f>Grunddaten!A289</f>
        <v>287</v>
      </c>
      <c r="K298" s="14">
        <f>Grunddaten!Y289</f>
        <v>1</v>
      </c>
      <c r="L298" s="14" t="str">
        <f ca="1">CONCATENATE("'",Grunddaten!Z289,"'")</f>
        <v>'13597'</v>
      </c>
      <c r="M298" s="14" t="str">
        <f>CONCATENATE("'",Grunddaten!AA289,"'")</f>
        <v>'Berlin'</v>
      </c>
      <c r="N298" s="14" t="str">
        <f>CONCATENATE("'",Grunddaten!AB289,"'")</f>
        <v>'Rosenstraße'</v>
      </c>
      <c r="O298" s="14" t="str">
        <f>CONCATENATE("'",Grunddaten!AC289,"'")</f>
        <v>'6'</v>
      </c>
      <c r="P298" s="14">
        <f>Grunddaten!AD289</f>
        <v>1</v>
      </c>
      <c r="R298" s="13">
        <f>Grunddaten!A289</f>
        <v>287</v>
      </c>
      <c r="S298" s="13">
        <f>Grunddaten!AF289</f>
        <v>1</v>
      </c>
      <c r="T298" s="13" t="str">
        <f>CONCATENATE("'",Grunddaten!AG289,"'")</f>
        <v>'030'</v>
      </c>
      <c r="U298" s="13" t="str">
        <f ca="1">CONCATENATE("'",Grunddaten!AH289,"'")</f>
        <v>'88105162'</v>
      </c>
      <c r="V298" s="13">
        <f>Grunddaten!AI289</f>
        <v>1</v>
      </c>
      <c r="Z298" s="2" t="str" cm="1">
        <f t="array" ref="Z298">CONCATENATE("                   ",Liste(B298:H298),IF(Z299&lt;&gt;"",",",""))</f>
        <v xml:space="preserve">                   (287, 'Hönow', 'Harald', 1, 3, '2015-07-07', '1961-12-05'),</v>
      </c>
      <c r="AB298" s="2" t="str" cm="1">
        <f t="array" aca="1" ref="AB298" ca="1">CONCATENATE("                    ",Liste(J298:P298),IF(AB299&lt;&gt;"",",",""))</f>
        <v xml:space="preserve">                    (287, 1, '13597', 'Berlin', 'Rosenstraße', '6', 1),</v>
      </c>
      <c r="AD298" s="2" t="str" cm="1">
        <f t="array" aca="1" ref="AD298" ca="1">CONCATENATE("                   ",Liste(R298:V298),IF(AD299&lt;&gt;"",",",""))</f>
        <v xml:space="preserve">                   (287, 1, '030', '88105162', 1),</v>
      </c>
    </row>
    <row r="299" spans="2:30" x14ac:dyDescent="0.45">
      <c r="B299" s="4">
        <f>Grunddaten!A290</f>
        <v>288</v>
      </c>
      <c r="C299" s="4" t="str">
        <f>CONCATENATE("'",Grunddaten!F290,"'")</f>
        <v>'Köhler'</v>
      </c>
      <c r="D299" s="4" t="str">
        <f>CONCATENATE("'",Grunddaten!E290,"'")</f>
        <v>'Manja'</v>
      </c>
      <c r="E299" s="4">
        <f>VLOOKUP(Grunddaten!D290,FormOfAddress,2,TRUE)</f>
        <v>2</v>
      </c>
      <c r="F299" s="4">
        <f>VLOOKUP(Grunddaten!I290,FamilyStatus,2,FALSE)</f>
        <v>2</v>
      </c>
      <c r="G299" s="4" t="str">
        <f>IF(Grunddaten!J290&lt;&gt;"",CONCATENATE("'",TEXT(Grunddaten!J290,"JJJJ-MM-tt"),"'"),"NULL")</f>
        <v>'2003-01-27'</v>
      </c>
      <c r="H299" s="4" t="str">
        <f>CONCATENATE("'",TEXT(Grunddaten!G290,"JJJJ-MM-tt"),"'")</f>
        <v>'1969-04-11'</v>
      </c>
      <c r="J299" s="14">
        <f>Grunddaten!A290</f>
        <v>288</v>
      </c>
      <c r="K299" s="14">
        <f>Grunddaten!Y290</f>
        <v>1</v>
      </c>
      <c r="L299" s="14" t="str">
        <f ca="1">CONCATENATE("'",Grunddaten!Z290,"'")</f>
        <v>'12157'</v>
      </c>
      <c r="M299" s="14" t="str">
        <f>CONCATENATE("'",Grunddaten!AA290,"'")</f>
        <v>'Berlin'</v>
      </c>
      <c r="N299" s="14" t="str">
        <f>CONCATENATE("'",Grunddaten!AB290,"'")</f>
        <v>'Marktstraße'</v>
      </c>
      <c r="O299" s="14" t="str">
        <f>CONCATENATE("'",Grunddaten!AC290,"'")</f>
        <v>'79'</v>
      </c>
      <c r="P299" s="14">
        <f>Grunddaten!AD290</f>
        <v>1</v>
      </c>
      <c r="R299" s="13">
        <f>Grunddaten!A290</f>
        <v>288</v>
      </c>
      <c r="S299" s="13">
        <f>Grunddaten!AF290</f>
        <v>1</v>
      </c>
      <c r="T299" s="13" t="str">
        <f>CONCATENATE("'",Grunddaten!AG290,"'")</f>
        <v>'030'</v>
      </c>
      <c r="U299" s="13" t="str">
        <f ca="1">CONCATENATE("'",Grunddaten!AH290,"'")</f>
        <v>'89582181'</v>
      </c>
      <c r="V299" s="13">
        <f>Grunddaten!AI290</f>
        <v>1</v>
      </c>
      <c r="Z299" s="2" t="str" cm="1">
        <f t="array" ref="Z299">CONCATENATE("                   ",Liste(B299:H299),IF(Z300&lt;&gt;"",",",""))</f>
        <v xml:space="preserve">                   (288, 'Köhler', 'Manja', 2, 2, '2003-01-27', '1969-04-11'),</v>
      </c>
      <c r="AB299" s="2" t="str" cm="1">
        <f t="array" aca="1" ref="AB299" ca="1">CONCATENATE("                    ",Liste(J299:P299),IF(AB300&lt;&gt;"",",",""))</f>
        <v xml:space="preserve">                    (288, 1, '12157', 'Berlin', 'Marktstraße', '79', 1),</v>
      </c>
      <c r="AD299" s="2" t="str" cm="1">
        <f t="array" aca="1" ref="AD299" ca="1">CONCATENATE("                   ",Liste(R299:V299),IF(AD300&lt;&gt;"",",",""))</f>
        <v xml:space="preserve">                   (288, 1, '030', '89582181', 1),</v>
      </c>
    </row>
    <row r="300" spans="2:30" x14ac:dyDescent="0.45">
      <c r="B300" s="4">
        <f>Grunddaten!A291</f>
        <v>289</v>
      </c>
      <c r="C300" s="4" t="str">
        <f>CONCATENATE("'",Grunddaten!F291,"'")</f>
        <v>'Krüger'</v>
      </c>
      <c r="D300" s="4" t="str">
        <f>CONCATENATE("'",Grunddaten!E291,"'")</f>
        <v>'Georg'</v>
      </c>
      <c r="E300" s="4">
        <f>VLOOKUP(Grunddaten!D291,FormOfAddress,2,TRUE)</f>
        <v>1</v>
      </c>
      <c r="F300" s="4">
        <f>VLOOKUP(Grunddaten!I291,FamilyStatus,2,FALSE)</f>
        <v>1</v>
      </c>
      <c r="G300" s="4" t="str">
        <f>IF(Grunddaten!J291&lt;&gt;"",CONCATENATE("'",TEXT(Grunddaten!J291,"JJJJ-MM-tt"),"'"),"NULL")</f>
        <v>NULL</v>
      </c>
      <c r="H300" s="4" t="str">
        <f>CONCATENATE("'",TEXT(Grunddaten!G291,"JJJJ-MM-tt"),"'")</f>
        <v>'2000-01-10'</v>
      </c>
      <c r="J300" s="14">
        <f>Grunddaten!A291</f>
        <v>289</v>
      </c>
      <c r="K300" s="14">
        <f>Grunddaten!Y291</f>
        <v>1</v>
      </c>
      <c r="L300" s="14" t="str">
        <f ca="1">CONCATENATE("'",Grunddaten!Z291,"'")</f>
        <v>'14789'</v>
      </c>
      <c r="M300" s="14" t="str">
        <f>CONCATENATE("'",Grunddaten!AA291,"'")</f>
        <v>'Wusterwitz'</v>
      </c>
      <c r="N300" s="14" t="str">
        <f>CONCATENATE("'",Grunddaten!AB291,"'")</f>
        <v>'Immanuel-Kant-Straße'</v>
      </c>
      <c r="O300" s="14" t="str">
        <f>CONCATENATE("'",Grunddaten!AC291,"'")</f>
        <v>'23F'</v>
      </c>
      <c r="P300" s="14">
        <f>Grunddaten!AD291</f>
        <v>1</v>
      </c>
      <c r="R300" s="13">
        <f>Grunddaten!A291</f>
        <v>289</v>
      </c>
      <c r="S300" s="13">
        <f>Grunddaten!AF291</f>
        <v>1</v>
      </c>
      <c r="T300" s="13" t="str">
        <f>CONCATENATE("'",Grunddaten!AG291,"'")</f>
        <v>'033834'</v>
      </c>
      <c r="U300" s="13" t="str">
        <f ca="1">CONCATENATE("'",Grunddaten!AH291,"'")</f>
        <v>'7250'</v>
      </c>
      <c r="V300" s="13">
        <f>Grunddaten!AI291</f>
        <v>1</v>
      </c>
      <c r="Z300" s="2" t="str" cm="1">
        <f t="array" ref="Z300">CONCATENATE("                   ",Liste(B300:H300),IF(Z301&lt;&gt;"",",",""))</f>
        <v xml:space="preserve">                   (289, 'Krüger', 'Georg', 1, 1, NULL, '2000-01-10'),</v>
      </c>
      <c r="AB300" s="2" t="str" cm="1">
        <f t="array" aca="1" ref="AB300" ca="1">CONCATENATE("                    ",Liste(J300:P300),IF(AB301&lt;&gt;"",",",""))</f>
        <v xml:space="preserve">                    (289, 1, '14789', 'Wusterwitz', 'Immanuel-Kant-Straße', '23F', 1),</v>
      </c>
      <c r="AD300" s="2" t="str" cm="1">
        <f t="array" aca="1" ref="AD300" ca="1">CONCATENATE("                   ",Liste(R300:V300),IF(AD301&lt;&gt;"",",",""))</f>
        <v xml:space="preserve">                   (289, 1, '033834', '7250', 1),</v>
      </c>
    </row>
    <row r="301" spans="2:30" x14ac:dyDescent="0.45">
      <c r="B301" s="4">
        <f>Grunddaten!A292</f>
        <v>290</v>
      </c>
      <c r="C301" s="4" t="str">
        <f>CONCATENATE("'",Grunddaten!F292,"'")</f>
        <v>'Hoge'</v>
      </c>
      <c r="D301" s="4" t="str">
        <f>CONCATENATE("'",Grunddaten!E292,"'")</f>
        <v>'Paul'</v>
      </c>
      <c r="E301" s="4">
        <f>VLOOKUP(Grunddaten!D292,FormOfAddress,2,TRUE)</f>
        <v>1</v>
      </c>
      <c r="F301" s="4">
        <f>VLOOKUP(Grunddaten!I292,FamilyStatus,2,FALSE)</f>
        <v>3</v>
      </c>
      <c r="G301" s="4" t="str">
        <f>IF(Grunddaten!J292&lt;&gt;"",CONCATENATE("'",TEXT(Grunddaten!J292,"JJJJ-MM-tt"),"'"),"NULL")</f>
        <v>'2023-05-08'</v>
      </c>
      <c r="H301" s="4" t="str">
        <f>CONCATENATE("'",TEXT(Grunddaten!G292,"JJJJ-MM-tt"),"'")</f>
        <v>'1984-08-27'</v>
      </c>
      <c r="J301" s="14">
        <f>Grunddaten!A292</f>
        <v>290</v>
      </c>
      <c r="K301" s="14">
        <f>Grunddaten!Y292</f>
        <v>1</v>
      </c>
      <c r="L301" s="14" t="str">
        <f ca="1">CONCATENATE("'",Grunddaten!Z292,"'")</f>
        <v>'13597'</v>
      </c>
      <c r="M301" s="14" t="str">
        <f>CONCATENATE("'",Grunddaten!AA292,"'")</f>
        <v>'Berlin'</v>
      </c>
      <c r="N301" s="14" t="str">
        <f>CONCATENATE("'",Grunddaten!AB292,"'")</f>
        <v>'Heideweg'</v>
      </c>
      <c r="O301" s="14" t="str">
        <f>CONCATENATE("'",Grunddaten!AC292,"'")</f>
        <v>'26'</v>
      </c>
      <c r="P301" s="14">
        <f>Grunddaten!AD292</f>
        <v>1</v>
      </c>
      <c r="R301" s="13">
        <f>Grunddaten!A292</f>
        <v>290</v>
      </c>
      <c r="S301" s="13">
        <f>Grunddaten!AF292</f>
        <v>1</v>
      </c>
      <c r="T301" s="13" t="str">
        <f>CONCATENATE("'",Grunddaten!AG292,"'")</f>
        <v>'030'</v>
      </c>
      <c r="U301" s="13" t="str">
        <f ca="1">CONCATENATE("'",Grunddaten!AH292,"'")</f>
        <v>'81995854'</v>
      </c>
      <c r="V301" s="13">
        <f>Grunddaten!AI292</f>
        <v>1</v>
      </c>
      <c r="Z301" s="2" t="str" cm="1">
        <f t="array" ref="Z301">CONCATENATE("                   ",Liste(B301:H301),IF(Z302&lt;&gt;"",",",""))</f>
        <v xml:space="preserve">                   (290, 'Hoge', 'Paul', 1, 3, '2023-05-08', '1984-08-27'),</v>
      </c>
      <c r="AB301" s="2" t="str" cm="1">
        <f t="array" aca="1" ref="AB301" ca="1">CONCATENATE("                    ",Liste(J301:P301),IF(AB302&lt;&gt;"",",",""))</f>
        <v xml:space="preserve">                    (290, 1, '13597', 'Berlin', 'Heideweg', '26', 1),</v>
      </c>
      <c r="AD301" s="2" t="str" cm="1">
        <f t="array" aca="1" ref="AD301" ca="1">CONCATENATE("                   ",Liste(R301:V301),IF(AD302&lt;&gt;"",",",""))</f>
        <v xml:space="preserve">                   (290, 1, '030', '81995854', 1),</v>
      </c>
    </row>
    <row r="302" spans="2:30" x14ac:dyDescent="0.45">
      <c r="B302" s="4">
        <f>Grunddaten!A293</f>
        <v>291</v>
      </c>
      <c r="C302" s="4" t="str">
        <f>CONCATENATE("'",Grunddaten!F293,"'")</f>
        <v>'Lindner'</v>
      </c>
      <c r="D302" s="4" t="str">
        <f>CONCATENATE("'",Grunddaten!E293,"'")</f>
        <v>'Peter'</v>
      </c>
      <c r="E302" s="4">
        <f>VLOOKUP(Grunddaten!D293,FormOfAddress,2,TRUE)</f>
        <v>1</v>
      </c>
      <c r="F302" s="4">
        <f>VLOOKUP(Grunddaten!I293,FamilyStatus,2,FALSE)</f>
        <v>2</v>
      </c>
      <c r="G302" s="4" t="str">
        <f>IF(Grunddaten!J293&lt;&gt;"",CONCATENATE("'",TEXT(Grunddaten!J293,"JJJJ-MM-tt"),"'"),"NULL")</f>
        <v>'2005-12-17'</v>
      </c>
      <c r="H302" s="4" t="str">
        <f>CONCATENATE("'",TEXT(Grunddaten!G293,"JJJJ-MM-tt"),"'")</f>
        <v>'1983-04-19'</v>
      </c>
      <c r="J302" s="14">
        <f>Grunddaten!A293</f>
        <v>291</v>
      </c>
      <c r="K302" s="14">
        <f>Grunddaten!Y293</f>
        <v>1</v>
      </c>
      <c r="L302" s="14" t="str">
        <f ca="1">CONCATENATE("'",Grunddaten!Z293,"'")</f>
        <v>'12435'</v>
      </c>
      <c r="M302" s="14" t="str">
        <f>CONCATENATE("'",Grunddaten!AA293,"'")</f>
        <v>'Berlin'</v>
      </c>
      <c r="N302" s="14" t="str">
        <f>CONCATENATE("'",Grunddaten!AB293,"'")</f>
        <v>'Humboldtstraße'</v>
      </c>
      <c r="O302" s="14" t="str">
        <f>CONCATENATE("'",Grunddaten!AC293,"'")</f>
        <v>'26'</v>
      </c>
      <c r="P302" s="14">
        <f>Grunddaten!AD293</f>
        <v>1</v>
      </c>
      <c r="R302" s="13">
        <f>Grunddaten!A293</f>
        <v>291</v>
      </c>
      <c r="S302" s="13">
        <f>Grunddaten!AF293</f>
        <v>1</v>
      </c>
      <c r="T302" s="13" t="str">
        <f>CONCATENATE("'",Grunddaten!AG293,"'")</f>
        <v>'030'</v>
      </c>
      <c r="U302" s="13" t="str">
        <f ca="1">CONCATENATE("'",Grunddaten!AH293,"'")</f>
        <v>'57393356'</v>
      </c>
      <c r="V302" s="13">
        <f>Grunddaten!AI293</f>
        <v>1</v>
      </c>
      <c r="Z302" s="2" t="str" cm="1">
        <f t="array" ref="Z302">CONCATENATE("                   ",Liste(B302:H302),IF(Z303&lt;&gt;"",",",""))</f>
        <v xml:space="preserve">                   (291, 'Lindner', 'Peter', 1, 2, '2005-12-17', '1983-04-19'),</v>
      </c>
      <c r="AB302" s="2" t="str" cm="1">
        <f t="array" aca="1" ref="AB302" ca="1">CONCATENATE("                    ",Liste(J302:P302),IF(AB303&lt;&gt;"",",",""))</f>
        <v xml:space="preserve">                    (291, 1, '12435', 'Berlin', 'Humboldtstraße', '26', 1),</v>
      </c>
      <c r="AD302" s="2" t="str" cm="1">
        <f t="array" aca="1" ref="AD302" ca="1">CONCATENATE("                   ",Liste(R302:V302),IF(AD303&lt;&gt;"",",",""))</f>
        <v xml:space="preserve">                   (291, 1, '030', '57393356', 1),</v>
      </c>
    </row>
    <row r="303" spans="2:30" x14ac:dyDescent="0.45">
      <c r="B303" s="4">
        <f>Grunddaten!A294</f>
        <v>292</v>
      </c>
      <c r="C303" s="4" t="str">
        <f>CONCATENATE("'",Grunddaten!F294,"'")</f>
        <v>'Kunze'</v>
      </c>
      <c r="D303" s="4" t="str">
        <f>CONCATENATE("'",Grunddaten!E294,"'")</f>
        <v>'Roberta'</v>
      </c>
      <c r="E303" s="4">
        <f>VLOOKUP(Grunddaten!D294,FormOfAddress,2,TRUE)</f>
        <v>2</v>
      </c>
      <c r="F303" s="4">
        <f>VLOOKUP(Grunddaten!I294,FamilyStatus,2,FALSE)</f>
        <v>2</v>
      </c>
      <c r="G303" s="4" t="str">
        <f>IF(Grunddaten!J294&lt;&gt;"",CONCATENATE("'",TEXT(Grunddaten!J294,"JJJJ-MM-tt"),"'"),"NULL")</f>
        <v>'1999-09-16'</v>
      </c>
      <c r="H303" s="4" t="str">
        <f>CONCATENATE("'",TEXT(Grunddaten!G294,"JJJJ-MM-tt"),"'")</f>
        <v>'1972-12-13'</v>
      </c>
      <c r="J303" s="14">
        <f>Grunddaten!A294</f>
        <v>292</v>
      </c>
      <c r="K303" s="14">
        <f>Grunddaten!Y294</f>
        <v>1</v>
      </c>
      <c r="L303" s="14" t="str">
        <f ca="1">CONCATENATE("'",Grunddaten!Z294,"'")</f>
        <v>'12555'</v>
      </c>
      <c r="M303" s="14" t="str">
        <f>CONCATENATE("'",Grunddaten!AA294,"'")</f>
        <v>'Berlin'</v>
      </c>
      <c r="N303" s="14" t="str">
        <f>CONCATENATE("'",Grunddaten!AB294,"'")</f>
        <v>'Siedlungsstraße'</v>
      </c>
      <c r="O303" s="14" t="str">
        <f>CONCATENATE("'",Grunddaten!AC294,"'")</f>
        <v>'22B'</v>
      </c>
      <c r="P303" s="14">
        <f>Grunddaten!AD294</f>
        <v>1</v>
      </c>
      <c r="R303" s="13">
        <f>Grunddaten!A294</f>
        <v>292</v>
      </c>
      <c r="S303" s="13">
        <f>Grunddaten!AF294</f>
        <v>1</v>
      </c>
      <c r="T303" s="13" t="str">
        <f>CONCATENATE("'",Grunddaten!AG294,"'")</f>
        <v>'030'</v>
      </c>
      <c r="U303" s="13" t="str">
        <f ca="1">CONCATENATE("'",Grunddaten!AH294,"'")</f>
        <v>'87332291'</v>
      </c>
      <c r="V303" s="13">
        <f>Grunddaten!AI294</f>
        <v>1</v>
      </c>
      <c r="Z303" s="2" t="str" cm="1">
        <f t="array" ref="Z303">CONCATENATE("                   ",Liste(B303:H303),IF(Z304&lt;&gt;"",",",""))</f>
        <v xml:space="preserve">                   (292, 'Kunze', 'Roberta', 2, 2, '1999-09-16', '1972-12-13'),</v>
      </c>
      <c r="AB303" s="2" t="str" cm="1">
        <f t="array" aca="1" ref="AB303" ca="1">CONCATENATE("                    ",Liste(J303:P303),IF(AB304&lt;&gt;"",",",""))</f>
        <v xml:space="preserve">                    (292, 1, '12555', 'Berlin', 'Siedlungsstraße', '22B', 1),</v>
      </c>
      <c r="AD303" s="2" t="str" cm="1">
        <f t="array" aca="1" ref="AD303" ca="1">CONCATENATE("                   ",Liste(R303:V303),IF(AD304&lt;&gt;"",",",""))</f>
        <v xml:space="preserve">                   (292, 1, '030', '87332291', 1),</v>
      </c>
    </row>
    <row r="304" spans="2:30" x14ac:dyDescent="0.45">
      <c r="B304" s="4">
        <f>Grunddaten!A295</f>
        <v>293</v>
      </c>
      <c r="C304" s="4" t="str">
        <f>CONCATENATE("'",Grunddaten!F295,"'")</f>
        <v>'Hoppe'</v>
      </c>
      <c r="D304" s="4" t="str">
        <f>CONCATENATE("'",Grunddaten!E295,"'")</f>
        <v>'Norbert'</v>
      </c>
      <c r="E304" s="4">
        <f>VLOOKUP(Grunddaten!D295,FormOfAddress,2,TRUE)</f>
        <v>1</v>
      </c>
      <c r="F304" s="4">
        <f>VLOOKUP(Grunddaten!I295,FamilyStatus,2,FALSE)</f>
        <v>1</v>
      </c>
      <c r="G304" s="4" t="str">
        <f>IF(Grunddaten!J295&lt;&gt;"",CONCATENATE("'",TEXT(Grunddaten!J295,"JJJJ-MM-tt"),"'"),"NULL")</f>
        <v>NULL</v>
      </c>
      <c r="H304" s="4" t="str">
        <f>CONCATENATE("'",TEXT(Grunddaten!G295,"JJJJ-MM-tt"),"'")</f>
        <v>'1991-07-20'</v>
      </c>
      <c r="J304" s="14">
        <f>Grunddaten!A295</f>
        <v>293</v>
      </c>
      <c r="K304" s="14">
        <f>Grunddaten!Y295</f>
        <v>1</v>
      </c>
      <c r="L304" s="14" t="str">
        <f ca="1">CONCATENATE("'",Grunddaten!Z295,"'")</f>
        <v>'13581'</v>
      </c>
      <c r="M304" s="14" t="str">
        <f>CONCATENATE("'",Grunddaten!AA295,"'")</f>
        <v>'Berlin'</v>
      </c>
      <c r="N304" s="14" t="str">
        <f>CONCATENATE("'",Grunddaten!AB295,"'")</f>
        <v>'Feldstraße'</v>
      </c>
      <c r="O304" s="14" t="str">
        <f>CONCATENATE("'",Grunddaten!AC295,"'")</f>
        <v>'12B/C'</v>
      </c>
      <c r="P304" s="14">
        <f>Grunddaten!AD295</f>
        <v>1</v>
      </c>
      <c r="R304" s="13">
        <f>Grunddaten!A295</f>
        <v>293</v>
      </c>
      <c r="S304" s="13">
        <f>Grunddaten!AF295</f>
        <v>1</v>
      </c>
      <c r="T304" s="13" t="str">
        <f>CONCATENATE("'",Grunddaten!AG295,"'")</f>
        <v>'030'</v>
      </c>
      <c r="U304" s="13" t="str">
        <f ca="1">CONCATENATE("'",Grunddaten!AH295,"'")</f>
        <v>'89162417'</v>
      </c>
      <c r="V304" s="13">
        <f>Grunddaten!AI295</f>
        <v>1</v>
      </c>
      <c r="Z304" s="2" t="str" cm="1">
        <f t="array" ref="Z304">CONCATENATE("                   ",Liste(B304:H304),IF(Z305&lt;&gt;"",",",""))</f>
        <v xml:space="preserve">                   (293, 'Hoppe', 'Norbert', 1, 1, NULL, '1991-07-20'),</v>
      </c>
      <c r="AB304" s="2" t="str" cm="1">
        <f t="array" aca="1" ref="AB304" ca="1">CONCATENATE("                    ",Liste(J304:P304),IF(AB305&lt;&gt;"",",",""))</f>
        <v xml:space="preserve">                    (293, 1, '13581', 'Berlin', 'Feldstraße', '12B/C', 1),</v>
      </c>
      <c r="AD304" s="2" t="str" cm="1">
        <f t="array" aca="1" ref="AD304" ca="1">CONCATENATE("                   ",Liste(R304:V304),IF(AD305&lt;&gt;"",",",""))</f>
        <v xml:space="preserve">                   (293, 1, '030', '89162417', 1),</v>
      </c>
    </row>
    <row r="305" spans="2:30" x14ac:dyDescent="0.45">
      <c r="B305" s="4">
        <f>Grunddaten!A296</f>
        <v>294</v>
      </c>
      <c r="C305" s="4" t="str">
        <f>CONCATENATE("'",Grunddaten!F296,"'")</f>
        <v>'Lorenz'</v>
      </c>
      <c r="D305" s="4" t="str">
        <f>CONCATENATE("'",Grunddaten!E296,"'")</f>
        <v>'Oliver'</v>
      </c>
      <c r="E305" s="4">
        <f>VLOOKUP(Grunddaten!D296,FormOfAddress,2,TRUE)</f>
        <v>1</v>
      </c>
      <c r="F305" s="4">
        <f>VLOOKUP(Grunddaten!I296,FamilyStatus,2,FALSE)</f>
        <v>2</v>
      </c>
      <c r="G305" s="4" t="str">
        <f>IF(Grunddaten!J296&lt;&gt;"",CONCATENATE("'",TEXT(Grunddaten!J296,"JJJJ-MM-tt"),"'"),"NULL")</f>
        <v>'1991-02-02'</v>
      </c>
      <c r="H305" s="4" t="str">
        <f>CONCATENATE("'",TEXT(Grunddaten!G296,"JJJJ-MM-tt"),"'")</f>
        <v>'1963-09-27'</v>
      </c>
      <c r="J305" s="14">
        <f>Grunddaten!A296</f>
        <v>294</v>
      </c>
      <c r="K305" s="14">
        <f>Grunddaten!Y296</f>
        <v>1</v>
      </c>
      <c r="L305" s="14" t="str">
        <f ca="1">CONCATENATE("'",Grunddaten!Z296,"'")</f>
        <v>'10707'</v>
      </c>
      <c r="M305" s="14" t="str">
        <f>CONCATENATE("'",Grunddaten!AA296,"'")</f>
        <v>'Berlin'</v>
      </c>
      <c r="N305" s="14" t="str">
        <f>CONCATENATE("'",Grunddaten!AB296,"'")</f>
        <v>'Blumenstraße'</v>
      </c>
      <c r="O305" s="14" t="str">
        <f>CONCATENATE("'",Grunddaten!AC296,"'")</f>
        <v>'15'</v>
      </c>
      <c r="P305" s="14">
        <f>Grunddaten!AD296</f>
        <v>1</v>
      </c>
      <c r="R305" s="13">
        <f>Grunddaten!A296</f>
        <v>294</v>
      </c>
      <c r="S305" s="13">
        <f>Grunddaten!AF296</f>
        <v>1</v>
      </c>
      <c r="T305" s="13" t="str">
        <f>CONCATENATE("'",Grunddaten!AG296,"'")</f>
        <v>'030'</v>
      </c>
      <c r="U305" s="13" t="str">
        <f ca="1">CONCATENATE("'",Grunddaten!AH296,"'")</f>
        <v>'56741037'</v>
      </c>
      <c r="V305" s="13">
        <f>Grunddaten!AI296</f>
        <v>1</v>
      </c>
      <c r="Z305" s="2" t="str" cm="1">
        <f t="array" ref="Z305">CONCATENATE("                   ",Liste(B305:H305),IF(Z306&lt;&gt;"",",",""))</f>
        <v xml:space="preserve">                   (294, 'Lorenz', 'Oliver', 1, 2, '1991-02-02', '1963-09-27'),</v>
      </c>
      <c r="AB305" s="2" t="str" cm="1">
        <f t="array" aca="1" ref="AB305" ca="1">CONCATENATE("                    ",Liste(J305:P305),IF(AB306&lt;&gt;"",",",""))</f>
        <v xml:space="preserve">                    (294, 1, '10707', 'Berlin', 'Blumenstraße', '15', 1),</v>
      </c>
      <c r="AD305" s="2" t="str" cm="1">
        <f t="array" aca="1" ref="AD305" ca="1">CONCATENATE("                   ",Liste(R305:V305),IF(AD306&lt;&gt;"",",",""))</f>
        <v xml:space="preserve">                   (294, 1, '030', '56741037', 1),</v>
      </c>
    </row>
    <row r="306" spans="2:30" x14ac:dyDescent="0.45">
      <c r="B306" s="4">
        <f>Grunddaten!A297</f>
        <v>295</v>
      </c>
      <c r="C306" s="4" t="str">
        <f>CONCATENATE("'",Grunddaten!F297,"'")</f>
        <v>'Maaß'</v>
      </c>
      <c r="D306" s="4" t="str">
        <f>CONCATENATE("'",Grunddaten!E297,"'")</f>
        <v>'Ilse'</v>
      </c>
      <c r="E306" s="4">
        <f>VLOOKUP(Grunddaten!D297,FormOfAddress,2,TRUE)</f>
        <v>2</v>
      </c>
      <c r="F306" s="4">
        <f>VLOOKUP(Grunddaten!I297,FamilyStatus,2,FALSE)</f>
        <v>1</v>
      </c>
      <c r="G306" s="4" t="str">
        <f>IF(Grunddaten!J297&lt;&gt;"",CONCATENATE("'",TEXT(Grunddaten!J297,"JJJJ-MM-tt"),"'"),"NULL")</f>
        <v>NULL</v>
      </c>
      <c r="H306" s="4" t="str">
        <f>CONCATENATE("'",TEXT(Grunddaten!G297,"JJJJ-MM-tt"),"'")</f>
        <v>'1999-08-13'</v>
      </c>
      <c r="J306" s="14">
        <f>Grunddaten!A297</f>
        <v>295</v>
      </c>
      <c r="K306" s="14">
        <f>Grunddaten!Y297</f>
        <v>1</v>
      </c>
      <c r="L306" s="14" t="str">
        <f ca="1">CONCATENATE("'",Grunddaten!Z297,"'")</f>
        <v>'10961'</v>
      </c>
      <c r="M306" s="14" t="str">
        <f>CONCATENATE("'",Grunddaten!AA297,"'")</f>
        <v>'Berlin'</v>
      </c>
      <c r="N306" s="14" t="str">
        <f>CONCATENATE("'",Grunddaten!AB297,"'")</f>
        <v>'Johannes-Gutenberg-Straße'</v>
      </c>
      <c r="O306" s="14" t="str">
        <f>CONCATENATE("'",Grunddaten!AC297,"'")</f>
        <v>'73C'</v>
      </c>
      <c r="P306" s="14">
        <f>Grunddaten!AD297</f>
        <v>1</v>
      </c>
      <c r="R306" s="13">
        <f>Grunddaten!A297</f>
        <v>295</v>
      </c>
      <c r="S306" s="13">
        <f>Grunddaten!AF297</f>
        <v>1</v>
      </c>
      <c r="T306" s="13" t="str">
        <f>CONCATENATE("'",Grunddaten!AG297,"'")</f>
        <v>'030'</v>
      </c>
      <c r="U306" s="13" t="str">
        <f ca="1">CONCATENATE("'",Grunddaten!AH297,"'")</f>
        <v>'87731401'</v>
      </c>
      <c r="V306" s="13">
        <f>Grunddaten!AI297</f>
        <v>1</v>
      </c>
      <c r="Z306" s="2" t="str" cm="1">
        <f t="array" ref="Z306">CONCATENATE("                   ",Liste(B306:H306),IF(Z307&lt;&gt;"",",",""))</f>
        <v xml:space="preserve">                   (295, 'Maaß', 'Ilse', 2, 1, NULL, '1999-08-13'),</v>
      </c>
      <c r="AB306" s="2" t="str" cm="1">
        <f t="array" aca="1" ref="AB306" ca="1">CONCATENATE("                    ",Liste(J306:P306),IF(AB307&lt;&gt;"",",",""))</f>
        <v xml:space="preserve">                    (295, 1, '10961', 'Berlin', 'Johannes-Gutenberg-Straße', '73C', 1),</v>
      </c>
      <c r="AD306" s="2" t="str" cm="1">
        <f t="array" aca="1" ref="AD306" ca="1">CONCATENATE("                   ",Liste(R306:V306),IF(AD307&lt;&gt;"",",",""))</f>
        <v xml:space="preserve">                   (295, 1, '030', '87731401', 1),</v>
      </c>
    </row>
    <row r="307" spans="2:30" x14ac:dyDescent="0.45">
      <c r="B307" s="4">
        <f>Grunddaten!A298</f>
        <v>296</v>
      </c>
      <c r="C307" s="4" t="str">
        <f>CONCATENATE("'",Grunddaten!F298,"'")</f>
        <v>'Müller'</v>
      </c>
      <c r="D307" s="4" t="str">
        <f>CONCATENATE("'",Grunddaten!E298,"'")</f>
        <v>'Jochen'</v>
      </c>
      <c r="E307" s="4">
        <f>VLOOKUP(Grunddaten!D298,FormOfAddress,2,TRUE)</f>
        <v>1</v>
      </c>
      <c r="F307" s="4">
        <f>VLOOKUP(Grunddaten!I298,FamilyStatus,2,FALSE)</f>
        <v>3</v>
      </c>
      <c r="G307" s="4" t="str">
        <f>IF(Grunddaten!J298&lt;&gt;"",CONCATENATE("'",TEXT(Grunddaten!J298,"JJJJ-MM-tt"),"'"),"NULL")</f>
        <v>'2012-11-05'</v>
      </c>
      <c r="H307" s="4" t="str">
        <f>CONCATENATE("'",TEXT(Grunddaten!G298,"JJJJ-MM-tt"),"'")</f>
        <v>'1966-05-18'</v>
      </c>
      <c r="J307" s="14">
        <f>Grunddaten!A298</f>
        <v>296</v>
      </c>
      <c r="K307" s="14">
        <f>Grunddaten!Y298</f>
        <v>1</v>
      </c>
      <c r="L307" s="14" t="str">
        <f ca="1">CONCATENATE("'",Grunddaten!Z298,"'")</f>
        <v>'14467'</v>
      </c>
      <c r="M307" s="14" t="str">
        <f>CONCATENATE("'",Grunddaten!AA298,"'")</f>
        <v>'Potsdam'</v>
      </c>
      <c r="N307" s="14" t="str">
        <f>CONCATENATE("'",Grunddaten!AB298,"'")</f>
        <v>'Haubenweg'</v>
      </c>
      <c r="O307" s="14" t="str">
        <f>CONCATENATE("'",Grunddaten!AC298,"'")</f>
        <v>'9'</v>
      </c>
      <c r="P307" s="14">
        <f>Grunddaten!AD298</f>
        <v>1</v>
      </c>
      <c r="R307" s="13">
        <f>Grunddaten!A298</f>
        <v>296</v>
      </c>
      <c r="S307" s="13">
        <f>Grunddaten!AF298</f>
        <v>1</v>
      </c>
      <c r="T307" s="13" t="str">
        <f>CONCATENATE("'",Grunddaten!AG298,"'")</f>
        <v>'0331'</v>
      </c>
      <c r="U307" s="13" t="str">
        <f ca="1">CONCATENATE("'",Grunddaten!AH298,"'")</f>
        <v>'86971'</v>
      </c>
      <c r="V307" s="13">
        <f>Grunddaten!AI298</f>
        <v>1</v>
      </c>
      <c r="Z307" s="2" t="str" cm="1">
        <f t="array" ref="Z307">CONCATENATE("                   ",Liste(B307:H307),IF(Z308&lt;&gt;"",",",""))</f>
        <v xml:space="preserve">                   (296, 'Müller', 'Jochen', 1, 3, '2012-11-05', '1966-05-18'),</v>
      </c>
      <c r="AB307" s="2" t="str" cm="1">
        <f t="array" aca="1" ref="AB307" ca="1">CONCATENATE("                    ",Liste(J307:P307),IF(AB308&lt;&gt;"",",",""))</f>
        <v xml:space="preserve">                    (296, 1, '14467', 'Potsdam', 'Haubenweg', '9', 1),</v>
      </c>
      <c r="AD307" s="2" t="str" cm="1">
        <f t="array" aca="1" ref="AD307" ca="1">CONCATENATE("                   ",Liste(R307:V307),IF(AD308&lt;&gt;"",",",""))</f>
        <v xml:space="preserve">                   (296, 1, '0331', '86971', 1),</v>
      </c>
    </row>
    <row r="308" spans="2:30" x14ac:dyDescent="0.45">
      <c r="B308" s="4">
        <f>Grunddaten!A299</f>
        <v>297</v>
      </c>
      <c r="C308" s="4" t="str">
        <f>CONCATENATE("'",Grunddaten!F299,"'")</f>
        <v>'Radtke'</v>
      </c>
      <c r="D308" s="4" t="str">
        <f>CONCATENATE("'",Grunddaten!E299,"'")</f>
        <v>'Markus'</v>
      </c>
      <c r="E308" s="4">
        <f>VLOOKUP(Grunddaten!D299,FormOfAddress,2,TRUE)</f>
        <v>1</v>
      </c>
      <c r="F308" s="4">
        <f>VLOOKUP(Grunddaten!I299,FamilyStatus,2,FALSE)</f>
        <v>1</v>
      </c>
      <c r="G308" s="4" t="str">
        <f>IF(Grunddaten!J299&lt;&gt;"",CONCATENATE("'",TEXT(Grunddaten!J299,"JJJJ-MM-tt"),"'"),"NULL")</f>
        <v>NULL</v>
      </c>
      <c r="H308" s="4" t="str">
        <f>CONCATENATE("'",TEXT(Grunddaten!G299,"JJJJ-MM-tt"),"'")</f>
        <v>'2002-05-30'</v>
      </c>
      <c r="J308" s="14">
        <f>Grunddaten!A299</f>
        <v>297</v>
      </c>
      <c r="K308" s="14">
        <f>Grunddaten!Y299</f>
        <v>1</v>
      </c>
      <c r="L308" s="14" t="str">
        <f ca="1">CONCATENATE("'",Grunddaten!Z299,"'")</f>
        <v>'14624'</v>
      </c>
      <c r="M308" s="14" t="str">
        <f>CONCATENATE("'",Grunddaten!AA299,"'")</f>
        <v>'Dallgow-Döberitz'</v>
      </c>
      <c r="N308" s="14" t="str">
        <f>CONCATENATE("'",Grunddaten!AB299,"'")</f>
        <v>'Berner Straße'</v>
      </c>
      <c r="O308" s="14" t="str">
        <f>CONCATENATE("'",Grunddaten!AC299,"'")</f>
        <v>'14'</v>
      </c>
      <c r="P308" s="14">
        <f>Grunddaten!AD299</f>
        <v>1</v>
      </c>
      <c r="R308" s="13">
        <f>Grunddaten!A299</f>
        <v>297</v>
      </c>
      <c r="S308" s="13">
        <f>Grunddaten!AF299</f>
        <v>1</v>
      </c>
      <c r="T308" s="13" t="str">
        <f>CONCATENATE("'",Grunddaten!AG299,"'")</f>
        <v>'03322'</v>
      </c>
      <c r="U308" s="13" t="str">
        <f ca="1">CONCATENATE("'",Grunddaten!AH299,"'")</f>
        <v>'43878'</v>
      </c>
      <c r="V308" s="13">
        <f>Grunddaten!AI299</f>
        <v>1</v>
      </c>
      <c r="Z308" s="2" t="str" cm="1">
        <f t="array" ref="Z308">CONCATENATE("                   ",Liste(B308:H308),IF(Z309&lt;&gt;"",",",""))</f>
        <v xml:space="preserve">                   (297, 'Radtke', 'Markus', 1, 1, NULL, '2002-05-30'),</v>
      </c>
      <c r="AB308" s="2" t="str" cm="1">
        <f t="array" aca="1" ref="AB308" ca="1">CONCATENATE("                    ",Liste(J308:P308),IF(AB309&lt;&gt;"",",",""))</f>
        <v xml:space="preserve">                    (297, 1, '14624', 'Dallgow-Döberitz', 'Berner Straße', '14', 1),</v>
      </c>
      <c r="AD308" s="2" t="str" cm="1">
        <f t="array" aca="1" ref="AD308" ca="1">CONCATENATE("                   ",Liste(R308:V308),IF(AD309&lt;&gt;"",",",""))</f>
        <v xml:space="preserve">                   (297, 1, '03322', '43878', 1),</v>
      </c>
    </row>
    <row r="309" spans="2:30" x14ac:dyDescent="0.45">
      <c r="B309" s="4">
        <f>Grunddaten!A300</f>
        <v>298</v>
      </c>
      <c r="C309" s="4" t="str">
        <f>CONCATENATE("'",Grunddaten!F300,"'")</f>
        <v>'Noak'</v>
      </c>
      <c r="D309" s="4" t="str">
        <f>CONCATENATE("'",Grunddaten!E300,"'")</f>
        <v>'Elisabeth'</v>
      </c>
      <c r="E309" s="4">
        <f>VLOOKUP(Grunddaten!D300,FormOfAddress,2,TRUE)</f>
        <v>2</v>
      </c>
      <c r="F309" s="4">
        <f>VLOOKUP(Grunddaten!I300,FamilyStatus,2,FALSE)</f>
        <v>2</v>
      </c>
      <c r="G309" s="4" t="str">
        <f>IF(Grunddaten!J300&lt;&gt;"",CONCATENATE("'",TEXT(Grunddaten!J300,"JJJJ-MM-tt"),"'"),"NULL")</f>
        <v>'2017-03-16'</v>
      </c>
      <c r="H309" s="4" t="str">
        <f>CONCATENATE("'",TEXT(Grunddaten!G300,"JJJJ-MM-tt"),"'")</f>
        <v>'1983-09-26'</v>
      </c>
      <c r="J309" s="14">
        <f>Grunddaten!A300</f>
        <v>298</v>
      </c>
      <c r="K309" s="14">
        <f>Grunddaten!Y300</f>
        <v>1</v>
      </c>
      <c r="L309" s="14" t="str">
        <f ca="1">CONCATENATE("'",Grunddaten!Z300,"'")</f>
        <v>'10315'</v>
      </c>
      <c r="M309" s="14" t="str">
        <f>CONCATENATE("'",Grunddaten!AA300,"'")</f>
        <v>'Berlin'</v>
      </c>
      <c r="N309" s="14" t="str">
        <f>CONCATENATE("'",Grunddaten!AB300,"'")</f>
        <v>'Waldweg'</v>
      </c>
      <c r="O309" s="14" t="str">
        <f>CONCATENATE("'",Grunddaten!AC300,"'")</f>
        <v>'37'</v>
      </c>
      <c r="P309" s="14">
        <f>Grunddaten!AD300</f>
        <v>1</v>
      </c>
      <c r="R309" s="13">
        <f>Grunddaten!A300</f>
        <v>298</v>
      </c>
      <c r="S309" s="13">
        <f>Grunddaten!AF300</f>
        <v>1</v>
      </c>
      <c r="T309" s="13" t="str">
        <f>CONCATENATE("'",Grunddaten!AG300,"'")</f>
        <v>'030'</v>
      </c>
      <c r="U309" s="13" t="str">
        <f ca="1">CONCATENATE("'",Grunddaten!AH300,"'")</f>
        <v>'94273494'</v>
      </c>
      <c r="V309" s="13">
        <f>Grunddaten!AI300</f>
        <v>1</v>
      </c>
      <c r="Z309" s="2" t="str" cm="1">
        <f t="array" ref="Z309">CONCATENATE("                   ",Liste(B309:H309),IF(Z310&lt;&gt;"",",",""))</f>
        <v xml:space="preserve">                   (298, 'Noak', 'Elisabeth', 2, 2, '2017-03-16', '1983-09-26'),</v>
      </c>
      <c r="AB309" s="2" t="str" cm="1">
        <f t="array" aca="1" ref="AB309" ca="1">CONCATENATE("                    ",Liste(J309:P309),IF(AB310&lt;&gt;"",",",""))</f>
        <v xml:space="preserve">                    (298, 1, '10315', 'Berlin', 'Waldweg', '37', 1),</v>
      </c>
      <c r="AD309" s="2" t="str" cm="1">
        <f t="array" aca="1" ref="AD309" ca="1">CONCATENATE("                   ",Liste(R309:V309),IF(AD310&lt;&gt;"",",",""))</f>
        <v xml:space="preserve">                   (298, 1, '030', '94273494', 1),</v>
      </c>
    </row>
    <row r="310" spans="2:30" x14ac:dyDescent="0.45">
      <c r="B310" s="4">
        <f>Grunddaten!A301</f>
        <v>299</v>
      </c>
      <c r="C310" s="4" t="str">
        <f>CONCATENATE("'",Grunddaten!F301,"'")</f>
        <v>'Meier'</v>
      </c>
      <c r="D310" s="4" t="str">
        <f>CONCATENATE("'",Grunddaten!E301,"'")</f>
        <v>'Volker'</v>
      </c>
      <c r="E310" s="4">
        <f>VLOOKUP(Grunddaten!D301,FormOfAddress,2,TRUE)</f>
        <v>1</v>
      </c>
      <c r="F310" s="4">
        <f>VLOOKUP(Grunddaten!I301,FamilyStatus,2,FALSE)</f>
        <v>1</v>
      </c>
      <c r="G310" s="4" t="str">
        <f>IF(Grunddaten!J301&lt;&gt;"",CONCATENATE("'",TEXT(Grunddaten!J301,"JJJJ-MM-tt"),"'"),"NULL")</f>
        <v>NULL</v>
      </c>
      <c r="H310" s="4" t="str">
        <f>CONCATENATE("'",TEXT(Grunddaten!G301,"JJJJ-MM-tt"),"'")</f>
        <v>'2001-03-01'</v>
      </c>
      <c r="J310" s="14">
        <f>Grunddaten!A301</f>
        <v>299</v>
      </c>
      <c r="K310" s="14">
        <f>Grunddaten!Y301</f>
        <v>1</v>
      </c>
      <c r="L310" s="14" t="str">
        <f ca="1">CONCATENATE("'",Grunddaten!Z301,"'")</f>
        <v>'12247'</v>
      </c>
      <c r="M310" s="14" t="str">
        <f>CONCATENATE("'",Grunddaten!AA301,"'")</f>
        <v>'Berlin'</v>
      </c>
      <c r="N310" s="14" t="str">
        <f>CONCATENATE("'",Grunddaten!AB301,"'")</f>
        <v>'Lindenplatz'</v>
      </c>
      <c r="O310" s="14" t="str">
        <f>CONCATENATE("'",Grunddaten!AC301,"'")</f>
        <v>'37'</v>
      </c>
      <c r="P310" s="14">
        <f>Grunddaten!AD301</f>
        <v>1</v>
      </c>
      <c r="R310" s="13">
        <f>Grunddaten!A301</f>
        <v>299</v>
      </c>
      <c r="S310" s="13">
        <f>Grunddaten!AF301</f>
        <v>1</v>
      </c>
      <c r="T310" s="13" t="str">
        <f>CONCATENATE("'",Grunddaten!AG301,"'")</f>
        <v>'030'</v>
      </c>
      <c r="U310" s="13" t="str">
        <f ca="1">CONCATENATE("'",Grunddaten!AH301,"'")</f>
        <v>'58768117'</v>
      </c>
      <c r="V310" s="13">
        <f>Grunddaten!AI301</f>
        <v>1</v>
      </c>
      <c r="Z310" s="2" t="str" cm="1">
        <f t="array" ref="Z310">CONCATENATE("                   ",Liste(B310:H310),IF(Z311&lt;&gt;"",",",""))</f>
        <v xml:space="preserve">                   (299, 'Meier', 'Volker', 1, 1, NULL, '2001-03-01'),</v>
      </c>
      <c r="AB310" s="2" t="str" cm="1">
        <f t="array" aca="1" ref="AB310" ca="1">CONCATENATE("                    ",Liste(J310:P310),IF(AB311&lt;&gt;"",",",""))</f>
        <v xml:space="preserve">                    (299, 1, '12247', 'Berlin', 'Lindenplatz', '37', 1),</v>
      </c>
      <c r="AD310" s="2" t="str" cm="1">
        <f t="array" aca="1" ref="AD310" ca="1">CONCATENATE("                   ",Liste(R310:V310),IF(AD311&lt;&gt;"",",",""))</f>
        <v xml:space="preserve">                   (299, 1, '030', '58768117', 1),</v>
      </c>
    </row>
    <row r="311" spans="2:30" x14ac:dyDescent="0.45">
      <c r="B311" s="4">
        <f>Grunddaten!A302</f>
        <v>300</v>
      </c>
      <c r="C311" s="4" t="str">
        <f>CONCATENATE("'",Grunddaten!F302,"'")</f>
        <v>'Lorenz'</v>
      </c>
      <c r="D311" s="4" t="str">
        <f>CONCATENATE("'",Grunddaten!E302,"'")</f>
        <v>'Petra'</v>
      </c>
      <c r="E311" s="4">
        <f>VLOOKUP(Grunddaten!D302,FormOfAddress,2,TRUE)</f>
        <v>2</v>
      </c>
      <c r="F311" s="4">
        <f>VLOOKUP(Grunddaten!I302,FamilyStatus,2,FALSE)</f>
        <v>4</v>
      </c>
      <c r="G311" s="4" t="str">
        <f>IF(Grunddaten!J302&lt;&gt;"",CONCATENATE("'",TEXT(Grunddaten!J302,"JJJJ-MM-tt"),"'"),"NULL")</f>
        <v>'2021-01-23'</v>
      </c>
      <c r="H311" s="4" t="str">
        <f>CONCATENATE("'",TEXT(Grunddaten!G302,"JJJJ-MM-tt"),"'")</f>
        <v>'1957-05-10'</v>
      </c>
      <c r="J311" s="14">
        <f>Grunddaten!A302</f>
        <v>300</v>
      </c>
      <c r="K311" s="14">
        <f>Grunddaten!Y302</f>
        <v>1</v>
      </c>
      <c r="L311" s="14" t="str">
        <f ca="1">CONCATENATE("'",Grunddaten!Z302,"'")</f>
        <v>'14467'</v>
      </c>
      <c r="M311" s="14" t="str">
        <f>CONCATENATE("'",Grunddaten!AA302,"'")</f>
        <v>'Potsdam'</v>
      </c>
      <c r="N311" s="14" t="str">
        <f>CONCATENATE("'",Grunddaten!AB302,"'")</f>
        <v>'Gänseweg'</v>
      </c>
      <c r="O311" s="14" t="str">
        <f>CONCATENATE("'",Grunddaten!AC302,"'")</f>
        <v>'28'</v>
      </c>
      <c r="P311" s="14">
        <f>Grunddaten!AD302</f>
        <v>1</v>
      </c>
      <c r="R311" s="13">
        <f>Grunddaten!A302</f>
        <v>300</v>
      </c>
      <c r="S311" s="13">
        <f>Grunddaten!AF302</f>
        <v>1</v>
      </c>
      <c r="T311" s="13" t="str">
        <f>CONCATENATE("'",Grunddaten!AG302,"'")</f>
        <v>'0331'</v>
      </c>
      <c r="U311" s="13" t="str">
        <f ca="1">CONCATENATE("'",Grunddaten!AH302,"'")</f>
        <v>'57931'</v>
      </c>
      <c r="V311" s="13">
        <f>Grunddaten!AI302</f>
        <v>1</v>
      </c>
      <c r="Z311" s="2" t="str" cm="1">
        <f t="array" ref="Z311">CONCATENATE("                   ",Liste(B311:H311),IF(Z314&lt;&gt;"",",",""))</f>
        <v xml:space="preserve">                   (300, 'Lorenz', 'Petra', 2, 4, '2021-01-23', '1957-05-10'),</v>
      </c>
      <c r="AB311" s="2" t="str" cm="1">
        <f t="array" aca="1" ref="AB311" ca="1">CONCATENATE("                    ",Liste(J311:P311),IF(AB312&lt;&gt;"",",",""))</f>
        <v xml:space="preserve">                    (300, 1, '14467', 'Potsdam', 'Gänseweg', '28', 1)</v>
      </c>
      <c r="AD311" s="2" t="str" cm="1">
        <f t="array" aca="1" ref="AD311" ca="1">CONCATENATE("                   ",Liste(R311:V311),IF(AD312&lt;&gt;"",",",""))</f>
        <v xml:space="preserve">                   (300, 1, '0331', '57931', 1)</v>
      </c>
    </row>
    <row r="312" spans="2:30" x14ac:dyDescent="0.45">
      <c r="Z312" s="2"/>
    </row>
    <row r="313" spans="2:30" x14ac:dyDescent="0.45">
      <c r="Z313" s="2" t="str" cm="1">
        <f t="array" ref="Z313">CONCATENATE("INSERT INTO ",A$1," ",Liste(B$1:H$1)," VALUES")</f>
        <v>INSERT INTO Person (ID, Name, FirstName, FormOfAddress, FamilyStatus, FamilyStatusSince, Birthday) VALUES</v>
      </c>
      <c r="AB313" s="2" t="str" cm="1">
        <f t="array" ref="AB313">CONCATENATE("INSERT INTO ",I$1," ",Liste(J$1:P$1)," VALUES")</f>
        <v>INSERT INTO Address (ID, AddressType, Zipcode, City, Street, StreetNumber, Country) VALUES</v>
      </c>
      <c r="AD313" s="2" t="str" cm="1">
        <f t="array" ref="AD313">CONCATENATE("INSERT INTO ",Q$1," ",Liste(R$1:V$1)," VALUES")</f>
        <v>INSERT INTO Phone (ID, PhoneType, AreaCode, CallNumber, Country) VALUES</v>
      </c>
    </row>
    <row r="314" spans="2:30" x14ac:dyDescent="0.45">
      <c r="B314" s="4">
        <f>Grunddaten!A303</f>
        <v>301</v>
      </c>
      <c r="C314" s="4" t="str">
        <f>CONCATENATE("'",Grunddaten!F303,"'")</f>
        <v>'Müller'</v>
      </c>
      <c r="D314" s="4" t="str">
        <f>CONCATENATE("'",Grunddaten!E303,"'")</f>
        <v>'Manfred'</v>
      </c>
      <c r="E314" s="4">
        <f>VLOOKUP(Grunddaten!D303,FormOfAddress,2,TRUE)</f>
        <v>1</v>
      </c>
      <c r="F314" s="4">
        <f>VLOOKUP(Grunddaten!I303,FamilyStatus,2,FALSE)</f>
        <v>2</v>
      </c>
      <c r="G314" s="4" t="str">
        <f>IF(Grunddaten!J303&lt;&gt;"",CONCATENATE("'",TEXT(Grunddaten!J303,"JJJJ-MM-tt"),"'"),"NULL")</f>
        <v>'2015-09-28'</v>
      </c>
      <c r="H314" s="4" t="str">
        <f>CONCATENATE("'",TEXT(Grunddaten!G303,"JJJJ-MM-tt"),"'")</f>
        <v>'1985-06-03'</v>
      </c>
      <c r="J314" s="14">
        <f>Grunddaten!A303</f>
        <v>301</v>
      </c>
      <c r="K314" s="14">
        <f>Grunddaten!Y303</f>
        <v>1</v>
      </c>
      <c r="L314" s="14" t="str">
        <f ca="1">CONCATENATE("'",Grunddaten!Z303,"'")</f>
        <v>'14621'</v>
      </c>
      <c r="M314" s="14" t="str">
        <f>CONCATENATE("'",Grunddaten!AA303,"'")</f>
        <v>'Paaren im Glien'</v>
      </c>
      <c r="N314" s="14" t="str">
        <f>CONCATENATE("'",Grunddaten!AB303,"'")</f>
        <v>'Fasanenstraße'</v>
      </c>
      <c r="O314" s="14" t="str">
        <f>CONCATENATE("'",Grunddaten!AC303,"'")</f>
        <v>'21'</v>
      </c>
      <c r="P314" s="14">
        <f>Grunddaten!AD303</f>
        <v>1</v>
      </c>
      <c r="R314" s="13">
        <f>Grunddaten!A303</f>
        <v>301</v>
      </c>
      <c r="S314" s="13">
        <f>Grunddaten!AF303</f>
        <v>1</v>
      </c>
      <c r="T314" s="13" t="str">
        <f>CONCATENATE("'",Grunddaten!AG303,"'")</f>
        <v>'033230'</v>
      </c>
      <c r="U314" s="13" t="str">
        <f ca="1">CONCATENATE("'",Grunddaten!AH303,"'")</f>
        <v>'6145'</v>
      </c>
      <c r="V314" s="13">
        <f>Grunddaten!AI303</f>
        <v>1</v>
      </c>
      <c r="Z314" s="2" t="str" cm="1">
        <f t="array" ref="Z314">CONCATENATE("                   ",Liste(B314:H314),IF(Z315&lt;&gt;"",",",""))</f>
        <v xml:space="preserve">                   (301, 'Müller', 'Manfred', 1, 2, '2015-09-28', '1985-06-03'),</v>
      </c>
      <c r="AB314" s="2" t="str" cm="1">
        <f t="array" aca="1" ref="AB314" ca="1">CONCATENATE("                    ",Liste(J314:P314),IF(AB315&lt;&gt;"",",",""))</f>
        <v xml:space="preserve">                    (301, 1, '14621', 'Paaren im Glien', 'Fasanenstraße', '21', 1),</v>
      </c>
      <c r="AD314" s="2" t="str" cm="1">
        <f t="array" aca="1" ref="AD314" ca="1">CONCATENATE("                   ",Liste(R314:V314),IF(AD315&lt;&gt;"",",",""))</f>
        <v xml:space="preserve">                   (301, 1, '033230', '6145', 1),</v>
      </c>
    </row>
    <row r="315" spans="2:30" x14ac:dyDescent="0.45">
      <c r="B315" s="4">
        <f>Grunddaten!A304</f>
        <v>302</v>
      </c>
      <c r="C315" s="4" t="str">
        <f>CONCATENATE("'",Grunddaten!F304,"'")</f>
        <v>'Lawson'</v>
      </c>
      <c r="D315" s="4" t="str">
        <f>CONCATENATE("'",Grunddaten!E304,"'")</f>
        <v>'Sally'</v>
      </c>
      <c r="E315" s="4">
        <f>VLOOKUP(Grunddaten!D304,FormOfAddress,2,TRUE)</f>
        <v>2</v>
      </c>
      <c r="F315" s="4">
        <f>VLOOKUP(Grunddaten!I304,FamilyStatus,2,FALSE)</f>
        <v>1</v>
      </c>
      <c r="G315" s="4" t="str">
        <f>IF(Grunddaten!J304&lt;&gt;"",CONCATENATE("'",TEXT(Grunddaten!J304,"JJJJ-MM-tt"),"'"),"NULL")</f>
        <v>NULL</v>
      </c>
      <c r="H315" s="4" t="str">
        <f>CONCATENATE("'",TEXT(Grunddaten!G304,"JJJJ-MM-tt"),"'")</f>
        <v>'1992-10-04'</v>
      </c>
      <c r="J315" s="14">
        <f>Grunddaten!A304</f>
        <v>302</v>
      </c>
      <c r="K315" s="14">
        <f>Grunddaten!Y304</f>
        <v>1</v>
      </c>
      <c r="L315" s="14" t="str">
        <f ca="1">CONCATENATE("'",Grunddaten!Z304,"'")</f>
        <v>'14052'</v>
      </c>
      <c r="M315" s="14" t="str">
        <f>CONCATENATE("'",Grunddaten!AA304,"'")</f>
        <v>'Berlin'</v>
      </c>
      <c r="N315" s="14" t="str">
        <f>CONCATENATE("'",Grunddaten!AB304,"'")</f>
        <v>'Sonnenplatz'</v>
      </c>
      <c r="O315" s="14" t="str">
        <f>CONCATENATE("'",Grunddaten!AC304,"'")</f>
        <v>'4B/C'</v>
      </c>
      <c r="P315" s="14">
        <f>Grunddaten!AD304</f>
        <v>1</v>
      </c>
      <c r="R315" s="13">
        <f>Grunddaten!A304</f>
        <v>302</v>
      </c>
      <c r="S315" s="13">
        <f>Grunddaten!AF304</f>
        <v>1</v>
      </c>
      <c r="T315" s="13" t="str">
        <f>CONCATENATE("'",Grunddaten!AG304,"'")</f>
        <v>'030'</v>
      </c>
      <c r="U315" s="13" t="str">
        <f ca="1">CONCATENATE("'",Grunddaten!AH304,"'")</f>
        <v>'61619107'</v>
      </c>
      <c r="V315" s="13">
        <f>Grunddaten!AI304</f>
        <v>1</v>
      </c>
      <c r="Z315" s="2" t="str" cm="1">
        <f t="array" ref="Z315">CONCATENATE("                   ",Liste(B315:H315),IF(Z316&lt;&gt;"",",",""))</f>
        <v xml:space="preserve">                   (302, 'Lawson', 'Sally', 2, 1, NULL, '1992-10-04'),</v>
      </c>
      <c r="AB315" s="2" t="str" cm="1">
        <f t="array" aca="1" ref="AB315" ca="1">CONCATENATE("                    ",Liste(J315:P315),IF(AB316&lt;&gt;"",",",""))</f>
        <v xml:space="preserve">                    (302, 1, '14052', 'Berlin', 'Sonnenplatz', '4B/C', 1),</v>
      </c>
      <c r="AD315" s="2" t="str" cm="1">
        <f t="array" aca="1" ref="AD315" ca="1">CONCATENATE("                   ",Liste(R315:V315),IF(AD316&lt;&gt;"",",",""))</f>
        <v xml:space="preserve">                   (302, 1, '030', '61619107', 1),</v>
      </c>
    </row>
    <row r="316" spans="2:30" x14ac:dyDescent="0.45">
      <c r="B316" s="4">
        <f>Grunddaten!A305</f>
        <v>303</v>
      </c>
      <c r="C316" s="4" t="str">
        <f>CONCATENATE("'",Grunddaten!F305,"'")</f>
        <v>'Ohara'</v>
      </c>
      <c r="D316" s="4" t="str">
        <f>CONCATENATE("'",Grunddaten!E305,"'")</f>
        <v>'Mandy'</v>
      </c>
      <c r="E316" s="4">
        <f>VLOOKUP(Grunddaten!D305,FormOfAddress,2,TRUE)</f>
        <v>2</v>
      </c>
      <c r="F316" s="4">
        <f>VLOOKUP(Grunddaten!I305,FamilyStatus,2,FALSE)</f>
        <v>2</v>
      </c>
      <c r="G316" s="4" t="str">
        <f>IF(Grunddaten!J305&lt;&gt;"",CONCATENATE("'",TEXT(Grunddaten!J305,"JJJJ-MM-tt"),"'"),"NULL")</f>
        <v>'2017-10-17'</v>
      </c>
      <c r="H316" s="4" t="str">
        <f>CONCATENATE("'",TEXT(Grunddaten!G305,"JJJJ-MM-tt"),"'")</f>
        <v>'1995-01-03'</v>
      </c>
      <c r="J316" s="14">
        <f>Grunddaten!A305</f>
        <v>303</v>
      </c>
      <c r="K316" s="14">
        <f>Grunddaten!Y305</f>
        <v>1</v>
      </c>
      <c r="L316" s="14" t="str">
        <f ca="1">CONCATENATE("'",Grunddaten!Z305,"'")</f>
        <v>'13597'</v>
      </c>
      <c r="M316" s="14" t="str">
        <f>CONCATENATE("'",Grunddaten!AA305,"'")</f>
        <v>'Berlin'</v>
      </c>
      <c r="N316" s="14" t="str">
        <f>CONCATENATE("'",Grunddaten!AB305,"'")</f>
        <v>'Ludwig-Erhard-Straße'</v>
      </c>
      <c r="O316" s="14" t="str">
        <f>CONCATENATE("'",Grunddaten!AC305,"'")</f>
        <v>'18'</v>
      </c>
      <c r="P316" s="14">
        <f>Grunddaten!AD305</f>
        <v>1</v>
      </c>
      <c r="R316" s="13">
        <f>Grunddaten!A305</f>
        <v>303</v>
      </c>
      <c r="S316" s="13">
        <f>Grunddaten!AF305</f>
        <v>1</v>
      </c>
      <c r="T316" s="13" t="str">
        <f>CONCATENATE("'",Grunddaten!AG305,"'")</f>
        <v>'030'</v>
      </c>
      <c r="U316" s="13" t="str">
        <f ca="1">CONCATENATE("'",Grunddaten!AH305,"'")</f>
        <v>'54186517'</v>
      </c>
      <c r="V316" s="13">
        <f>Grunddaten!AI305</f>
        <v>1</v>
      </c>
      <c r="Z316" s="2" t="str" cm="1">
        <f t="array" ref="Z316">CONCATENATE("                   ",Liste(B316:H316),IF(Z317&lt;&gt;"",",",""))</f>
        <v xml:space="preserve">                   (303, 'Ohara', 'Mandy', 2, 2, '2017-10-17', '1995-01-03'),</v>
      </c>
      <c r="AB316" s="2" t="str" cm="1">
        <f t="array" aca="1" ref="AB316" ca="1">CONCATENATE("                    ",Liste(J316:P316),IF(AB317&lt;&gt;"",",",""))</f>
        <v xml:space="preserve">                    (303, 1, '13597', 'Berlin', 'Ludwig-Erhard-Straße', '18', 1),</v>
      </c>
      <c r="AD316" s="2" t="str" cm="1">
        <f t="array" aca="1" ref="AD316" ca="1">CONCATENATE("                   ",Liste(R316:V316),IF(AD317&lt;&gt;"",",",""))</f>
        <v xml:space="preserve">                   (303, 1, '030', '54186517', 1),</v>
      </c>
    </row>
    <row r="317" spans="2:30" x14ac:dyDescent="0.45">
      <c r="B317" s="4">
        <f>Grunddaten!A306</f>
        <v>304</v>
      </c>
      <c r="C317" s="4" t="str">
        <f>CONCATENATE("'",Grunddaten!F306,"'")</f>
        <v>'Blackwood'</v>
      </c>
      <c r="D317" s="4" t="str">
        <f>CONCATENATE("'",Grunddaten!E306,"'")</f>
        <v>'Shayna'</v>
      </c>
      <c r="E317" s="4">
        <f>VLOOKUP(Grunddaten!D306,FormOfAddress,2,TRUE)</f>
        <v>2</v>
      </c>
      <c r="F317" s="4">
        <f>VLOOKUP(Grunddaten!I306,FamilyStatus,2,FALSE)</f>
        <v>1</v>
      </c>
      <c r="G317" s="4" t="str">
        <f>IF(Grunddaten!J306&lt;&gt;"",CONCATENATE("'",TEXT(Grunddaten!J306,"JJJJ-MM-tt"),"'"),"NULL")</f>
        <v>NULL</v>
      </c>
      <c r="H317" s="4" t="str">
        <f>CONCATENATE("'",TEXT(Grunddaten!G306,"JJJJ-MM-tt"),"'")</f>
        <v>'2005-04-25'</v>
      </c>
      <c r="J317" s="14">
        <f>Grunddaten!A306</f>
        <v>304</v>
      </c>
      <c r="K317" s="14">
        <f>Grunddaten!Y306</f>
        <v>1</v>
      </c>
      <c r="L317" s="14" t="str">
        <f ca="1">CONCATENATE("'",Grunddaten!Z306,"'")</f>
        <v>'14476'</v>
      </c>
      <c r="M317" s="14" t="str">
        <f>CONCATENATE("'",Grunddaten!AA306,"'")</f>
        <v>'Marquardt'</v>
      </c>
      <c r="N317" s="14" t="str">
        <f>CONCATENATE("'",Grunddaten!AB306,"'")</f>
        <v>'Cleveland-Allee'</v>
      </c>
      <c r="O317" s="14" t="str">
        <f>CONCATENATE("'",Grunddaten!AC306,"'")</f>
        <v>'21'</v>
      </c>
      <c r="P317" s="14">
        <f>Grunddaten!AD306</f>
        <v>1</v>
      </c>
      <c r="R317" s="13">
        <f>Grunddaten!A306</f>
        <v>304</v>
      </c>
      <c r="S317" s="13">
        <f>Grunddaten!AF306</f>
        <v>1</v>
      </c>
      <c r="T317" s="13" t="str">
        <f>CONCATENATE("'",Grunddaten!AG306,"'")</f>
        <v>'03381'</v>
      </c>
      <c r="U317" s="13" t="str">
        <f ca="1">CONCATENATE("'",Grunddaten!AH306,"'")</f>
        <v>'75177'</v>
      </c>
      <c r="V317" s="13">
        <f>Grunddaten!AI306</f>
        <v>1</v>
      </c>
      <c r="Z317" s="2" t="str" cm="1">
        <f t="array" ref="Z317">CONCATENATE("                   ",Liste(B317:H317),IF(Z318&lt;&gt;"",",",""))</f>
        <v xml:space="preserve">                   (304, 'Blackwood', 'Shayna', 2, 1, NULL, '2005-04-25'),</v>
      </c>
      <c r="AB317" s="2" t="str" cm="1">
        <f t="array" aca="1" ref="AB317" ca="1">CONCATENATE("                    ",Liste(J317:P317),IF(AB318&lt;&gt;"",",",""))</f>
        <v xml:space="preserve">                    (304, 1, '14476', 'Marquardt', 'Cleveland-Allee', '21', 1),</v>
      </c>
      <c r="AD317" s="2" t="str" cm="1">
        <f t="array" aca="1" ref="AD317" ca="1">CONCATENATE("                   ",Liste(R317:V317),IF(AD318&lt;&gt;"",",",""))</f>
        <v xml:space="preserve">                   (304, 1, '03381', '75177', 1),</v>
      </c>
    </row>
    <row r="318" spans="2:30" x14ac:dyDescent="0.45">
      <c r="B318" s="4">
        <f>Grunddaten!A307</f>
        <v>305</v>
      </c>
      <c r="C318" s="4" t="str">
        <f>CONCATENATE("'",Grunddaten!F307,"'")</f>
        <v>'Azure'</v>
      </c>
      <c r="D318" s="4" t="str">
        <f>CONCATENATE("'",Grunddaten!E307,"'")</f>
        <v>'Eva'</v>
      </c>
      <c r="E318" s="4">
        <f>VLOOKUP(Grunddaten!D307,FormOfAddress,2,TRUE)</f>
        <v>2</v>
      </c>
      <c r="F318" s="4">
        <f>VLOOKUP(Grunddaten!I307,FamilyStatus,2,FALSE)</f>
        <v>1</v>
      </c>
      <c r="G318" s="4" t="str">
        <f>IF(Grunddaten!J307&lt;&gt;"",CONCATENATE("'",TEXT(Grunddaten!J307,"JJJJ-MM-tt"),"'"),"NULL")</f>
        <v>NULL</v>
      </c>
      <c r="H318" s="4" t="str">
        <f>CONCATENATE("'",TEXT(Grunddaten!G307,"JJJJ-MM-tt"),"'")</f>
        <v>'2003-07-17'</v>
      </c>
      <c r="J318" s="14">
        <f>Grunddaten!A307</f>
        <v>305</v>
      </c>
      <c r="K318" s="14">
        <f>Grunddaten!Y307</f>
        <v>1</v>
      </c>
      <c r="L318" s="14" t="str">
        <f ca="1">CONCATENATE("'",Grunddaten!Z307,"'")</f>
        <v>'14778'</v>
      </c>
      <c r="M318" s="14" t="str">
        <f>CONCATENATE("'",Grunddaten!AA307,"'")</f>
        <v>'Beetzsee'</v>
      </c>
      <c r="N318" s="14" t="str">
        <f>CONCATENATE("'",Grunddaten!AB307,"'")</f>
        <v>'Am Sportplatz'</v>
      </c>
      <c r="O318" s="14" t="str">
        <f>CONCATENATE("'",Grunddaten!AC307,"'")</f>
        <v>'61'</v>
      </c>
      <c r="P318" s="14">
        <f>Grunddaten!AD307</f>
        <v>1</v>
      </c>
      <c r="R318" s="13">
        <f>Grunddaten!A307</f>
        <v>305</v>
      </c>
      <c r="S318" s="13">
        <f>Grunddaten!AF307</f>
        <v>1</v>
      </c>
      <c r="T318" s="13" t="str">
        <f>CONCATENATE("'",Grunddaten!AG307,"'")</f>
        <v>'03381'</v>
      </c>
      <c r="U318" s="13" t="str">
        <f ca="1">CONCATENATE("'",Grunddaten!AH307,"'")</f>
        <v>'64220'</v>
      </c>
      <c r="V318" s="13">
        <f>Grunddaten!AI307</f>
        <v>1</v>
      </c>
      <c r="Z318" s="2" t="str" cm="1">
        <f t="array" ref="Z318">CONCATENATE("                   ",Liste(B318:H318),IF(Z319&lt;&gt;"",",",""))</f>
        <v xml:space="preserve">                   (305, 'Azure', 'Eva', 2, 1, NULL, '2003-07-17')</v>
      </c>
      <c r="AB318" s="2" t="str" cm="1">
        <f t="array" aca="1" ref="AB318" ca="1">CONCATENATE("                    ",Liste(J318:P318),IF(AB319&lt;&gt;"",",",""))</f>
        <v xml:space="preserve">                    (305, 1, '14778', 'Beetzsee', 'Am Sportplatz', '61', 1)</v>
      </c>
      <c r="AD318" s="2" t="str" cm="1">
        <f t="array" aca="1" ref="AD318" ca="1">CONCATENATE("                   ",Liste(R318:V318),IF(AD319&lt;&gt;"",",",""))</f>
        <v xml:space="preserve">                   (305, 1, '03381', '64220', 1)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54ABA-DD8B-4ECB-8197-2F92A9C9D72F}">
  <sheetPr codeName="Tabelle4"/>
  <dimension ref="A1:I37"/>
  <sheetViews>
    <sheetView topLeftCell="F1" workbookViewId="0">
      <selection activeCell="I29" sqref="I29:I37"/>
    </sheetView>
  </sheetViews>
  <sheetFormatPr baseColWidth="10" defaultRowHeight="14.25" x14ac:dyDescent="0.45"/>
  <cols>
    <col min="3" max="3" width="22.19921875" bestFit="1" customWidth="1"/>
    <col min="4" max="4" width="6" customWidth="1"/>
    <col min="5" max="5" width="103.33203125" bestFit="1" customWidth="1"/>
    <col min="6" max="6" width="15.6640625" customWidth="1"/>
    <col min="7" max="7" width="18.9296875" customWidth="1"/>
    <col min="9" max="9" width="156" bestFit="1" customWidth="1"/>
  </cols>
  <sheetData>
    <row r="1" spans="1:9" x14ac:dyDescent="0.45">
      <c r="A1" t="s">
        <v>954</v>
      </c>
      <c r="B1" t="s">
        <v>318</v>
      </c>
      <c r="C1" t="s">
        <v>696</v>
      </c>
      <c r="D1" t="s">
        <v>697</v>
      </c>
      <c r="E1" t="s">
        <v>698</v>
      </c>
      <c r="I1" s="2" t="str" cm="1">
        <f t="array" ref="I1">CONCATENATE("INSERT INTO ",$A$1," ",Liste(B1:E1)," VALUES")</f>
        <v>INSERT INTO Departments (ID, Denotation, Abbreviation, Description) VALUES</v>
      </c>
    </row>
    <row r="2" spans="1:9" x14ac:dyDescent="0.45">
      <c r="B2">
        <v>1</v>
      </c>
      <c r="C2" t="s">
        <v>967</v>
      </c>
      <c r="D2" t="s">
        <v>979</v>
      </c>
      <c r="E2" t="s">
        <v>955</v>
      </c>
      <c r="I2" s="2" t="str" cm="1">
        <f t="array" ref="I2">CONCATENATE("                        ",Liste(B2:E2),IF(I3&lt;&gt;"",",",""))</f>
        <v xml:space="preserve">                        (1, 'Geschäftsführung', 'GF', 'Leitung und strategische Führung des Unternehmens.'),</v>
      </c>
    </row>
    <row r="3" spans="1:9" x14ac:dyDescent="0.45">
      <c r="B3">
        <v>2</v>
      </c>
      <c r="C3" t="s">
        <v>968</v>
      </c>
      <c r="D3" t="s">
        <v>980</v>
      </c>
      <c r="E3" t="s">
        <v>956</v>
      </c>
      <c r="I3" s="2" t="str" cm="1">
        <f t="array" ref="I3">CONCATENATE("                        ",Liste(B3:E3),IF(I4&lt;&gt;"",",",""))</f>
        <v xml:space="preserve">                        (2, 'Vertrieb', 'VRB', 'Zuständig für den Verkauf von Produkten und Dienstleistungen an Kunden.'),</v>
      </c>
    </row>
    <row r="4" spans="1:9" x14ac:dyDescent="0.45">
      <c r="B4">
        <v>3</v>
      </c>
      <c r="C4" t="s">
        <v>969</v>
      </c>
      <c r="D4" t="s">
        <v>744</v>
      </c>
      <c r="E4" t="s">
        <v>957</v>
      </c>
      <c r="I4" s="2" t="str" cm="1">
        <f t="array" ref="I4">CONCATENATE("                        ",Liste(B4:E4),IF(I5&lt;&gt;"",",",""))</f>
        <v xml:space="preserve">                        (3, 'Finanzen', 'FIN', 'Verwaltung der finanziellen Aspekte des Unternehmens, einschließlich Buchhaltung und Budgetierung.'),</v>
      </c>
    </row>
    <row r="5" spans="1:9" x14ac:dyDescent="0.45">
      <c r="B5">
        <v>4</v>
      </c>
      <c r="C5" t="s">
        <v>970</v>
      </c>
      <c r="D5" t="s">
        <v>981</v>
      </c>
      <c r="E5" t="s">
        <v>958</v>
      </c>
      <c r="I5" s="2" t="str" cm="1">
        <f t="array" ref="I5">CONCATENATE("                        ",Liste(B5:E5),IF(I6&lt;&gt;"",",",""))</f>
        <v xml:space="preserve">                        (4, 'Controlling', 'CON', 'Teil des Unternehmensmanagements, der sich mit der Planung, Überwachung und Steuerung von Unternehmensaktivitäten befasst.'),</v>
      </c>
    </row>
    <row r="6" spans="1:9" x14ac:dyDescent="0.45">
      <c r="B6">
        <v>5</v>
      </c>
      <c r="C6" t="s">
        <v>971</v>
      </c>
      <c r="D6" t="s">
        <v>857</v>
      </c>
      <c r="E6" t="s">
        <v>959</v>
      </c>
      <c r="I6" s="2" t="str" cm="1">
        <f t="array" ref="I6">CONCATENATE("                        ",Liste(B6:E6),IF(I7&lt;&gt;"",",",""))</f>
        <v xml:space="preserve">                        (5, 'Personalwesen', 'HR', 'Verantwortlich für Einstellung, Schulung und Betreuung der Mitarbeiter. '),</v>
      </c>
    </row>
    <row r="7" spans="1:9" x14ac:dyDescent="0.45">
      <c r="B7">
        <v>6</v>
      </c>
      <c r="C7" t="s">
        <v>972</v>
      </c>
      <c r="D7" t="s">
        <v>982</v>
      </c>
      <c r="E7" t="s">
        <v>960</v>
      </c>
      <c r="I7" s="2" t="str" cm="1">
        <f t="array" ref="I7">CONCATENATE("                        ",Liste(B7:E7),IF(I8&lt;&gt;"",",",""))</f>
        <v xml:space="preserve">                        (6, 'Produktion', 'PRO', 'Herstellung von Produkten oder Bereitstellung von Dienstleistungen.'),</v>
      </c>
    </row>
    <row r="8" spans="1:9" x14ac:dyDescent="0.45">
      <c r="B8">
        <v>7</v>
      </c>
      <c r="C8" t="s">
        <v>973</v>
      </c>
      <c r="D8" t="s">
        <v>983</v>
      </c>
      <c r="E8" t="s">
        <v>961</v>
      </c>
      <c r="I8" s="2" t="str" cm="1">
        <f t="array" ref="I8">CONCATENATE("                        ",Liste(B8:E8),IF(I9&lt;&gt;"",",",""))</f>
        <v xml:space="preserve">                        (7, 'Marketing', 'MKT', 'Planung und Umsetzung von Marketingstrategien zur Förderung der Produkte oder Dienstleistungen des Unternehmens.'),</v>
      </c>
    </row>
    <row r="9" spans="1:9" x14ac:dyDescent="0.45">
      <c r="B9">
        <v>8</v>
      </c>
      <c r="C9" t="s">
        <v>974</v>
      </c>
      <c r="D9" t="s">
        <v>862</v>
      </c>
      <c r="E9" t="s">
        <v>962</v>
      </c>
      <c r="I9" s="2" t="str" cm="1">
        <f t="array" ref="I9">CONCATENATE("                        ",Liste(B9:E9),IF(I10&lt;&gt;"",",",""))</f>
        <v xml:space="preserve">                        (8, 'Informationstechnologie', 'IT', 'Bereitstellung und Wartung von IT-Infrastruktur und Unterstützung für die computergestützten Prozesse im Unternehmen.'),</v>
      </c>
    </row>
    <row r="10" spans="1:9" x14ac:dyDescent="0.45">
      <c r="B10">
        <v>9</v>
      </c>
      <c r="C10" t="s">
        <v>975</v>
      </c>
      <c r="D10" t="s">
        <v>984</v>
      </c>
      <c r="E10" t="s">
        <v>963</v>
      </c>
      <c r="I10" s="2" t="str" cm="1">
        <f t="array" ref="I10">CONCATENATE("                        ",Liste(B10:E10),IF(I11&lt;&gt;"",",",""))</f>
        <v xml:space="preserve">                        (9, 'Kundenservice', 'CS', 'Bereitstellung von Unterstützung und Lösung von Problemen für Kunden nach dem Kauf.'),</v>
      </c>
    </row>
    <row r="11" spans="1:9" x14ac:dyDescent="0.45">
      <c r="B11">
        <v>10</v>
      </c>
      <c r="C11" t="s">
        <v>976</v>
      </c>
      <c r="D11" t="s">
        <v>985</v>
      </c>
      <c r="E11" t="s">
        <v>964</v>
      </c>
      <c r="I11" s="2" t="str" cm="1">
        <f t="array" ref="I11">CONCATENATE("                        ",Liste(B11:E11),IF(I12&lt;&gt;"",",",""))</f>
        <v xml:space="preserve">                        (10, 'Forschung und Entwicklung', 'F&amp;E', 'Verantwortlich für die Entwicklung neuer Produkte, Dienstleistungen oder Technologien.'),</v>
      </c>
    </row>
    <row r="12" spans="1:9" x14ac:dyDescent="0.45">
      <c r="B12">
        <v>11</v>
      </c>
      <c r="C12" t="s">
        <v>977</v>
      </c>
      <c r="D12" t="s">
        <v>986</v>
      </c>
      <c r="E12" t="s">
        <v>965</v>
      </c>
      <c r="I12" s="2" t="str" cm="1">
        <f t="array" ref="I12">CONCATENATE("                        ",Liste(B12:E12),IF(I13&lt;&gt;"",",",""))</f>
        <v xml:space="preserve">                        (11, 'Qualitätskontrolle', 'QC', 'Überwachung und Sicherstellung der Qualität von Produkten oder Dienstleistungen.'),</v>
      </c>
    </row>
    <row r="13" spans="1:9" x14ac:dyDescent="0.45">
      <c r="B13">
        <v>12</v>
      </c>
      <c r="C13" t="s">
        <v>978</v>
      </c>
      <c r="D13" t="s">
        <v>987</v>
      </c>
      <c r="E13" t="s">
        <v>966</v>
      </c>
      <c r="I13" s="2" t="str" cm="1">
        <f t="array" ref="I13">CONCATENATE("                        ",Liste(B13:E13),IF(I14&lt;&gt;"",",",""))</f>
        <v xml:space="preserve">                        (12, 'Logistik', 'LOG', ' Verwaltung und Koordination des Transports und der Lagerung von Waren und Materialien.')</v>
      </c>
    </row>
    <row r="15" spans="1:9" x14ac:dyDescent="0.45">
      <c r="A15" t="s">
        <v>1486</v>
      </c>
      <c r="B15" t="s">
        <v>318</v>
      </c>
      <c r="C15" t="s">
        <v>696</v>
      </c>
      <c r="D15" t="s">
        <v>697</v>
      </c>
      <c r="E15" t="s">
        <v>698</v>
      </c>
      <c r="F15" t="s">
        <v>704</v>
      </c>
      <c r="I15" s="2" t="str" cm="1">
        <f t="array" ref="I15">CONCATENATE("INSERT INTO ",$A$15," ",Liste(B15:F15)," VALUES")</f>
        <v>INSERT INTO SalaryBase (ID, Denotation, Abbreviation, Description, UrgentValue) VALUES</v>
      </c>
    </row>
    <row r="16" spans="1:9" x14ac:dyDescent="0.45">
      <c r="B16">
        <v>0</v>
      </c>
      <c r="C16" s="6" t="s">
        <v>1487</v>
      </c>
      <c r="D16" s="6" t="s">
        <v>1487</v>
      </c>
      <c r="E16" s="6" t="s">
        <v>1494</v>
      </c>
      <c r="F16">
        <v>1</v>
      </c>
      <c r="I16" s="2" t="str" cm="1">
        <f t="array" ref="I16">CONCATENATE("                       ",Liste(B16:F16),IF(I17&lt;&gt;"",",",""))</f>
        <v xml:space="preserve">                       (0, 'free', 'free', 'Für diesen Lohn / Gehalt gibt es keine Zeitbasis, so dass eine Berechnung nicht möglich ist, oder einmalig', 1),</v>
      </c>
    </row>
    <row r="17" spans="1:9" x14ac:dyDescent="0.45">
      <c r="B17">
        <v>1</v>
      </c>
      <c r="C17" s="6" t="s">
        <v>1491</v>
      </c>
      <c r="D17" s="6" t="s">
        <v>1488</v>
      </c>
      <c r="E17" s="6" t="s">
        <v>1495</v>
      </c>
      <c r="F17">
        <v>1</v>
      </c>
      <c r="I17" s="2" t="str" cm="1">
        <f t="array" ref="I17">CONCATENATE("                       ",Liste(B17:F17),IF(I18&lt;&gt;"",",",""))</f>
        <v xml:space="preserve">                       (1, 'stündlich', 'hr', 'Dieser Lohn / Gehalt bezieht sich auf eine Stunde (Stundenlohn)', 1),</v>
      </c>
    </row>
    <row r="18" spans="1:9" x14ac:dyDescent="0.45">
      <c r="B18">
        <v>2</v>
      </c>
      <c r="C18" s="6" t="s">
        <v>1492</v>
      </c>
      <c r="D18" s="6" t="s">
        <v>1489</v>
      </c>
      <c r="E18" s="6" t="s">
        <v>1496</v>
      </c>
      <c r="F18">
        <v>1</v>
      </c>
      <c r="I18" s="2" t="str" cm="1">
        <f t="array" ref="I18">CONCATENATE("                       ",Liste(B18:F18),IF(I19&lt;&gt;"",",",""))</f>
        <v xml:space="preserve">                       (2, 'täglich', 'dy', 'Dieser Lohn / Gehalt bezieht sich auf einen Tag (Tagessatz)', 1),</v>
      </c>
    </row>
    <row r="19" spans="1:9" x14ac:dyDescent="0.45">
      <c r="B19">
        <v>3</v>
      </c>
      <c r="C19" s="6" t="s">
        <v>1493</v>
      </c>
      <c r="D19" s="6" t="s">
        <v>1490</v>
      </c>
      <c r="E19" s="6" t="s">
        <v>1497</v>
      </c>
      <c r="F19">
        <v>1</v>
      </c>
      <c r="I19" s="2" t="str" cm="1">
        <f t="array" ref="I19">CONCATENATE("                       ",Liste(B19:F19),IF(I20&lt;&gt;"",",",""))</f>
        <v xml:space="preserve">                       (3, 'monatlich', 'mo', 'Dieser Lohn / Gehalt bezieht sich auf einen Kalendermonat (Monatsgehalt)', 1)</v>
      </c>
    </row>
    <row r="21" spans="1:9" x14ac:dyDescent="0.45">
      <c r="A21" t="s">
        <v>1485</v>
      </c>
      <c r="B21" t="s">
        <v>318</v>
      </c>
      <c r="C21" t="s">
        <v>696</v>
      </c>
      <c r="D21" t="s">
        <v>697</v>
      </c>
      <c r="E21" t="s">
        <v>698</v>
      </c>
      <c r="F21" t="s">
        <v>1486</v>
      </c>
      <c r="G21" t="s">
        <v>704</v>
      </c>
      <c r="I21" s="2" t="str" cm="1">
        <f t="array" ref="I21">CONCATENATE("INSERT INTO ",$A$21," ",Liste(B21:G21)," VALUES")</f>
        <v>INSERT INTO SalaryType (ID, Denotation, Abbreviation, Description, SalaryBase, UrgentValue) VALUES</v>
      </c>
    </row>
    <row r="22" spans="1:9" x14ac:dyDescent="0.45">
      <c r="B22">
        <v>1</v>
      </c>
      <c r="C22" s="6" t="s">
        <v>1498</v>
      </c>
      <c r="D22" s="6" t="s">
        <v>1501</v>
      </c>
      <c r="E22" s="6" t="s">
        <v>1502</v>
      </c>
      <c r="F22">
        <v>3</v>
      </c>
      <c r="G22">
        <v>1</v>
      </c>
      <c r="I22" s="2" t="str" cm="1">
        <f t="array" ref="I22">CONCATENATE("                       ",Liste(B22:G22),IF(I23&lt;&gt;"",",",""))</f>
        <v xml:space="preserve">                       (1, 'Gehalt', 'Ge', 'Gehaltszahlungen werden als als festvereinbarte monatliche Zahlung geleistet', 3, 1),</v>
      </c>
    </row>
    <row r="23" spans="1:9" x14ac:dyDescent="0.45">
      <c r="B23">
        <v>2</v>
      </c>
      <c r="C23" s="6" t="s">
        <v>1499</v>
      </c>
      <c r="D23" s="6" t="s">
        <v>1500</v>
      </c>
      <c r="E23" s="6" t="s">
        <v>1503</v>
      </c>
      <c r="F23">
        <v>1</v>
      </c>
      <c r="G23">
        <v>1</v>
      </c>
      <c r="I23" s="2" t="str" cm="1">
        <f t="array" ref="I23">CONCATENATE("                       ",Liste(B23:G23),IF(I24&lt;&gt;"",",",""))</f>
        <v xml:space="preserve">                       (2, 'Lohn', 'Lo', 'Lohnzahlungen beziehen sich auf die im Monat geleisteten Arbeitsstunden. Krankheit und Urlaub wird als tägliche Arbeitszeit berücksichtigt.', 1, 1),</v>
      </c>
    </row>
    <row r="24" spans="1:9" x14ac:dyDescent="0.45">
      <c r="B24">
        <v>3</v>
      </c>
      <c r="C24" s="6" t="s">
        <v>1504</v>
      </c>
      <c r="D24" s="6" t="s">
        <v>1505</v>
      </c>
      <c r="E24" s="6" t="s">
        <v>1506</v>
      </c>
      <c r="F24">
        <v>3</v>
      </c>
      <c r="G24">
        <v>1</v>
      </c>
      <c r="I24" s="2" t="str" cm="1">
        <f t="array" ref="I24">CONCATENATE("                       ",Liste(B24:G24),IF(I25&lt;&gt;"",",",""))</f>
        <v xml:space="preserve">                       (3, 'Ausbildung', 'AV', 'Ausbildungsvergütung wird als fester Betraf im Monat geleistet', 3, 1),</v>
      </c>
    </row>
    <row r="25" spans="1:9" x14ac:dyDescent="0.45">
      <c r="B25">
        <v>4</v>
      </c>
      <c r="C25" s="6" t="s">
        <v>1507</v>
      </c>
      <c r="D25" s="6" t="s">
        <v>1508</v>
      </c>
      <c r="E25" s="6" t="s">
        <v>1509</v>
      </c>
      <c r="F25">
        <v>3</v>
      </c>
      <c r="G25">
        <v>1</v>
      </c>
      <c r="I25" s="2" t="str" cm="1">
        <f t="array" ref="I25">CONCATENATE("                       ",Liste(B25:G25),IF(I26&lt;&gt;"",",",""))</f>
        <v xml:space="preserve">                       (4, 'Minijob', 'MJ', 'Vergütung für geringfügig beschäftigte erfolgt auf monatlicher Basis', 3, 1),</v>
      </c>
    </row>
    <row r="26" spans="1:9" x14ac:dyDescent="0.45">
      <c r="B26">
        <v>5</v>
      </c>
      <c r="C26" s="6" t="s">
        <v>1510</v>
      </c>
      <c r="D26" s="6" t="s">
        <v>1511</v>
      </c>
      <c r="E26" s="6" t="s">
        <v>1512</v>
      </c>
      <c r="F26">
        <v>2</v>
      </c>
      <c r="G26">
        <v>1</v>
      </c>
      <c r="I26" s="2" t="str" cm="1">
        <f t="array" ref="I26">CONCATENATE("                       ",Liste(B26:G26),IF(I27&lt;&gt;"",",",""))</f>
        <v xml:space="preserve">                       (5, 'Berater', 'BH', 'Beratungshonorare für externe Berater oder Zusatzleistungen werden auf Tagessatzbasis vereinbart.', 2, 1),</v>
      </c>
    </row>
    <row r="27" spans="1:9" x14ac:dyDescent="0.45">
      <c r="B27">
        <v>6</v>
      </c>
      <c r="C27" s="6" t="s">
        <v>1513</v>
      </c>
      <c r="D27" s="6" t="s">
        <v>1514</v>
      </c>
      <c r="E27" s="6" t="s">
        <v>1515</v>
      </c>
      <c r="F27">
        <v>0</v>
      </c>
      <c r="G27">
        <v>1</v>
      </c>
      <c r="I27" s="2" t="str" cm="1">
        <f t="array" ref="I27">CONCATENATE("                       ",Liste(B27:G27),IF(I28&lt;&gt;"",",",""))</f>
        <v xml:space="preserve">                       (6, 'Prämie/Bonus', 'Bo', 'einmalige Prämienzahlungen, Bonie oder festvereinbarte Zahlungen', 0, 1)</v>
      </c>
    </row>
    <row r="29" spans="1:9" x14ac:dyDescent="0.45">
      <c r="A29" t="s">
        <v>1011</v>
      </c>
      <c r="B29" t="s">
        <v>318</v>
      </c>
      <c r="C29" t="s">
        <v>696</v>
      </c>
      <c r="D29" t="s">
        <v>697</v>
      </c>
      <c r="E29" t="s">
        <v>698</v>
      </c>
      <c r="F29" t="s">
        <v>1485</v>
      </c>
      <c r="G29" t="s">
        <v>704</v>
      </c>
      <c r="I29" s="2" t="str" cm="1">
        <f t="array" ref="I29">CONCATENATE("INSERT INTO ",$A$29," ",Liste(B29:G29)," VALUES")</f>
        <v>INSERT INTO JobPositions (ID, Denotation, Abbreviation, Description, SalaryType, UrgentValue) VALUES</v>
      </c>
    </row>
    <row r="30" spans="1:9" x14ac:dyDescent="0.45">
      <c r="B30">
        <v>1</v>
      </c>
      <c r="C30" s="6" t="s">
        <v>997</v>
      </c>
      <c r="D30" t="s">
        <v>988</v>
      </c>
      <c r="E30" s="6" t="s">
        <v>1003</v>
      </c>
      <c r="F30" s="6">
        <v>1</v>
      </c>
      <c r="G30">
        <v>0</v>
      </c>
      <c r="I30" s="2" t="str" cm="1">
        <f t="array" ref="I30">CONCATENATE("                         ",Liste(B30:G30),IF(I31&lt;&gt;"",",",""))</f>
        <v xml:space="preserve">                         (1, 'Geschäftsführer*in', 'V', 'Geschäftsführerin / Geschäftsführer im Unternehmen.', 1, 0),</v>
      </c>
    </row>
    <row r="31" spans="1:9" x14ac:dyDescent="0.45">
      <c r="B31">
        <v>2</v>
      </c>
      <c r="C31" s="6" t="s">
        <v>999</v>
      </c>
      <c r="D31" t="s">
        <v>989</v>
      </c>
      <c r="E31" s="6" t="s">
        <v>1004</v>
      </c>
      <c r="F31" s="6">
        <v>1</v>
      </c>
      <c r="G31">
        <v>0</v>
      </c>
      <c r="I31" s="2" t="str" cm="1">
        <f t="array" ref="I31">CONCATENATE("                         ",Liste(B31:G31),IF(I32&lt;&gt;"",",",""))</f>
        <v xml:space="preserve">                         (2, 'Bereichsleiter*in', 'BL', 'Bereichsleiterin / Bereichsleiter im Unternehmen.', 1, 0),</v>
      </c>
    </row>
    <row r="32" spans="1:9" x14ac:dyDescent="0.45">
      <c r="B32">
        <v>3</v>
      </c>
      <c r="C32" s="6" t="s">
        <v>1000</v>
      </c>
      <c r="D32" t="s">
        <v>880</v>
      </c>
      <c r="E32" s="6" t="s">
        <v>1005</v>
      </c>
      <c r="F32" s="6">
        <v>1</v>
      </c>
      <c r="G32">
        <v>0</v>
      </c>
      <c r="I32" s="2" t="str" cm="1">
        <f t="array" ref="I32">CONCATENATE("                         ",Liste(B32:G32),IF(I33&lt;&gt;"",",",""))</f>
        <v xml:space="preserve">                         (3, 'Abteilungsleiter*in', 'AL', 'Abteilungsleiterin / Abteilungsleiter des Unternehmens.', 1, 0),</v>
      </c>
    </row>
    <row r="33" spans="2:9" x14ac:dyDescent="0.45">
      <c r="B33">
        <v>4</v>
      </c>
      <c r="C33" s="6" t="s">
        <v>1001</v>
      </c>
      <c r="D33" t="s">
        <v>990</v>
      </c>
      <c r="E33" s="6" t="s">
        <v>1006</v>
      </c>
      <c r="F33" s="6">
        <v>1</v>
      </c>
      <c r="G33">
        <v>0</v>
      </c>
      <c r="I33" s="2" t="str" cm="1">
        <f t="array" ref="I33">CONCATENATE("                         ",Liste(B33:G33),IF(I34&lt;&gt;"",",",""))</f>
        <v xml:space="preserve">                         (4, 'Gruppenleiter*in', 'GL', 'Gruppenleiterin / Gruppenleiter im Unternehmen.', 1, 0),</v>
      </c>
    </row>
    <row r="34" spans="2:9" x14ac:dyDescent="0.45">
      <c r="B34">
        <v>5</v>
      </c>
      <c r="C34" s="6" t="s">
        <v>1002</v>
      </c>
      <c r="D34" t="s">
        <v>991</v>
      </c>
      <c r="E34" s="6" t="s">
        <v>1007</v>
      </c>
      <c r="F34" s="6">
        <v>1</v>
      </c>
      <c r="G34">
        <v>0</v>
      </c>
      <c r="I34" s="2" t="str" cm="1">
        <f t="array" ref="I34">CONCATENATE("                         ",Liste(B34:G34),IF(I35&lt;&gt;"",",",""))</f>
        <v xml:space="preserve">                         (5, 'Angestellter*in', 'AN', 'Angestellte / Angestellter im Unternehmen (kaufmännische Bereiche, IT, Entwicklung, …).', 1, 0),</v>
      </c>
    </row>
    <row r="35" spans="2:9" x14ac:dyDescent="0.45">
      <c r="B35">
        <v>6</v>
      </c>
      <c r="C35" s="6" t="s">
        <v>996</v>
      </c>
      <c r="D35" s="6" t="s">
        <v>995</v>
      </c>
      <c r="E35" s="6" t="s">
        <v>1008</v>
      </c>
      <c r="F35" s="6">
        <v>2</v>
      </c>
      <c r="G35">
        <v>0</v>
      </c>
      <c r="I35" s="2" t="str" cm="1">
        <f t="array" ref="I35">CONCATENATE("                         ",Liste(B35:G35),IF(I36&lt;&gt;"",",",""))</f>
        <v xml:space="preserve">                         (6, 'Arbeiter*in', 'AR', 'Arbeiterin / Arbeiter im Unternehmen (Produktion, Lager, …).', 2, 0),</v>
      </c>
    </row>
    <row r="36" spans="2:9" x14ac:dyDescent="0.45">
      <c r="B36">
        <v>7</v>
      </c>
      <c r="C36" t="s">
        <v>992</v>
      </c>
      <c r="D36" t="s">
        <v>993</v>
      </c>
      <c r="E36" s="6" t="s">
        <v>1010</v>
      </c>
      <c r="F36" s="6">
        <v>4</v>
      </c>
      <c r="G36">
        <v>0</v>
      </c>
      <c r="I36" s="2" t="str" cm="1">
        <f t="array" ref="I36">CONCATENATE("                         ",Liste(B36:G36),IF(I37&lt;&gt;"",",",""))</f>
        <v xml:space="preserve">                         (7, 'Aushilfe', 'AH', 'Aushilfe im Unternehmen (auch 400 €- Basis).', 4, 0),</v>
      </c>
    </row>
    <row r="37" spans="2:9" x14ac:dyDescent="0.45">
      <c r="B37">
        <v>8</v>
      </c>
      <c r="C37" s="6" t="s">
        <v>998</v>
      </c>
      <c r="D37" t="s">
        <v>994</v>
      </c>
      <c r="E37" s="6" t="s">
        <v>1009</v>
      </c>
      <c r="F37" s="6">
        <v>3</v>
      </c>
      <c r="G37">
        <v>0</v>
      </c>
      <c r="I37" s="2" t="str" cm="1">
        <f t="array" ref="I37">CONCATENATE("                         ",Liste(B37:G37),IF(I38&lt;&gt;"",",",""))</f>
        <v xml:space="preserve">                         (8, 'Auszubildende/r', 'LE', 'Auszubildende oder Auszubildener im Unternehmen.', 3, 0)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5C5E-3E7C-4D57-8C40-59C1D4155CE8}">
  <sheetPr codeName="Tabelle7"/>
  <dimension ref="A1:M48"/>
  <sheetViews>
    <sheetView workbookViewId="0">
      <selection activeCell="E48" sqref="E48"/>
    </sheetView>
  </sheetViews>
  <sheetFormatPr baseColWidth="10" defaultRowHeight="14.25" x14ac:dyDescent="0.45"/>
  <cols>
    <col min="2" max="2" width="5.265625" customWidth="1"/>
    <col min="3" max="3" width="16.53125" customWidth="1"/>
    <col min="5" max="5" width="43.6640625" customWidth="1"/>
    <col min="10" max="10" width="16.59765625" bestFit="1" customWidth="1"/>
    <col min="13" max="13" width="127" bestFit="1" customWidth="1"/>
  </cols>
  <sheetData>
    <row r="1" spans="1:13" x14ac:dyDescent="0.45">
      <c r="A1" t="s">
        <v>694</v>
      </c>
      <c r="B1" t="s">
        <v>318</v>
      </c>
      <c r="C1" t="s">
        <v>696</v>
      </c>
      <c r="D1" t="s">
        <v>697</v>
      </c>
      <c r="E1" t="s">
        <v>698</v>
      </c>
      <c r="F1" t="s">
        <v>699</v>
      </c>
      <c r="G1" t="s">
        <v>700</v>
      </c>
      <c r="H1" t="s">
        <v>701</v>
      </c>
      <c r="I1" t="s">
        <v>702</v>
      </c>
      <c r="J1" t="s">
        <v>703</v>
      </c>
      <c r="K1" t="s">
        <v>704</v>
      </c>
      <c r="M1" s="2" t="str" cm="1">
        <f t="array" ref="M1">CONCATENATE("INSERT INTO ",A$1," ",Liste(B$1:K$1)," VALUES")</f>
        <v>INSERT INTO Countries (ID, Denotation, Abbreviation, Description, CountryDialing, ISO_Code, IsEU, Capital, Currency, UrgentValue) VALUES</v>
      </c>
    </row>
    <row r="2" spans="1:13" x14ac:dyDescent="0.45">
      <c r="B2" s="8">
        <v>1</v>
      </c>
      <c r="C2" s="9" t="s">
        <v>650</v>
      </c>
      <c r="D2" s="9" t="s">
        <v>651</v>
      </c>
      <c r="E2" s="9" t="s">
        <v>652</v>
      </c>
      <c r="F2" s="9" t="s">
        <v>653</v>
      </c>
      <c r="G2" s="9" t="s">
        <v>654</v>
      </c>
      <c r="H2" s="9">
        <v>1</v>
      </c>
      <c r="I2" s="9" t="s">
        <v>891</v>
      </c>
      <c r="J2" s="9" t="s">
        <v>933</v>
      </c>
      <c r="K2" s="8">
        <v>1</v>
      </c>
      <c r="M2" s="2" t="str" cm="1">
        <f t="array" ref="M2">CONCATENATE("                   ",Liste(B2:K2),IF(M3&lt;&gt;"",",",""))</f>
        <v xml:space="preserve">                   (1, 'Deutschland', 'BRD', 'Bundesrebublik Deutschland', '+49', 'DE', 1, 'Berlin', 'Euro', 1),</v>
      </c>
    </row>
    <row r="3" spans="1:13" x14ac:dyDescent="0.45">
      <c r="B3" s="8">
        <v>2</v>
      </c>
      <c r="C3" s="9" t="s">
        <v>655</v>
      </c>
      <c r="D3" s="9" t="s">
        <v>656</v>
      </c>
      <c r="E3" s="9" t="s">
        <v>657</v>
      </c>
      <c r="F3" s="9" t="s">
        <v>658</v>
      </c>
      <c r="G3" s="9" t="s">
        <v>659</v>
      </c>
      <c r="H3" s="9">
        <v>1</v>
      </c>
      <c r="I3" s="9" t="s">
        <v>892</v>
      </c>
      <c r="J3" s="9" t="s">
        <v>933</v>
      </c>
      <c r="K3" s="8">
        <v>1</v>
      </c>
      <c r="M3" s="2" t="str" cm="1">
        <f t="array" ref="M3">CONCATENATE("                   ",Liste(B3:K3),IF(M4&lt;&gt;"",",",""))</f>
        <v xml:space="preserve">                   (2, 'Österreich', 'AUT', 'Östereich', '+43', 'AT', 1, 'Wien', 'Euro', 1),</v>
      </c>
    </row>
    <row r="4" spans="1:13" x14ac:dyDescent="0.45">
      <c r="B4" s="8">
        <v>3</v>
      </c>
      <c r="C4" s="9" t="s">
        <v>660</v>
      </c>
      <c r="D4" s="9" t="s">
        <v>661</v>
      </c>
      <c r="E4" s="9" t="s">
        <v>662</v>
      </c>
      <c r="F4" s="9" t="s">
        <v>663</v>
      </c>
      <c r="G4" s="9" t="s">
        <v>664</v>
      </c>
      <c r="H4" s="9">
        <v>0</v>
      </c>
      <c r="I4" s="9" t="s">
        <v>893</v>
      </c>
      <c r="J4" s="9" t="s">
        <v>934</v>
      </c>
      <c r="K4" s="8">
        <v>1</v>
      </c>
      <c r="M4" s="2" t="str" cm="1">
        <f t="array" ref="M4">CONCATENATE("                   ",Liste(B4:K4),IF(M5&lt;&gt;"",",",""))</f>
        <v xml:space="preserve">                   (3, 'Schweiz', 'CHE', 'Schweizerische Eidgenossenschaft', '+41', 'CH', 0, 'Bern', 'Schweizer Franken', 1),</v>
      </c>
    </row>
    <row r="5" spans="1:13" x14ac:dyDescent="0.45">
      <c r="B5" s="8">
        <v>4</v>
      </c>
      <c r="C5" s="9" t="s">
        <v>665</v>
      </c>
      <c r="D5" s="9" t="s">
        <v>666</v>
      </c>
      <c r="E5" s="9" t="s">
        <v>667</v>
      </c>
      <c r="F5" s="9" t="s">
        <v>668</v>
      </c>
      <c r="G5" s="9" t="s">
        <v>669</v>
      </c>
      <c r="H5" s="9">
        <v>1</v>
      </c>
      <c r="I5" s="9" t="s">
        <v>894</v>
      </c>
      <c r="J5" s="9" t="s">
        <v>933</v>
      </c>
      <c r="K5" s="8">
        <v>0</v>
      </c>
      <c r="M5" s="2" t="str" cm="1">
        <f t="array" ref="M5">CONCATENATE("                   ",Liste(B5:K5),IF(M6&lt;&gt;"",",",""))</f>
        <v xml:space="preserve">                   (4, 'Frankreich', 'France', 'Französische Republik', '+33', 'FR', 1, 'Paris', 'Euro', 0),</v>
      </c>
    </row>
    <row r="6" spans="1:13" x14ac:dyDescent="0.45">
      <c r="B6" s="8">
        <v>5</v>
      </c>
      <c r="C6" s="9" t="s">
        <v>670</v>
      </c>
      <c r="D6" s="9" t="s">
        <v>671</v>
      </c>
      <c r="E6" s="9" t="s">
        <v>672</v>
      </c>
      <c r="F6" s="9" t="s">
        <v>673</v>
      </c>
      <c r="G6" s="9" t="s">
        <v>674</v>
      </c>
      <c r="H6" s="9">
        <v>1</v>
      </c>
      <c r="I6" s="9" t="s">
        <v>670</v>
      </c>
      <c r="J6" s="9" t="s">
        <v>933</v>
      </c>
      <c r="K6" s="8">
        <v>0</v>
      </c>
      <c r="M6" s="2" t="str" cm="1">
        <f t="array" ref="M6">CONCATENATE("                   ",Liste(B6:K6),IF(M7&lt;&gt;"",",",""))</f>
        <v xml:space="preserve">                   (5, 'Luxemburg', 'Lux', 'Großherzogtum Luxemburg', '+352', 'LU', 1, 'Luxemburg', 'Euro', 0),</v>
      </c>
    </row>
    <row r="7" spans="1:13" x14ac:dyDescent="0.45">
      <c r="B7" s="8">
        <v>6</v>
      </c>
      <c r="C7" s="9" t="s">
        <v>675</v>
      </c>
      <c r="D7" s="9" t="s">
        <v>676</v>
      </c>
      <c r="E7" s="9" t="s">
        <v>677</v>
      </c>
      <c r="F7" s="9" t="s">
        <v>678</v>
      </c>
      <c r="G7" s="9" t="s">
        <v>679</v>
      </c>
      <c r="H7" s="9">
        <v>1</v>
      </c>
      <c r="I7" s="9" t="s">
        <v>895</v>
      </c>
      <c r="J7" s="9" t="s">
        <v>934</v>
      </c>
      <c r="K7" s="8">
        <v>0</v>
      </c>
      <c r="M7" s="2" t="str" cm="1">
        <f t="array" ref="M7">CONCATENATE("                   ",Liste(B7:K7),IF(M8&lt;&gt;"",",",""))</f>
        <v xml:space="preserve">                   (6, 'Liechtenstein', 'LIE', 'Fürstentum Liechtenstein', '+432', 'LI', 1, 'Vaduz', 'Schweizer Franken', 0),</v>
      </c>
    </row>
    <row r="8" spans="1:13" x14ac:dyDescent="0.45">
      <c r="B8" s="8">
        <v>7</v>
      </c>
      <c r="C8" s="9" t="s">
        <v>680</v>
      </c>
      <c r="D8" s="9" t="s">
        <v>681</v>
      </c>
      <c r="E8" s="9" t="s">
        <v>682</v>
      </c>
      <c r="F8" s="9" t="s">
        <v>683</v>
      </c>
      <c r="G8" s="9" t="s">
        <v>684</v>
      </c>
      <c r="H8" s="9">
        <v>1</v>
      </c>
      <c r="I8" s="9" t="s">
        <v>896</v>
      </c>
      <c r="J8" s="9" t="s">
        <v>933</v>
      </c>
      <c r="K8" s="8">
        <v>0</v>
      </c>
      <c r="M8" s="2" t="str" cm="1">
        <f t="array" ref="M8">CONCATENATE("                   ",Liste(B8:K8),IF(M9&lt;&gt;"",",",""))</f>
        <v xml:space="preserve">                   (7, 'Belgien', 'BEL', 'Königreich Belgien ', '+32', 'BE', 1, 'Brüssel', 'Euro', 0),</v>
      </c>
    </row>
    <row r="9" spans="1:13" x14ac:dyDescent="0.45">
      <c r="B9" s="8">
        <v>8</v>
      </c>
      <c r="C9" s="9" t="s">
        <v>685</v>
      </c>
      <c r="D9" s="9" t="s">
        <v>686</v>
      </c>
      <c r="E9" s="9" t="s">
        <v>695</v>
      </c>
      <c r="F9" s="9" t="s">
        <v>687</v>
      </c>
      <c r="G9" s="9" t="s">
        <v>688</v>
      </c>
      <c r="H9" s="9">
        <v>1</v>
      </c>
      <c r="I9" s="9" t="s">
        <v>897</v>
      </c>
      <c r="J9" s="9" t="s">
        <v>933</v>
      </c>
      <c r="K9" s="8">
        <v>0</v>
      </c>
      <c r="M9" s="2" t="str" cm="1">
        <f t="array" ref="M9">CONCATENATE("                   ",Liste(B9:K9),IF(M10&lt;&gt;"",",",""))</f>
        <v xml:space="preserve">                   (8, 'Niederlande', 'NDL', 'Königreich der Niederlande', '+31', 'NL', 1, 'Amsterdam', 'Euro', 0),</v>
      </c>
    </row>
    <row r="10" spans="1:13" x14ac:dyDescent="0.45">
      <c r="B10" s="8">
        <v>9</v>
      </c>
      <c r="C10" s="9" t="s">
        <v>689</v>
      </c>
      <c r="D10" s="9" t="s">
        <v>690</v>
      </c>
      <c r="E10" s="9" t="s">
        <v>691</v>
      </c>
      <c r="F10" s="9" t="s">
        <v>692</v>
      </c>
      <c r="G10" s="9" t="s">
        <v>693</v>
      </c>
      <c r="H10" s="9">
        <v>1</v>
      </c>
      <c r="I10" s="9" t="s">
        <v>898</v>
      </c>
      <c r="J10" s="9" t="s">
        <v>933</v>
      </c>
      <c r="K10" s="8">
        <v>0</v>
      </c>
      <c r="M10" s="2" t="str" cm="1">
        <f t="array" ref="M10">CONCATENATE("                   ",Liste(B10:K10),IF(M11&lt;&gt;"",",",""))</f>
        <v xml:space="preserve">                   (9, 'Großbritannien', 'GBR', 'Vereinigtes Königreich Großbritannien und Nordirland', '+44', 'GB', 1, 'Athen', 'Euro', 0),</v>
      </c>
    </row>
    <row r="11" spans="1:13" x14ac:dyDescent="0.45">
      <c r="B11" s="8">
        <v>10</v>
      </c>
      <c r="C11" t="s">
        <v>705</v>
      </c>
      <c r="D11" t="s">
        <v>743</v>
      </c>
      <c r="E11" t="s">
        <v>781</v>
      </c>
      <c r="F11" t="s">
        <v>815</v>
      </c>
      <c r="G11" t="s">
        <v>853</v>
      </c>
      <c r="H11" s="8">
        <v>1</v>
      </c>
      <c r="I11" s="9" t="s">
        <v>899</v>
      </c>
      <c r="J11" s="9" t="s">
        <v>935</v>
      </c>
      <c r="K11" s="8">
        <v>0</v>
      </c>
      <c r="M11" s="2" t="str" cm="1">
        <f t="array" ref="M11">CONCATENATE("                   ",Liste(B11:K11),IF(M12&lt;&gt;"",",",""))</f>
        <v xml:space="preserve">                   (10, 'Dänemark', 'DNK', 'Königreich Dänemark', '+45', 'DK', 1, 'Kopenhagen', 'Dänische Krone', 0),</v>
      </c>
    </row>
    <row r="12" spans="1:13" x14ac:dyDescent="0.45">
      <c r="B12" s="8">
        <v>11</v>
      </c>
      <c r="C12" t="s">
        <v>706</v>
      </c>
      <c r="D12" t="s">
        <v>744</v>
      </c>
      <c r="E12" t="s">
        <v>782</v>
      </c>
      <c r="F12" t="s">
        <v>816</v>
      </c>
      <c r="G12" t="s">
        <v>854</v>
      </c>
      <c r="H12" s="8">
        <v>1</v>
      </c>
      <c r="I12" s="9" t="s">
        <v>900</v>
      </c>
      <c r="J12" s="9" t="s">
        <v>933</v>
      </c>
      <c r="K12" s="8">
        <v>0</v>
      </c>
      <c r="M12" s="2" t="str" cm="1">
        <f t="array" ref="M12">CONCATENATE("                   ",Liste(B12:K12),IF(M13&lt;&gt;"",",",""))</f>
        <v xml:space="preserve">                   (11, 'Finnland', 'FIN', 'Republik Finnland', '+358', 'FI', 1, 'Helsinki', 'Euro', 0),</v>
      </c>
    </row>
    <row r="13" spans="1:13" x14ac:dyDescent="0.45">
      <c r="B13" s="8">
        <v>12</v>
      </c>
      <c r="C13" t="s">
        <v>707</v>
      </c>
      <c r="D13" t="s">
        <v>745</v>
      </c>
      <c r="E13" t="s">
        <v>783</v>
      </c>
      <c r="F13" t="s">
        <v>817</v>
      </c>
      <c r="G13" t="s">
        <v>855</v>
      </c>
      <c r="H13" s="8">
        <v>1</v>
      </c>
      <c r="I13" s="9" t="s">
        <v>898</v>
      </c>
      <c r="J13" s="9" t="s">
        <v>933</v>
      </c>
      <c r="K13" s="8">
        <v>0</v>
      </c>
      <c r="M13" s="2" t="str" cm="1">
        <f t="array" ref="M13">CONCATENATE("                   ",Liste(B13:K13),IF(M14&lt;&gt;"",",",""))</f>
        <v xml:space="preserve">                   (12, 'Griechenland', 'GRC', 'Hellenische Republik', '+30', 'GR', 1, 'Athen', 'Euro', 0),</v>
      </c>
    </row>
    <row r="14" spans="1:13" x14ac:dyDescent="0.45">
      <c r="B14" s="8">
        <v>13</v>
      </c>
      <c r="C14" t="s">
        <v>708</v>
      </c>
      <c r="D14" t="s">
        <v>746</v>
      </c>
      <c r="E14" t="s">
        <v>784</v>
      </c>
      <c r="F14" t="s">
        <v>818</v>
      </c>
      <c r="G14" t="s">
        <v>856</v>
      </c>
      <c r="H14" s="8">
        <v>0</v>
      </c>
      <c r="I14" s="9" t="s">
        <v>708</v>
      </c>
      <c r="J14" s="9" t="s">
        <v>933</v>
      </c>
      <c r="K14" s="8">
        <v>0</v>
      </c>
      <c r="M14" s="2" t="str" cm="1">
        <f t="array" ref="M14">CONCATENATE("                   ",Liste(B14:K14),IF(M15&lt;&gt;"",",",""))</f>
        <v xml:space="preserve">                   (13, 'Monaco', 'MCO', 'Fürstentum Monaco', '+377', 'MC', 0, 'Monaco', 'Euro', 0),</v>
      </c>
    </row>
    <row r="15" spans="1:13" x14ac:dyDescent="0.45">
      <c r="B15" s="8">
        <v>14</v>
      </c>
      <c r="C15" t="s">
        <v>709</v>
      </c>
      <c r="D15" t="s">
        <v>747</v>
      </c>
      <c r="E15" t="s">
        <v>785</v>
      </c>
      <c r="F15" t="s">
        <v>819</v>
      </c>
      <c r="G15" t="s">
        <v>857</v>
      </c>
      <c r="H15" s="8">
        <v>1</v>
      </c>
      <c r="I15" s="9" t="s">
        <v>901</v>
      </c>
      <c r="J15" s="9" t="s">
        <v>936</v>
      </c>
      <c r="K15" s="8">
        <v>0</v>
      </c>
      <c r="M15" s="2" t="str" cm="1">
        <f t="array" ref="M15">CONCATENATE("                   ",Liste(B15:K15),IF(M16&lt;&gt;"",",",""))</f>
        <v xml:space="preserve">                   (14, 'Kroatien', 'HRV', 'Republik Kroatien', '+385', 'HR', 1, 'Zagreb', 'Kroatische Kuna', 0),</v>
      </c>
    </row>
    <row r="16" spans="1:13" x14ac:dyDescent="0.45">
      <c r="B16" s="8">
        <v>15</v>
      </c>
      <c r="C16" t="s">
        <v>710</v>
      </c>
      <c r="D16" t="s">
        <v>748</v>
      </c>
      <c r="E16" t="s">
        <v>786</v>
      </c>
      <c r="F16" t="s">
        <v>820</v>
      </c>
      <c r="G16" t="s">
        <v>858</v>
      </c>
      <c r="H16" s="8">
        <v>1</v>
      </c>
      <c r="I16" s="9" t="s">
        <v>902</v>
      </c>
      <c r="J16" s="9" t="s">
        <v>937</v>
      </c>
      <c r="K16" s="8">
        <v>0</v>
      </c>
      <c r="M16" s="2" t="str" cm="1">
        <f t="array" ref="M16">CONCATENATE("                   ",Liste(B16:K16),IF(M17&lt;&gt;"",",",""))</f>
        <v xml:space="preserve">                   (15, 'Bulgarien', 'BGR', 'Republik Bulgarien', '+359', 'BG', 1, 'Sofia', 'Bulgarischer Lew', 0),</v>
      </c>
    </row>
    <row r="17" spans="2:13" x14ac:dyDescent="0.45">
      <c r="B17" s="8">
        <v>16</v>
      </c>
      <c r="C17" t="s">
        <v>711</v>
      </c>
      <c r="D17" t="s">
        <v>749</v>
      </c>
      <c r="E17" t="s">
        <v>787</v>
      </c>
      <c r="F17" t="s">
        <v>821</v>
      </c>
      <c r="G17" t="s">
        <v>859</v>
      </c>
      <c r="H17" s="8">
        <v>1</v>
      </c>
      <c r="I17" s="9" t="s">
        <v>903</v>
      </c>
      <c r="J17" s="9" t="s">
        <v>933</v>
      </c>
      <c r="K17" s="8">
        <v>0</v>
      </c>
      <c r="M17" s="2" t="str" cm="1">
        <f t="array" ref="M17">CONCATENATE("                   ",Liste(B17:K17),IF(M18&lt;&gt;"",",",""))</f>
        <v xml:space="preserve">                   (16, 'Estland', 'EST', 'Republik Estland', '+372', 'EE', 1, 'Tallinn', 'Euro', 0),</v>
      </c>
    </row>
    <row r="18" spans="2:13" x14ac:dyDescent="0.45">
      <c r="B18" s="8">
        <v>17</v>
      </c>
      <c r="C18" t="s">
        <v>712</v>
      </c>
      <c r="D18" t="s">
        <v>750</v>
      </c>
      <c r="E18" t="s">
        <v>788</v>
      </c>
      <c r="F18" t="s">
        <v>822</v>
      </c>
      <c r="G18" t="s">
        <v>860</v>
      </c>
      <c r="H18" s="8">
        <v>1</v>
      </c>
      <c r="I18" s="9" t="s">
        <v>904</v>
      </c>
      <c r="J18" s="9" t="s">
        <v>933</v>
      </c>
      <c r="K18" s="8">
        <v>0</v>
      </c>
      <c r="M18" s="2" t="str" cm="1">
        <f t="array" ref="M18">CONCATENATE("                   ",Liste(B18:K18),IF(M19&lt;&gt;"",",",""))</f>
        <v xml:space="preserve">                   (17, 'Irland', 'IRL', 'Irische Republik', '+353', 'IE', 1, 'Dublin', 'Euro', 0),</v>
      </c>
    </row>
    <row r="19" spans="2:13" x14ac:dyDescent="0.45">
      <c r="B19" s="8">
        <v>18</v>
      </c>
      <c r="C19" t="s">
        <v>713</v>
      </c>
      <c r="D19" t="s">
        <v>751</v>
      </c>
      <c r="E19" t="s">
        <v>789</v>
      </c>
      <c r="F19" t="s">
        <v>823</v>
      </c>
      <c r="G19" t="s">
        <v>861</v>
      </c>
      <c r="H19">
        <v>0</v>
      </c>
      <c r="I19" s="9" t="s">
        <v>905</v>
      </c>
      <c r="J19" s="9" t="s">
        <v>938</v>
      </c>
      <c r="K19" s="8">
        <v>0</v>
      </c>
      <c r="M19" s="2" t="str" cm="1">
        <f t="array" ref="M19">CONCATENATE("                   ",Liste(B19:K19),IF(M20&lt;&gt;"",",",""))</f>
        <v xml:space="preserve">                   (18, 'Island', 'ISL', 'Republik Island', '+354', 'IS', 0, 'Reykjavik', 'Isländische Krone', 0),</v>
      </c>
    </row>
    <row r="20" spans="2:13" x14ac:dyDescent="0.45">
      <c r="B20" s="8">
        <v>19</v>
      </c>
      <c r="C20" t="s">
        <v>714</v>
      </c>
      <c r="D20" t="s">
        <v>752</v>
      </c>
      <c r="E20" t="s">
        <v>790</v>
      </c>
      <c r="F20" t="s">
        <v>824</v>
      </c>
      <c r="G20" t="s">
        <v>862</v>
      </c>
      <c r="H20" s="8">
        <v>1</v>
      </c>
      <c r="I20" s="9" t="s">
        <v>906</v>
      </c>
      <c r="J20" s="9" t="s">
        <v>933</v>
      </c>
      <c r="K20" s="8">
        <v>0</v>
      </c>
      <c r="M20" s="2" t="str" cm="1">
        <f t="array" ref="M20">CONCATENATE("                   ",Liste(B20:K20),IF(M21&lt;&gt;"",",",""))</f>
        <v xml:space="preserve">                   (19, 'Italien', 'ITA', 'Italienische Republik', '+39', 'IT', 1, 'Rom', 'Euro', 0),</v>
      </c>
    </row>
    <row r="21" spans="2:13" x14ac:dyDescent="0.45">
      <c r="B21" s="8">
        <v>20</v>
      </c>
      <c r="C21" t="s">
        <v>715</v>
      </c>
      <c r="D21" t="s">
        <v>753</v>
      </c>
      <c r="E21" t="s">
        <v>791</v>
      </c>
      <c r="F21" t="s">
        <v>825</v>
      </c>
      <c r="G21" t="s">
        <v>863</v>
      </c>
      <c r="H21">
        <v>0</v>
      </c>
      <c r="I21" s="9" t="s">
        <v>907</v>
      </c>
      <c r="J21" s="9" t="s">
        <v>933</v>
      </c>
      <c r="K21" s="8">
        <v>0</v>
      </c>
      <c r="M21" s="2" t="str" cm="1">
        <f t="array" ref="M21">CONCATENATE("                   ",Liste(B21:K21),IF(M22&lt;&gt;"",",",""))</f>
        <v xml:space="preserve">                   (20, 'Kosovo', 'XKX', 'Republik Kosovo', '+383', 'XK', 0, 'Pristina', 'Euro', 0),</v>
      </c>
    </row>
    <row r="22" spans="2:13" x14ac:dyDescent="0.45">
      <c r="B22" s="8">
        <v>21</v>
      </c>
      <c r="C22" t="s">
        <v>716</v>
      </c>
      <c r="D22" t="s">
        <v>754</v>
      </c>
      <c r="E22" t="s">
        <v>792</v>
      </c>
      <c r="F22" t="s">
        <v>826</v>
      </c>
      <c r="G22" t="s">
        <v>864</v>
      </c>
      <c r="H22" s="8">
        <v>1</v>
      </c>
      <c r="I22" s="9" t="s">
        <v>908</v>
      </c>
      <c r="J22" s="9" t="s">
        <v>933</v>
      </c>
      <c r="K22" s="8">
        <v>0</v>
      </c>
      <c r="M22" s="2" t="str" cm="1">
        <f t="array" ref="M22">CONCATENATE("                   ",Liste(B22:K22),IF(M23&lt;&gt;"",",",""))</f>
        <v xml:space="preserve">                   (21, 'Lettland', 'LVA', 'Republik Lettland', '+371', 'LV', 1, 'Riga', 'Euro', 0),</v>
      </c>
    </row>
    <row r="23" spans="2:13" x14ac:dyDescent="0.45">
      <c r="B23" s="8">
        <v>22</v>
      </c>
      <c r="C23" t="s">
        <v>717</v>
      </c>
      <c r="D23" t="s">
        <v>755</v>
      </c>
      <c r="E23" t="s">
        <v>793</v>
      </c>
      <c r="F23" t="s">
        <v>827</v>
      </c>
      <c r="G23" t="s">
        <v>865</v>
      </c>
      <c r="H23" s="8">
        <v>1</v>
      </c>
      <c r="I23" s="9" t="s">
        <v>909</v>
      </c>
      <c r="J23" s="9" t="s">
        <v>933</v>
      </c>
      <c r="K23" s="8">
        <v>0</v>
      </c>
      <c r="M23" s="2" t="str" cm="1">
        <f t="array" ref="M23">CONCATENATE("                   ",Liste(B23:K23),IF(M24&lt;&gt;"",",",""))</f>
        <v xml:space="preserve">                   (22, 'Litauen', 'LTU', 'Republik Litauen', '+370', 'LT', 1, 'Vilnius', 'Euro', 0),</v>
      </c>
    </row>
    <row r="24" spans="2:13" x14ac:dyDescent="0.45">
      <c r="B24" s="8">
        <v>23</v>
      </c>
      <c r="C24" t="s">
        <v>718</v>
      </c>
      <c r="D24" t="s">
        <v>756</v>
      </c>
      <c r="E24" t="s">
        <v>794</v>
      </c>
      <c r="F24" t="s">
        <v>828</v>
      </c>
      <c r="G24" t="s">
        <v>866</v>
      </c>
      <c r="H24" s="8">
        <v>1</v>
      </c>
      <c r="I24" s="9" t="s">
        <v>910</v>
      </c>
      <c r="J24" s="9" t="s">
        <v>933</v>
      </c>
      <c r="K24" s="8">
        <v>0</v>
      </c>
      <c r="M24" s="2" t="str" cm="1">
        <f t="array" ref="M24">CONCATENATE("                   ",Liste(B24:K24),IF(M25&lt;&gt;"",",",""))</f>
        <v xml:space="preserve">                   (23, 'Malta', 'MLT', 'Republik Malta', '+356', 'MT', 1, 'Valletta', 'Euro', 0),</v>
      </c>
    </row>
    <row r="25" spans="2:13" x14ac:dyDescent="0.45">
      <c r="B25" s="8">
        <v>24</v>
      </c>
      <c r="C25" t="s">
        <v>719</v>
      </c>
      <c r="D25" t="s">
        <v>757</v>
      </c>
      <c r="E25" t="s">
        <v>795</v>
      </c>
      <c r="F25" t="s">
        <v>829</v>
      </c>
      <c r="G25" t="s">
        <v>867</v>
      </c>
      <c r="H25" s="8">
        <v>1</v>
      </c>
      <c r="I25" s="9" t="s">
        <v>911</v>
      </c>
      <c r="J25" s="9" t="s">
        <v>939</v>
      </c>
      <c r="K25" s="8">
        <v>0</v>
      </c>
      <c r="M25" s="2" t="str" cm="1">
        <f t="array" ref="M25">CONCATENATE("                   ",Liste(B25:K25),IF(M26&lt;&gt;"",",",""))</f>
        <v xml:space="preserve">                   (24, 'Polen', 'POL', 'Republik Polen', '+48', 'PL', 1, 'Warschau', 'Zloty', 0),</v>
      </c>
    </row>
    <row r="26" spans="2:13" x14ac:dyDescent="0.45">
      <c r="B26" s="8">
        <v>25</v>
      </c>
      <c r="C26" t="s">
        <v>720</v>
      </c>
      <c r="D26" t="s">
        <v>758</v>
      </c>
      <c r="E26" t="s">
        <v>796</v>
      </c>
      <c r="F26" t="s">
        <v>830</v>
      </c>
      <c r="G26" t="s">
        <v>868</v>
      </c>
      <c r="H26" s="8">
        <v>1</v>
      </c>
      <c r="I26" s="9" t="s">
        <v>912</v>
      </c>
      <c r="J26" s="9" t="s">
        <v>933</v>
      </c>
      <c r="K26" s="8">
        <v>0</v>
      </c>
      <c r="M26" s="2" t="str" cm="1">
        <f t="array" ref="M26">CONCATENATE("                   ",Liste(B26:K26),IF(M27&lt;&gt;"",",",""))</f>
        <v xml:space="preserve">                   (25, 'Portugal', 'PRT', 'Portugiesische Republik', '+351', 'PT', 1, 'Lissabon', 'Euro', 0),</v>
      </c>
    </row>
    <row r="27" spans="2:13" x14ac:dyDescent="0.45">
      <c r="B27" s="8">
        <v>26</v>
      </c>
      <c r="C27" t="s">
        <v>721</v>
      </c>
      <c r="D27" t="s">
        <v>759</v>
      </c>
      <c r="E27" t="s">
        <v>721</v>
      </c>
      <c r="F27" t="s">
        <v>831</v>
      </c>
      <c r="G27" t="s">
        <v>869</v>
      </c>
      <c r="H27" s="8">
        <v>1</v>
      </c>
      <c r="I27" s="9" t="s">
        <v>913</v>
      </c>
      <c r="J27" s="9" t="s">
        <v>940</v>
      </c>
      <c r="K27" s="8">
        <v>0</v>
      </c>
      <c r="M27" s="2" t="str" cm="1">
        <f t="array" ref="M27">CONCATENATE("                   ",Liste(B27:K27),IF(M28&lt;&gt;"",",",""))</f>
        <v xml:space="preserve">                   (26, 'Rumänien', 'ROU', 'Rumänien', '+40', 'RO', 1, 'Bukarest', 'Rumänischer Leu', 0),</v>
      </c>
    </row>
    <row r="28" spans="2:13" x14ac:dyDescent="0.45">
      <c r="B28" s="8">
        <v>27</v>
      </c>
      <c r="C28" t="s">
        <v>722</v>
      </c>
      <c r="D28" t="s">
        <v>760</v>
      </c>
      <c r="E28" t="s">
        <v>797</v>
      </c>
      <c r="F28" t="s">
        <v>832</v>
      </c>
      <c r="G28" t="s">
        <v>870</v>
      </c>
      <c r="H28">
        <v>0</v>
      </c>
      <c r="I28" s="9" t="s">
        <v>914</v>
      </c>
      <c r="J28" s="9" t="s">
        <v>941</v>
      </c>
      <c r="K28" s="8">
        <v>0</v>
      </c>
      <c r="M28" s="2" t="str" cm="1">
        <f t="array" ref="M28">CONCATENATE("                   ",Liste(B28:K28),IF(M29&lt;&gt;"",",",""))</f>
        <v xml:space="preserve">                   (27, 'Norwegen', 'NOR', 'Königreich Norwegen', '+47', 'NO', 0, 'Oslo', 'Norwegische Krone', 0),</v>
      </c>
    </row>
    <row r="29" spans="2:13" x14ac:dyDescent="0.45">
      <c r="B29" s="8">
        <v>28</v>
      </c>
      <c r="C29" t="s">
        <v>723</v>
      </c>
      <c r="D29" t="s">
        <v>761</v>
      </c>
      <c r="E29" t="s">
        <v>798</v>
      </c>
      <c r="F29" t="s">
        <v>833</v>
      </c>
      <c r="G29" t="s">
        <v>871</v>
      </c>
      <c r="H29" s="8">
        <v>1</v>
      </c>
      <c r="I29" s="9" t="s">
        <v>915</v>
      </c>
      <c r="J29" s="9" t="s">
        <v>933</v>
      </c>
      <c r="K29" s="8">
        <v>0</v>
      </c>
      <c r="M29" s="2" t="str" cm="1">
        <f t="array" ref="M29">CONCATENATE("                   ",Liste(B29:K29),IF(M30&lt;&gt;"",",",""))</f>
        <v xml:space="preserve">                   (28, 'Slowakei', 'SVK', 'Slowakische Republik', '+421', 'SK', 1, 'Bratislava', 'Euro', 0),</v>
      </c>
    </row>
    <row r="30" spans="2:13" x14ac:dyDescent="0.45">
      <c r="B30" s="8">
        <v>29</v>
      </c>
      <c r="C30" t="s">
        <v>724</v>
      </c>
      <c r="D30" t="s">
        <v>762</v>
      </c>
      <c r="E30" t="s">
        <v>799</v>
      </c>
      <c r="F30" t="s">
        <v>834</v>
      </c>
      <c r="G30" t="s">
        <v>872</v>
      </c>
      <c r="H30" s="8">
        <v>1</v>
      </c>
      <c r="I30" s="9" t="s">
        <v>916</v>
      </c>
      <c r="J30" s="9" t="s">
        <v>933</v>
      </c>
      <c r="K30" s="8">
        <v>0</v>
      </c>
      <c r="M30" s="2" t="str" cm="1">
        <f t="array" ref="M30">CONCATENATE("                   ",Liste(B30:K30),IF(M31&lt;&gt;"",",",""))</f>
        <v xml:space="preserve">                   (29, 'Slowenien', 'SVN', 'Republik Slowenien', '+386', 'SI', 1, 'Ljubljana', 'Euro', 0),</v>
      </c>
    </row>
    <row r="31" spans="2:13" x14ac:dyDescent="0.45">
      <c r="B31" s="8">
        <v>30</v>
      </c>
      <c r="C31" t="s">
        <v>725</v>
      </c>
      <c r="D31" t="s">
        <v>763</v>
      </c>
      <c r="E31" t="s">
        <v>800</v>
      </c>
      <c r="F31" t="s">
        <v>835</v>
      </c>
      <c r="G31" t="s">
        <v>873</v>
      </c>
      <c r="H31" s="8">
        <v>1</v>
      </c>
      <c r="I31" s="9" t="s">
        <v>917</v>
      </c>
      <c r="J31" s="9" t="s">
        <v>933</v>
      </c>
      <c r="K31" s="8">
        <v>0</v>
      </c>
      <c r="M31" s="2" t="str" cm="1">
        <f t="array" ref="M31">CONCATENATE("                   ",Liste(B31:K31),IF(M32&lt;&gt;"",",",""))</f>
        <v xml:space="preserve">                   (30, 'Spanien', 'ESP', 'Königreich Spanien', '+34', 'ES', 1, 'Madrid', 'Euro', 0),</v>
      </c>
    </row>
    <row r="32" spans="2:13" x14ac:dyDescent="0.45">
      <c r="B32" s="8">
        <v>31</v>
      </c>
      <c r="C32" t="s">
        <v>726</v>
      </c>
      <c r="D32" t="s">
        <v>764</v>
      </c>
      <c r="E32" t="s">
        <v>801</v>
      </c>
      <c r="F32" t="s">
        <v>836</v>
      </c>
      <c r="G32" t="s">
        <v>874</v>
      </c>
      <c r="H32" s="8">
        <v>1</v>
      </c>
      <c r="I32" s="9" t="s">
        <v>918</v>
      </c>
      <c r="J32" s="9" t="s">
        <v>942</v>
      </c>
      <c r="K32" s="8">
        <v>0</v>
      </c>
      <c r="M32" s="2" t="str" cm="1">
        <f t="array" ref="M32">CONCATENATE("                   ",Liste(B32:K32),IF(M33&lt;&gt;"",",",""))</f>
        <v xml:space="preserve">                   (31, 'Tschechien', 'CZE', 'Tschechische Republik', '+420', 'CZ', 1, 'Prag', 'Tschechische Krone', 0),</v>
      </c>
    </row>
    <row r="33" spans="2:13" x14ac:dyDescent="0.45">
      <c r="B33" s="8">
        <v>32</v>
      </c>
      <c r="C33" t="s">
        <v>727</v>
      </c>
      <c r="D33" t="s">
        <v>765</v>
      </c>
      <c r="E33" t="s">
        <v>802</v>
      </c>
      <c r="F33" t="s">
        <v>837</v>
      </c>
      <c r="G33" t="s">
        <v>875</v>
      </c>
      <c r="H33" s="8">
        <v>1</v>
      </c>
      <c r="I33" s="9" t="s">
        <v>919</v>
      </c>
      <c r="J33" s="9" t="s">
        <v>943</v>
      </c>
      <c r="K33" s="8">
        <v>0</v>
      </c>
      <c r="M33" s="2" t="str" cm="1">
        <f t="array" ref="M33">CONCATENATE("                   ",Liste(B33:K33),IF(M34&lt;&gt;"",",",""))</f>
        <v xml:space="preserve">                   (32, 'Schweden', 'SWE', 'Königreich Schweden', '+46', 'SE', 1, 'Stockholm', 'Schwedische Krone', 0),</v>
      </c>
    </row>
    <row r="34" spans="2:13" x14ac:dyDescent="0.45">
      <c r="B34" s="8">
        <v>33</v>
      </c>
      <c r="C34" t="s">
        <v>728</v>
      </c>
      <c r="D34" t="s">
        <v>766</v>
      </c>
      <c r="E34" t="s">
        <v>803</v>
      </c>
      <c r="F34" t="s">
        <v>838</v>
      </c>
      <c r="G34" t="s">
        <v>876</v>
      </c>
      <c r="H34">
        <v>0</v>
      </c>
      <c r="I34" s="9" t="s">
        <v>920</v>
      </c>
      <c r="J34" s="9" t="s">
        <v>944</v>
      </c>
      <c r="K34" s="8">
        <v>0</v>
      </c>
      <c r="M34" s="2" t="str" cm="1">
        <f t="array" ref="M34">CONCATENATE("                   ",Liste(B34:K34),IF(M35&lt;&gt;"",",",""))</f>
        <v xml:space="preserve">                   (33, 'Türkei', 'TUR', 'Republik Türkei', '+90', 'TR', 0, 'Ankara', 'Türkische Lira', 0),</v>
      </c>
    </row>
    <row r="35" spans="2:13" x14ac:dyDescent="0.45">
      <c r="B35" s="8">
        <v>34</v>
      </c>
      <c r="C35" t="s">
        <v>729</v>
      </c>
      <c r="D35" t="s">
        <v>767</v>
      </c>
      <c r="E35" t="s">
        <v>729</v>
      </c>
      <c r="F35" t="s">
        <v>839</v>
      </c>
      <c r="G35" t="s">
        <v>877</v>
      </c>
      <c r="H35" s="8">
        <v>1</v>
      </c>
      <c r="I35" s="9" t="s">
        <v>921</v>
      </c>
      <c r="J35" s="9" t="s">
        <v>945</v>
      </c>
      <c r="K35" s="8">
        <v>0</v>
      </c>
      <c r="M35" s="2" t="str" cm="1">
        <f t="array" ref="M35">CONCATENATE("                   ",Liste(B35:K35),IF(M36&lt;&gt;"",",",""))</f>
        <v xml:space="preserve">                   (34, 'Ungarn', 'HUN', 'Ungarn', '+36', 'HU', 1, 'London', 'Britisches Pfund', 0),</v>
      </c>
    </row>
    <row r="36" spans="2:13" x14ac:dyDescent="0.45">
      <c r="B36" s="8">
        <v>35</v>
      </c>
      <c r="C36" t="s">
        <v>730</v>
      </c>
      <c r="D36" t="s">
        <v>768</v>
      </c>
      <c r="E36" t="s">
        <v>804</v>
      </c>
      <c r="F36" t="s">
        <v>840</v>
      </c>
      <c r="G36" t="s">
        <v>878</v>
      </c>
      <c r="H36">
        <v>0</v>
      </c>
      <c r="I36" s="9" t="s">
        <v>921</v>
      </c>
      <c r="J36" s="9" t="s">
        <v>945</v>
      </c>
      <c r="K36" s="8">
        <v>0</v>
      </c>
      <c r="M36" s="2" t="str" cm="1">
        <f t="array" ref="M36">CONCATENATE("                   ",Liste(B36:K36),IF(M37&lt;&gt;"",",",""))</f>
        <v xml:space="preserve">                   (35, 'Vatikanstadt', 'VAT', 'Staat der Vatikanstadt', '+379', 'VA', 0, 'London', 'Britisches Pfund', 0),</v>
      </c>
    </row>
    <row r="37" spans="2:13" x14ac:dyDescent="0.45">
      <c r="B37" s="8">
        <v>36</v>
      </c>
      <c r="C37" t="s">
        <v>731</v>
      </c>
      <c r="D37" t="s">
        <v>769</v>
      </c>
      <c r="E37" t="s">
        <v>731</v>
      </c>
      <c r="F37" t="s">
        <v>841</v>
      </c>
      <c r="G37" t="s">
        <v>879</v>
      </c>
      <c r="H37">
        <v>0</v>
      </c>
      <c r="I37" s="9" t="s">
        <v>922</v>
      </c>
      <c r="J37" s="9" t="s">
        <v>946</v>
      </c>
      <c r="K37" s="8">
        <v>0</v>
      </c>
      <c r="M37" s="2" t="str" cm="1">
        <f t="array" ref="M37">CONCATENATE("                   ",Liste(B37:K37),IF(M38&lt;&gt;"",",",""))</f>
        <v xml:space="preserve">                   (36, 'Ukraine', 'UKR', 'Ukraine', '+380', 'UA', 0, 'Kiew', 'Ukrainische Hrywnja', 0),</v>
      </c>
    </row>
    <row r="38" spans="2:13" x14ac:dyDescent="0.45">
      <c r="B38" s="8">
        <v>37</v>
      </c>
      <c r="C38" t="s">
        <v>732</v>
      </c>
      <c r="D38" t="s">
        <v>770</v>
      </c>
      <c r="E38" t="s">
        <v>805</v>
      </c>
      <c r="F38" t="s">
        <v>842</v>
      </c>
      <c r="G38" t="s">
        <v>880</v>
      </c>
      <c r="H38">
        <v>0</v>
      </c>
      <c r="I38" s="9" t="s">
        <v>923</v>
      </c>
      <c r="J38" s="9" t="s">
        <v>947</v>
      </c>
      <c r="K38" s="8">
        <v>0</v>
      </c>
      <c r="M38" s="2" t="str" cm="1">
        <f t="array" ref="M38">CONCATENATE("                   ",Liste(B38:K38),IF(M39&lt;&gt;"",",",""))</f>
        <v xml:space="preserve">                   (37, 'Albanien', 'ALB', 'Republik Albanien', '+355', 'AL', 0, 'Tirana', 'Albanischer Lek', 0),</v>
      </c>
    </row>
    <row r="39" spans="2:13" x14ac:dyDescent="0.45">
      <c r="B39" s="8">
        <v>38</v>
      </c>
      <c r="C39" t="s">
        <v>733</v>
      </c>
      <c r="D39" t="s">
        <v>771</v>
      </c>
      <c r="E39" t="s">
        <v>806</v>
      </c>
      <c r="F39" t="s">
        <v>843</v>
      </c>
      <c r="G39" t="s">
        <v>881</v>
      </c>
      <c r="H39">
        <v>0</v>
      </c>
      <c r="I39" s="9" t="s">
        <v>924</v>
      </c>
      <c r="J39" s="9" t="s">
        <v>933</v>
      </c>
      <c r="K39" s="8">
        <v>0</v>
      </c>
      <c r="M39" s="2" t="str" cm="1">
        <f t="array" ref="M39">CONCATENATE("                   ",Liste(B39:K39),IF(M40&lt;&gt;"",",",""))</f>
        <v xml:space="preserve">                   (38, 'Andorra', 'AND', 'Fürstentum Andorra', '+376', 'AD', 0, 'Andorra la Vella', 'Euro', 0),</v>
      </c>
    </row>
    <row r="40" spans="2:13" x14ac:dyDescent="0.45">
      <c r="B40" s="8">
        <v>39</v>
      </c>
      <c r="C40" t="s">
        <v>734</v>
      </c>
      <c r="D40" t="s">
        <v>772</v>
      </c>
      <c r="E40" t="s">
        <v>734</v>
      </c>
      <c r="F40" t="s">
        <v>844</v>
      </c>
      <c r="G40" t="s">
        <v>882</v>
      </c>
      <c r="H40">
        <v>0</v>
      </c>
      <c r="I40" s="9" t="s">
        <v>925</v>
      </c>
      <c r="J40" s="9" t="s">
        <v>948</v>
      </c>
      <c r="K40" s="8">
        <v>0</v>
      </c>
      <c r="M40" s="2" t="str" cm="1">
        <f t="array" ref="M40">CONCATENATE("                   ",Liste(B40:K40),IF(M41&lt;&gt;"",",",""))</f>
        <v xml:space="preserve">                   (39, 'Bosnien und Herzegowina', 'BIH', 'Bosnien und Herzegowina', '+387', 'BA', 0, 'Sarajevo', 'Konvertible Mark', 0),</v>
      </c>
    </row>
    <row r="41" spans="2:13" x14ac:dyDescent="0.45">
      <c r="B41" s="8">
        <v>40</v>
      </c>
      <c r="C41" t="s">
        <v>735</v>
      </c>
      <c r="D41" t="s">
        <v>773</v>
      </c>
      <c r="E41" t="s">
        <v>807</v>
      </c>
      <c r="F41" t="s">
        <v>845</v>
      </c>
      <c r="G41" t="s">
        <v>883</v>
      </c>
      <c r="H41">
        <v>0</v>
      </c>
      <c r="I41" s="9" t="s">
        <v>926</v>
      </c>
      <c r="J41" s="9" t="s">
        <v>949</v>
      </c>
      <c r="K41" s="8">
        <v>0</v>
      </c>
      <c r="M41" s="2" t="str" cm="1">
        <f t="array" ref="M41">CONCATENATE("                   ",Liste(B41:K41),IF(M42&lt;&gt;"",",",""))</f>
        <v xml:space="preserve">                   (40, 'Moldau', 'MDA', 'Republik Moldau', '+373', 'MD', 0, 'Chisinau', 'Moldau-Leu', 0),</v>
      </c>
    </row>
    <row r="42" spans="2:13" x14ac:dyDescent="0.45">
      <c r="B42" s="8">
        <v>41</v>
      </c>
      <c r="C42" t="s">
        <v>736</v>
      </c>
      <c r="D42" t="s">
        <v>774</v>
      </c>
      <c r="E42" t="s">
        <v>808</v>
      </c>
      <c r="F42" t="s">
        <v>846</v>
      </c>
      <c r="G42" t="s">
        <v>884</v>
      </c>
      <c r="H42">
        <v>0</v>
      </c>
      <c r="I42" s="9" t="s">
        <v>927</v>
      </c>
      <c r="J42" s="9" t="s">
        <v>933</v>
      </c>
      <c r="K42" s="8">
        <v>0</v>
      </c>
      <c r="M42" s="2" t="str" cm="1">
        <f t="array" ref="M42">CONCATENATE("                   ",Liste(B42:K42),IF(M43&lt;&gt;"",",",""))</f>
        <v xml:space="preserve">                   (41, 'Montenegro', 'MNE', 'Republik Montenegro', '+382', 'ME', 0, 'Podgorica', 'Euro', 0),</v>
      </c>
    </row>
    <row r="43" spans="2:13" x14ac:dyDescent="0.45">
      <c r="B43" s="8">
        <v>42</v>
      </c>
      <c r="C43" t="s">
        <v>737</v>
      </c>
      <c r="D43" t="s">
        <v>775</v>
      </c>
      <c r="E43" t="s">
        <v>809</v>
      </c>
      <c r="F43" t="s">
        <v>847</v>
      </c>
      <c r="G43" t="s">
        <v>885</v>
      </c>
      <c r="H43">
        <v>0</v>
      </c>
      <c r="I43" s="9" t="s">
        <v>928</v>
      </c>
      <c r="J43" s="9" t="s">
        <v>950</v>
      </c>
      <c r="K43" s="8">
        <v>0</v>
      </c>
      <c r="M43" s="2" t="str" cm="1">
        <f t="array" ref="M43">CONCATENATE("                   ",Liste(B43:K43),IF(M44&lt;&gt;"",",",""))</f>
        <v xml:space="preserve">                   (42, 'Nordmazedonien', 'MKD', 'Republik Nordmazedonien', '+389', 'MK', 0, 'Skopje', 'Mazedonischer Denar', 0),</v>
      </c>
    </row>
    <row r="44" spans="2:13" x14ac:dyDescent="0.45">
      <c r="B44" s="8">
        <v>43</v>
      </c>
      <c r="C44" t="s">
        <v>738</v>
      </c>
      <c r="D44" t="s">
        <v>776</v>
      </c>
      <c r="E44" t="s">
        <v>810</v>
      </c>
      <c r="F44" t="s">
        <v>848</v>
      </c>
      <c r="G44" t="s">
        <v>886</v>
      </c>
      <c r="H44">
        <v>0</v>
      </c>
      <c r="I44" s="9" t="s">
        <v>929</v>
      </c>
      <c r="J44" s="9" t="s">
        <v>951</v>
      </c>
      <c r="K44" s="8">
        <v>0</v>
      </c>
      <c r="M44" s="2" t="str" cm="1">
        <f t="array" ref="M44">CONCATENATE("                   ",Liste(B44:K44),IF(M45&lt;&gt;"",",",""))</f>
        <v xml:space="preserve">                   (43, 'Russland', 'RUS', 'Russische Föderation', '+7', 'RU', 0, 'Moskau', 'Russischer Rubel', 0),</v>
      </c>
    </row>
    <row r="45" spans="2:13" x14ac:dyDescent="0.45">
      <c r="B45" s="8">
        <v>44</v>
      </c>
      <c r="C45" t="s">
        <v>739</v>
      </c>
      <c r="D45" t="s">
        <v>777</v>
      </c>
      <c r="E45" t="s">
        <v>811</v>
      </c>
      <c r="F45" t="s">
        <v>849</v>
      </c>
      <c r="G45" t="s">
        <v>887</v>
      </c>
      <c r="H45">
        <v>0</v>
      </c>
      <c r="I45" s="9" t="s">
        <v>739</v>
      </c>
      <c r="J45" s="9" t="s">
        <v>933</v>
      </c>
      <c r="K45" s="8">
        <v>0</v>
      </c>
      <c r="M45" s="2" t="str" cm="1">
        <f t="array" ref="M45">CONCATENATE("                   ",Liste(B45:K45),IF(M46&lt;&gt;"",",",""))</f>
        <v xml:space="preserve">                   (44, 'San Marino', 'SMR', 'Republik San Marino', '+378', 'SM', 0, 'San Marino', 'Euro', 0),</v>
      </c>
    </row>
    <row r="46" spans="2:13" x14ac:dyDescent="0.45">
      <c r="B46" s="8">
        <v>45</v>
      </c>
      <c r="C46" t="s">
        <v>740</v>
      </c>
      <c r="D46" t="s">
        <v>778</v>
      </c>
      <c r="E46" t="s">
        <v>812</v>
      </c>
      <c r="F46" t="s">
        <v>850</v>
      </c>
      <c r="G46" t="s">
        <v>888</v>
      </c>
      <c r="H46">
        <v>0</v>
      </c>
      <c r="I46" s="9" t="s">
        <v>930</v>
      </c>
      <c r="J46" s="9" t="s">
        <v>952</v>
      </c>
      <c r="K46" s="8">
        <v>0</v>
      </c>
      <c r="M46" s="2" t="str" cm="1">
        <f t="array" ref="M46">CONCATENATE("                   ",Liste(B46:K46),IF(M47&lt;&gt;"",",",""))</f>
        <v xml:space="preserve">                   (45, 'Serbien', 'SRB', 'Republik Serbien', '+381', 'RS', 0, 'Belgrad', 'Serbischer Dinar', 0),</v>
      </c>
    </row>
    <row r="47" spans="2:13" x14ac:dyDescent="0.45">
      <c r="B47" s="8">
        <v>46</v>
      </c>
      <c r="C47" t="s">
        <v>741</v>
      </c>
      <c r="D47" t="s">
        <v>779</v>
      </c>
      <c r="E47" t="s">
        <v>813</v>
      </c>
      <c r="F47" t="s">
        <v>851</v>
      </c>
      <c r="G47" t="s">
        <v>889</v>
      </c>
      <c r="H47">
        <v>0</v>
      </c>
      <c r="I47" s="9" t="s">
        <v>931</v>
      </c>
      <c r="J47" s="9" t="s">
        <v>953</v>
      </c>
      <c r="K47" s="8">
        <v>0</v>
      </c>
      <c r="M47" s="2" t="str" cm="1">
        <f t="array" ref="M47">CONCATENATE("                   ",Liste(B47:K47),IF(M48&lt;&gt;"",",",""))</f>
        <v xml:space="preserve">                   (46, 'Weißrussland', 'BLR', 'Republik Belarus', '+375', 'BY', 0, 'Minsk', 'Weißrussischer Rubel', 0),</v>
      </c>
    </row>
    <row r="48" spans="2:13" x14ac:dyDescent="0.45">
      <c r="B48" s="8">
        <v>47</v>
      </c>
      <c r="C48" t="s">
        <v>742</v>
      </c>
      <c r="D48" t="s">
        <v>780</v>
      </c>
      <c r="E48" t="s">
        <v>814</v>
      </c>
      <c r="F48" t="s">
        <v>852</v>
      </c>
      <c r="G48" t="s">
        <v>890</v>
      </c>
      <c r="H48" s="8">
        <v>1</v>
      </c>
      <c r="I48" s="9" t="s">
        <v>932</v>
      </c>
      <c r="J48" s="9" t="s">
        <v>933</v>
      </c>
      <c r="K48" s="8">
        <v>0</v>
      </c>
      <c r="M48" s="2" t="str" cm="1">
        <f t="array" ref="M48">CONCATENATE("                   ",Liste(B48:K48),IF(M49&lt;&gt;"",",",""))</f>
        <v xml:space="preserve">                   (47, 'Zypern', 'CYP', 'Republik Zypern', '+357', 'CY', 1, 'Nikosia', 'Euro', 0)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579DB-6AB0-427B-8372-44F03DC8AEE1}">
  <sheetPr codeName="Tabelle5"/>
  <dimension ref="A2:E81"/>
  <sheetViews>
    <sheetView workbookViewId="0">
      <selection activeCell="A6" sqref="A6"/>
    </sheetView>
  </sheetViews>
  <sheetFormatPr baseColWidth="10" defaultRowHeight="14.25" x14ac:dyDescent="0.45"/>
  <cols>
    <col min="1" max="1" width="18.1328125" customWidth="1"/>
    <col min="2" max="2" width="33.86328125" customWidth="1"/>
    <col min="3" max="3" width="14.06640625" customWidth="1"/>
    <col min="4" max="4" width="12.86328125" customWidth="1"/>
    <col min="5" max="5" width="47.1328125" customWidth="1"/>
  </cols>
  <sheetData>
    <row r="2" spans="1:5" x14ac:dyDescent="0.45">
      <c r="A2" t="s">
        <v>154</v>
      </c>
      <c r="B2" t="s">
        <v>155</v>
      </c>
      <c r="C2" t="s">
        <v>156</v>
      </c>
      <c r="D2">
        <v>10070000</v>
      </c>
      <c r="E2" t="s">
        <v>157</v>
      </c>
    </row>
    <row r="3" spans="1:5" x14ac:dyDescent="0.45">
      <c r="A3" t="s">
        <v>154</v>
      </c>
      <c r="B3" t="s">
        <v>158</v>
      </c>
      <c r="C3" t="s">
        <v>156</v>
      </c>
      <c r="D3">
        <v>10070000</v>
      </c>
      <c r="E3" t="s">
        <v>159</v>
      </c>
    </row>
    <row r="4" spans="1:5" x14ac:dyDescent="0.45">
      <c r="A4" t="s">
        <v>154</v>
      </c>
      <c r="B4" t="s">
        <v>160</v>
      </c>
      <c r="C4" t="s">
        <v>156</v>
      </c>
      <c r="D4">
        <v>10070000</v>
      </c>
      <c r="E4" t="s">
        <v>161</v>
      </c>
    </row>
    <row r="5" spans="1:5" x14ac:dyDescent="0.45">
      <c r="A5" t="s">
        <v>154</v>
      </c>
      <c r="B5" t="s">
        <v>162</v>
      </c>
      <c r="C5" t="s">
        <v>156</v>
      </c>
      <c r="D5">
        <v>10070000</v>
      </c>
      <c r="E5" t="s">
        <v>163</v>
      </c>
    </row>
    <row r="6" spans="1:5" x14ac:dyDescent="0.45">
      <c r="A6" t="s">
        <v>154</v>
      </c>
      <c r="B6" t="s">
        <v>164</v>
      </c>
      <c r="C6" t="s">
        <v>156</v>
      </c>
      <c r="D6">
        <v>10070000</v>
      </c>
      <c r="E6" t="s">
        <v>165</v>
      </c>
    </row>
    <row r="7" spans="1:5" x14ac:dyDescent="0.45">
      <c r="A7" t="s">
        <v>154</v>
      </c>
      <c r="B7" t="s">
        <v>166</v>
      </c>
      <c r="C7" t="s">
        <v>156</v>
      </c>
      <c r="D7">
        <v>10070000</v>
      </c>
      <c r="E7" t="s">
        <v>167</v>
      </c>
    </row>
    <row r="8" spans="1:5" x14ac:dyDescent="0.45">
      <c r="A8" t="s">
        <v>154</v>
      </c>
      <c r="B8" t="s">
        <v>168</v>
      </c>
      <c r="C8" t="s">
        <v>156</v>
      </c>
      <c r="D8">
        <v>10070000</v>
      </c>
      <c r="E8" t="s">
        <v>169</v>
      </c>
    </row>
    <row r="9" spans="1:5" x14ac:dyDescent="0.45">
      <c r="A9" t="s">
        <v>154</v>
      </c>
      <c r="B9" t="s">
        <v>170</v>
      </c>
      <c r="C9" t="s">
        <v>156</v>
      </c>
      <c r="D9">
        <v>10070000</v>
      </c>
      <c r="E9" t="s">
        <v>171</v>
      </c>
    </row>
    <row r="10" spans="1:5" x14ac:dyDescent="0.45">
      <c r="A10" t="s">
        <v>154</v>
      </c>
      <c r="B10" t="s">
        <v>172</v>
      </c>
      <c r="C10" t="s">
        <v>156</v>
      </c>
      <c r="D10">
        <v>10070000</v>
      </c>
      <c r="E10" t="s">
        <v>173</v>
      </c>
    </row>
    <row r="11" spans="1:5" x14ac:dyDescent="0.45">
      <c r="A11" t="s">
        <v>154</v>
      </c>
      <c r="B11" t="s">
        <v>174</v>
      </c>
      <c r="C11" t="s">
        <v>156</v>
      </c>
      <c r="D11">
        <v>10070000</v>
      </c>
      <c r="E11" t="s">
        <v>175</v>
      </c>
    </row>
    <row r="12" spans="1:5" x14ac:dyDescent="0.45">
      <c r="A12" t="s">
        <v>176</v>
      </c>
      <c r="B12" t="s">
        <v>177</v>
      </c>
      <c r="C12" t="s">
        <v>178</v>
      </c>
      <c r="D12">
        <v>10050000</v>
      </c>
      <c r="E12" t="s">
        <v>179</v>
      </c>
    </row>
    <row r="13" spans="1:5" x14ac:dyDescent="0.45">
      <c r="A13" t="s">
        <v>176</v>
      </c>
      <c r="B13" t="s">
        <v>180</v>
      </c>
      <c r="C13" t="s">
        <v>178</v>
      </c>
      <c r="D13">
        <v>10050000</v>
      </c>
      <c r="E13" t="s">
        <v>181</v>
      </c>
    </row>
    <row r="14" spans="1:5" x14ac:dyDescent="0.45">
      <c r="A14" t="s">
        <v>176</v>
      </c>
      <c r="B14" t="s">
        <v>182</v>
      </c>
      <c r="C14" t="s">
        <v>178</v>
      </c>
      <c r="D14">
        <v>10050000</v>
      </c>
      <c r="E14" t="s">
        <v>183</v>
      </c>
    </row>
    <row r="15" spans="1:5" x14ac:dyDescent="0.45">
      <c r="A15" t="s">
        <v>176</v>
      </c>
      <c r="B15" t="s">
        <v>184</v>
      </c>
      <c r="C15" t="s">
        <v>178</v>
      </c>
      <c r="D15">
        <v>10050000</v>
      </c>
      <c r="E15" t="s">
        <v>185</v>
      </c>
    </row>
    <row r="16" spans="1:5" x14ac:dyDescent="0.45">
      <c r="A16" t="s">
        <v>176</v>
      </c>
      <c r="B16" t="s">
        <v>186</v>
      </c>
      <c r="C16" t="s">
        <v>178</v>
      </c>
      <c r="D16">
        <v>10050000</v>
      </c>
      <c r="E16" t="s">
        <v>187</v>
      </c>
    </row>
    <row r="17" spans="1:5" x14ac:dyDescent="0.45">
      <c r="A17" t="s">
        <v>176</v>
      </c>
      <c r="B17" t="s">
        <v>188</v>
      </c>
      <c r="C17" t="s">
        <v>178</v>
      </c>
      <c r="D17">
        <v>10050000</v>
      </c>
      <c r="E17" t="s">
        <v>189</v>
      </c>
    </row>
    <row r="18" spans="1:5" x14ac:dyDescent="0.45">
      <c r="A18" t="s">
        <v>176</v>
      </c>
      <c r="B18" t="s">
        <v>190</v>
      </c>
      <c r="C18" t="s">
        <v>178</v>
      </c>
      <c r="D18">
        <v>10050000</v>
      </c>
      <c r="E18" t="s">
        <v>191</v>
      </c>
    </row>
    <row r="19" spans="1:5" x14ac:dyDescent="0.45">
      <c r="A19" t="s">
        <v>176</v>
      </c>
      <c r="B19" t="s">
        <v>192</v>
      </c>
      <c r="C19" t="s">
        <v>178</v>
      </c>
      <c r="D19">
        <v>10050000</v>
      </c>
      <c r="E19" t="s">
        <v>193</v>
      </c>
    </row>
    <row r="20" spans="1:5" x14ac:dyDescent="0.45">
      <c r="A20" t="s">
        <v>176</v>
      </c>
      <c r="B20" t="s">
        <v>194</v>
      </c>
      <c r="C20" t="s">
        <v>178</v>
      </c>
      <c r="D20">
        <v>10050000</v>
      </c>
      <c r="E20" t="s">
        <v>195</v>
      </c>
    </row>
    <row r="21" spans="1:5" x14ac:dyDescent="0.45">
      <c r="A21" t="s">
        <v>176</v>
      </c>
      <c r="B21" t="s">
        <v>196</v>
      </c>
      <c r="C21" t="s">
        <v>178</v>
      </c>
      <c r="D21">
        <v>10050000</v>
      </c>
      <c r="E21" t="s">
        <v>197</v>
      </c>
    </row>
    <row r="22" spans="1:5" x14ac:dyDescent="0.45">
      <c r="A22" t="s">
        <v>176</v>
      </c>
      <c r="B22" t="s">
        <v>198</v>
      </c>
      <c r="C22" t="s">
        <v>178</v>
      </c>
      <c r="D22">
        <v>10050000</v>
      </c>
      <c r="E22" t="s">
        <v>199</v>
      </c>
    </row>
    <row r="23" spans="1:5" x14ac:dyDescent="0.45">
      <c r="A23" t="s">
        <v>176</v>
      </c>
      <c r="B23" t="s">
        <v>200</v>
      </c>
      <c r="C23" t="s">
        <v>178</v>
      </c>
      <c r="D23">
        <v>10050000</v>
      </c>
      <c r="E23" t="s">
        <v>201</v>
      </c>
    </row>
    <row r="24" spans="1:5" x14ac:dyDescent="0.45">
      <c r="A24" t="s">
        <v>176</v>
      </c>
      <c r="B24" t="s">
        <v>202</v>
      </c>
      <c r="C24" t="s">
        <v>178</v>
      </c>
      <c r="D24">
        <v>10050000</v>
      </c>
      <c r="E24" t="s">
        <v>203</v>
      </c>
    </row>
    <row r="25" spans="1:5" x14ac:dyDescent="0.45">
      <c r="A25" t="s">
        <v>176</v>
      </c>
      <c r="B25" t="s">
        <v>204</v>
      </c>
      <c r="C25" t="s">
        <v>178</v>
      </c>
      <c r="D25">
        <v>10050000</v>
      </c>
      <c r="E25" t="s">
        <v>205</v>
      </c>
    </row>
    <row r="26" spans="1:5" x14ac:dyDescent="0.45">
      <c r="A26" t="s">
        <v>176</v>
      </c>
      <c r="B26" t="s">
        <v>194</v>
      </c>
      <c r="C26" t="s">
        <v>178</v>
      </c>
      <c r="D26">
        <v>10050000</v>
      </c>
      <c r="E26" t="s">
        <v>206</v>
      </c>
    </row>
    <row r="27" spans="1:5" x14ac:dyDescent="0.45">
      <c r="A27" t="s">
        <v>176</v>
      </c>
      <c r="B27" t="s">
        <v>207</v>
      </c>
      <c r="C27" t="s">
        <v>178</v>
      </c>
      <c r="D27">
        <v>10050000</v>
      </c>
      <c r="E27" t="s">
        <v>208</v>
      </c>
    </row>
    <row r="28" spans="1:5" x14ac:dyDescent="0.45">
      <c r="A28" t="s">
        <v>176</v>
      </c>
      <c r="B28" t="s">
        <v>209</v>
      </c>
      <c r="C28" t="s">
        <v>178</v>
      </c>
      <c r="D28">
        <v>10050000</v>
      </c>
      <c r="E28" t="s">
        <v>210</v>
      </c>
    </row>
    <row r="29" spans="1:5" x14ac:dyDescent="0.45">
      <c r="A29" t="s">
        <v>176</v>
      </c>
      <c r="B29" t="s">
        <v>211</v>
      </c>
      <c r="C29" t="s">
        <v>178</v>
      </c>
      <c r="D29">
        <v>10050000</v>
      </c>
      <c r="E29" t="s">
        <v>212</v>
      </c>
    </row>
    <row r="30" spans="1:5" x14ac:dyDescent="0.45">
      <c r="A30" t="s">
        <v>176</v>
      </c>
      <c r="B30" t="s">
        <v>213</v>
      </c>
      <c r="C30" t="s">
        <v>178</v>
      </c>
      <c r="D30">
        <v>10050000</v>
      </c>
      <c r="E30" t="s">
        <v>214</v>
      </c>
    </row>
    <row r="31" spans="1:5" x14ac:dyDescent="0.45">
      <c r="A31" t="s">
        <v>176</v>
      </c>
      <c r="B31" t="s">
        <v>215</v>
      </c>
      <c r="C31" t="s">
        <v>178</v>
      </c>
      <c r="D31">
        <v>10050000</v>
      </c>
      <c r="E31" t="s">
        <v>216</v>
      </c>
    </row>
    <row r="32" spans="1:5" x14ac:dyDescent="0.45">
      <c r="A32" t="s">
        <v>217</v>
      </c>
      <c r="B32" t="s">
        <v>218</v>
      </c>
      <c r="C32" t="s">
        <v>219</v>
      </c>
      <c r="D32">
        <v>10090000</v>
      </c>
      <c r="E32" t="s">
        <v>220</v>
      </c>
    </row>
    <row r="33" spans="1:5" x14ac:dyDescent="0.45">
      <c r="A33" t="s">
        <v>217</v>
      </c>
      <c r="B33" t="s">
        <v>221</v>
      </c>
      <c r="C33" t="s">
        <v>219</v>
      </c>
      <c r="D33">
        <v>10090000</v>
      </c>
      <c r="E33" t="s">
        <v>181</v>
      </c>
    </row>
    <row r="34" spans="1:5" x14ac:dyDescent="0.45">
      <c r="A34" t="s">
        <v>217</v>
      </c>
      <c r="B34" t="s">
        <v>222</v>
      </c>
      <c r="C34" t="s">
        <v>219</v>
      </c>
      <c r="D34">
        <v>10090000</v>
      </c>
      <c r="E34" t="s">
        <v>223</v>
      </c>
    </row>
    <row r="35" spans="1:5" x14ac:dyDescent="0.45">
      <c r="A35" t="s">
        <v>217</v>
      </c>
      <c r="B35" t="s">
        <v>224</v>
      </c>
      <c r="C35" t="s">
        <v>219</v>
      </c>
      <c r="D35">
        <v>10090000</v>
      </c>
      <c r="E35" t="s">
        <v>225</v>
      </c>
    </row>
    <row r="36" spans="1:5" x14ac:dyDescent="0.45">
      <c r="A36" t="s">
        <v>217</v>
      </c>
      <c r="B36" t="s">
        <v>226</v>
      </c>
      <c r="C36" t="s">
        <v>219</v>
      </c>
      <c r="D36">
        <v>10090000</v>
      </c>
      <c r="E36" t="s">
        <v>227</v>
      </c>
    </row>
    <row r="37" spans="1:5" x14ac:dyDescent="0.45">
      <c r="A37" t="s">
        <v>217</v>
      </c>
      <c r="B37" t="s">
        <v>228</v>
      </c>
      <c r="C37" t="s">
        <v>219</v>
      </c>
      <c r="D37">
        <v>10090000</v>
      </c>
      <c r="E37" t="s">
        <v>229</v>
      </c>
    </row>
    <row r="38" spans="1:5" x14ac:dyDescent="0.45">
      <c r="A38" t="s">
        <v>217</v>
      </c>
      <c r="B38" t="s">
        <v>230</v>
      </c>
      <c r="C38" t="s">
        <v>219</v>
      </c>
      <c r="D38">
        <v>10090000</v>
      </c>
      <c r="E38" t="s">
        <v>231</v>
      </c>
    </row>
    <row r="39" spans="1:5" x14ac:dyDescent="0.45">
      <c r="A39" t="s">
        <v>217</v>
      </c>
      <c r="B39" t="s">
        <v>232</v>
      </c>
      <c r="C39" t="s">
        <v>219</v>
      </c>
      <c r="D39">
        <v>10090000</v>
      </c>
      <c r="E39" t="s">
        <v>233</v>
      </c>
    </row>
    <row r="40" spans="1:5" x14ac:dyDescent="0.45">
      <c r="A40" t="s">
        <v>217</v>
      </c>
      <c r="B40" t="s">
        <v>234</v>
      </c>
      <c r="C40" t="s">
        <v>219</v>
      </c>
      <c r="D40">
        <v>10090000</v>
      </c>
      <c r="E40" t="s">
        <v>235</v>
      </c>
    </row>
    <row r="41" spans="1:5" x14ac:dyDescent="0.45">
      <c r="A41" t="s">
        <v>217</v>
      </c>
      <c r="B41" t="s">
        <v>236</v>
      </c>
      <c r="C41" t="s">
        <v>219</v>
      </c>
      <c r="D41">
        <v>10090000</v>
      </c>
      <c r="E41" t="s">
        <v>237</v>
      </c>
    </row>
    <row r="42" spans="1:5" x14ac:dyDescent="0.45">
      <c r="A42" t="s">
        <v>217</v>
      </c>
      <c r="B42" t="s">
        <v>238</v>
      </c>
      <c r="C42" t="s">
        <v>219</v>
      </c>
      <c r="D42">
        <v>10090000</v>
      </c>
      <c r="E42" t="s">
        <v>239</v>
      </c>
    </row>
    <row r="43" spans="1:5" x14ac:dyDescent="0.45">
      <c r="A43" t="s">
        <v>217</v>
      </c>
      <c r="B43" t="s">
        <v>240</v>
      </c>
      <c r="C43" t="s">
        <v>219</v>
      </c>
      <c r="D43">
        <v>10090000</v>
      </c>
      <c r="E43" t="s">
        <v>241</v>
      </c>
    </row>
    <row r="44" spans="1:5" x14ac:dyDescent="0.45">
      <c r="A44" t="s">
        <v>217</v>
      </c>
      <c r="B44" t="s">
        <v>242</v>
      </c>
      <c r="C44" t="s">
        <v>219</v>
      </c>
      <c r="D44">
        <v>10090000</v>
      </c>
      <c r="E44" t="s">
        <v>243</v>
      </c>
    </row>
    <row r="45" spans="1:5" x14ac:dyDescent="0.45">
      <c r="A45" t="s">
        <v>217</v>
      </c>
      <c r="B45" t="s">
        <v>244</v>
      </c>
      <c r="C45" t="s">
        <v>219</v>
      </c>
      <c r="D45">
        <v>10090000</v>
      </c>
      <c r="E45" t="s">
        <v>245</v>
      </c>
    </row>
    <row r="46" spans="1:5" x14ac:dyDescent="0.45">
      <c r="A46" t="s">
        <v>217</v>
      </c>
      <c r="B46" t="s">
        <v>246</v>
      </c>
      <c r="C46" t="s">
        <v>219</v>
      </c>
      <c r="D46">
        <v>10090000</v>
      </c>
      <c r="E46" t="s">
        <v>247</v>
      </c>
    </row>
    <row r="47" spans="1:5" x14ac:dyDescent="0.45">
      <c r="A47" t="s">
        <v>248</v>
      </c>
      <c r="B47" t="s">
        <v>249</v>
      </c>
      <c r="C47" t="s">
        <v>250</v>
      </c>
      <c r="D47">
        <v>10040000</v>
      </c>
      <c r="E47" t="s">
        <v>251</v>
      </c>
    </row>
    <row r="48" spans="1:5" x14ac:dyDescent="0.45">
      <c r="A48" t="s">
        <v>248</v>
      </c>
      <c r="B48" t="s">
        <v>252</v>
      </c>
      <c r="C48" t="s">
        <v>250</v>
      </c>
      <c r="D48">
        <v>10040000</v>
      </c>
      <c r="E48" t="s">
        <v>253</v>
      </c>
    </row>
    <row r="49" spans="1:5" x14ac:dyDescent="0.45">
      <c r="A49" t="s">
        <v>248</v>
      </c>
      <c r="B49" t="s">
        <v>254</v>
      </c>
      <c r="C49" t="s">
        <v>250</v>
      </c>
      <c r="D49">
        <v>10040000</v>
      </c>
      <c r="E49" t="s">
        <v>255</v>
      </c>
    </row>
    <row r="50" spans="1:5" x14ac:dyDescent="0.45">
      <c r="A50" t="s">
        <v>248</v>
      </c>
      <c r="B50" t="s">
        <v>256</v>
      </c>
      <c r="C50" t="s">
        <v>250</v>
      </c>
      <c r="D50">
        <v>10040000</v>
      </c>
      <c r="E50" t="s">
        <v>257</v>
      </c>
    </row>
    <row r="51" spans="1:5" x14ac:dyDescent="0.45">
      <c r="A51" t="s">
        <v>248</v>
      </c>
      <c r="B51" t="s">
        <v>258</v>
      </c>
      <c r="C51" t="s">
        <v>250</v>
      </c>
      <c r="D51">
        <v>10040000</v>
      </c>
      <c r="E51" t="s">
        <v>259</v>
      </c>
    </row>
    <row r="52" spans="1:5" x14ac:dyDescent="0.45">
      <c r="A52" t="s">
        <v>248</v>
      </c>
      <c r="B52" t="s">
        <v>260</v>
      </c>
      <c r="C52" t="s">
        <v>250</v>
      </c>
      <c r="D52">
        <v>10040000</v>
      </c>
      <c r="E52" t="s">
        <v>261</v>
      </c>
    </row>
    <row r="53" spans="1:5" x14ac:dyDescent="0.45">
      <c r="A53" t="s">
        <v>248</v>
      </c>
      <c r="B53" t="s">
        <v>262</v>
      </c>
      <c r="C53" t="s">
        <v>250</v>
      </c>
      <c r="D53">
        <v>10040000</v>
      </c>
      <c r="E53" t="s">
        <v>263</v>
      </c>
    </row>
    <row r="54" spans="1:5" x14ac:dyDescent="0.45">
      <c r="A54" t="s">
        <v>248</v>
      </c>
      <c r="B54" t="s">
        <v>264</v>
      </c>
      <c r="C54" t="s">
        <v>250</v>
      </c>
      <c r="D54">
        <v>10040000</v>
      </c>
      <c r="E54" t="s">
        <v>265</v>
      </c>
    </row>
    <row r="55" spans="1:5" x14ac:dyDescent="0.45">
      <c r="A55" t="s">
        <v>248</v>
      </c>
      <c r="B55" t="s">
        <v>266</v>
      </c>
      <c r="C55" t="s">
        <v>250</v>
      </c>
      <c r="D55">
        <v>10040000</v>
      </c>
      <c r="E55" t="s">
        <v>267</v>
      </c>
    </row>
    <row r="56" spans="1:5" x14ac:dyDescent="0.45">
      <c r="A56" t="s">
        <v>248</v>
      </c>
      <c r="B56" t="s">
        <v>268</v>
      </c>
      <c r="C56" t="s">
        <v>250</v>
      </c>
      <c r="D56">
        <v>10040000</v>
      </c>
      <c r="E56" t="s">
        <v>269</v>
      </c>
    </row>
    <row r="57" spans="1:5" x14ac:dyDescent="0.45">
      <c r="A57" t="s">
        <v>270</v>
      </c>
      <c r="B57" t="s">
        <v>271</v>
      </c>
      <c r="C57" t="s">
        <v>272</v>
      </c>
      <c r="D57">
        <v>10010010</v>
      </c>
      <c r="E57" t="s">
        <v>273</v>
      </c>
    </row>
    <row r="58" spans="1:5" x14ac:dyDescent="0.45">
      <c r="A58" t="s">
        <v>270</v>
      </c>
      <c r="B58" t="s">
        <v>274</v>
      </c>
      <c r="C58" t="s">
        <v>272</v>
      </c>
      <c r="D58">
        <v>10010010</v>
      </c>
      <c r="E58" t="s">
        <v>181</v>
      </c>
    </row>
    <row r="59" spans="1:5" x14ac:dyDescent="0.45">
      <c r="A59" t="s">
        <v>270</v>
      </c>
      <c r="B59" t="s">
        <v>275</v>
      </c>
      <c r="C59" t="s">
        <v>272</v>
      </c>
      <c r="D59">
        <v>10010010</v>
      </c>
      <c r="E59" t="s">
        <v>276</v>
      </c>
    </row>
    <row r="60" spans="1:5" x14ac:dyDescent="0.45">
      <c r="A60" t="s">
        <v>270</v>
      </c>
      <c r="B60" t="s">
        <v>277</v>
      </c>
      <c r="C60" t="s">
        <v>272</v>
      </c>
      <c r="D60">
        <v>10010010</v>
      </c>
      <c r="E60" t="s">
        <v>278</v>
      </c>
    </row>
    <row r="61" spans="1:5" x14ac:dyDescent="0.45">
      <c r="A61" t="s">
        <v>270</v>
      </c>
      <c r="B61" t="s">
        <v>279</v>
      </c>
      <c r="C61" t="s">
        <v>272</v>
      </c>
      <c r="D61">
        <v>10010010</v>
      </c>
      <c r="E61" t="s">
        <v>280</v>
      </c>
    </row>
    <row r="62" spans="1:5" x14ac:dyDescent="0.45">
      <c r="A62" t="s">
        <v>270</v>
      </c>
      <c r="B62" t="s">
        <v>281</v>
      </c>
      <c r="C62" t="s">
        <v>272</v>
      </c>
      <c r="D62">
        <v>10010010</v>
      </c>
      <c r="E62" t="s">
        <v>282</v>
      </c>
    </row>
    <row r="63" spans="1:5" x14ac:dyDescent="0.45">
      <c r="A63" t="s">
        <v>270</v>
      </c>
      <c r="B63" t="s">
        <v>283</v>
      </c>
      <c r="C63" t="s">
        <v>272</v>
      </c>
      <c r="D63">
        <v>10010010</v>
      </c>
      <c r="E63" t="s">
        <v>284</v>
      </c>
    </row>
    <row r="64" spans="1:5" x14ac:dyDescent="0.45">
      <c r="A64" t="s">
        <v>270</v>
      </c>
      <c r="B64" t="s">
        <v>285</v>
      </c>
      <c r="C64" t="s">
        <v>272</v>
      </c>
      <c r="D64">
        <v>10010010</v>
      </c>
      <c r="E64" t="s">
        <v>286</v>
      </c>
    </row>
    <row r="65" spans="1:5" x14ac:dyDescent="0.45">
      <c r="A65" t="s">
        <v>270</v>
      </c>
      <c r="B65" t="s">
        <v>287</v>
      </c>
      <c r="C65" t="s">
        <v>272</v>
      </c>
      <c r="D65">
        <v>10010010</v>
      </c>
      <c r="E65" t="s">
        <v>288</v>
      </c>
    </row>
    <row r="66" spans="1:5" x14ac:dyDescent="0.45">
      <c r="A66" t="s">
        <v>270</v>
      </c>
      <c r="B66" t="s">
        <v>289</v>
      </c>
      <c r="C66" t="s">
        <v>272</v>
      </c>
      <c r="D66">
        <v>10010010</v>
      </c>
      <c r="E66" t="s">
        <v>290</v>
      </c>
    </row>
    <row r="67" spans="1:5" x14ac:dyDescent="0.45">
      <c r="A67" t="s">
        <v>270</v>
      </c>
      <c r="B67" t="s">
        <v>291</v>
      </c>
      <c r="C67" t="s">
        <v>272</v>
      </c>
      <c r="D67">
        <v>10010010</v>
      </c>
      <c r="E67" t="s">
        <v>292</v>
      </c>
    </row>
    <row r="68" spans="1:5" x14ac:dyDescent="0.45">
      <c r="A68" t="s">
        <v>270</v>
      </c>
      <c r="B68" t="s">
        <v>293</v>
      </c>
      <c r="C68" t="s">
        <v>272</v>
      </c>
      <c r="D68">
        <v>10010010</v>
      </c>
      <c r="E68" t="s">
        <v>294</v>
      </c>
    </row>
    <row r="69" spans="1:5" x14ac:dyDescent="0.45">
      <c r="A69" t="s">
        <v>270</v>
      </c>
      <c r="B69" t="s">
        <v>295</v>
      </c>
      <c r="C69" t="s">
        <v>272</v>
      </c>
      <c r="D69">
        <v>10010010</v>
      </c>
      <c r="E69" t="s">
        <v>296</v>
      </c>
    </row>
    <row r="70" spans="1:5" x14ac:dyDescent="0.45">
      <c r="A70" t="s">
        <v>270</v>
      </c>
      <c r="B70" t="s">
        <v>297</v>
      </c>
      <c r="C70" t="s">
        <v>272</v>
      </c>
      <c r="D70">
        <v>10010010</v>
      </c>
      <c r="E70" t="s">
        <v>298</v>
      </c>
    </row>
    <row r="71" spans="1:5" x14ac:dyDescent="0.45">
      <c r="A71" t="s">
        <v>270</v>
      </c>
      <c r="B71" t="s">
        <v>287</v>
      </c>
      <c r="C71" t="s">
        <v>272</v>
      </c>
      <c r="D71">
        <v>10010010</v>
      </c>
      <c r="E71" t="s">
        <v>299</v>
      </c>
    </row>
    <row r="72" spans="1:5" x14ac:dyDescent="0.45">
      <c r="A72" t="s">
        <v>270</v>
      </c>
      <c r="B72" t="s">
        <v>300</v>
      </c>
      <c r="C72" t="s">
        <v>272</v>
      </c>
      <c r="D72">
        <v>10010010</v>
      </c>
      <c r="E72" t="s">
        <v>301</v>
      </c>
    </row>
    <row r="73" spans="1:5" x14ac:dyDescent="0.45">
      <c r="A73" t="s">
        <v>270</v>
      </c>
      <c r="B73" t="s">
        <v>302</v>
      </c>
      <c r="C73" t="s">
        <v>272</v>
      </c>
      <c r="D73">
        <v>10010010</v>
      </c>
      <c r="E73" t="s">
        <v>303</v>
      </c>
    </row>
    <row r="74" spans="1:5" x14ac:dyDescent="0.45">
      <c r="A74" t="s">
        <v>270</v>
      </c>
      <c r="B74" t="s">
        <v>304</v>
      </c>
      <c r="C74" t="s">
        <v>272</v>
      </c>
      <c r="D74">
        <v>10010010</v>
      </c>
      <c r="E74" t="s">
        <v>305</v>
      </c>
    </row>
    <row r="75" spans="1:5" x14ac:dyDescent="0.45">
      <c r="A75" t="s">
        <v>270</v>
      </c>
      <c r="B75" t="s">
        <v>306</v>
      </c>
      <c r="C75" t="s">
        <v>272</v>
      </c>
      <c r="D75">
        <v>10010010</v>
      </c>
      <c r="E75" t="s">
        <v>307</v>
      </c>
    </row>
    <row r="76" spans="1:5" x14ac:dyDescent="0.45">
      <c r="A76" t="s">
        <v>270</v>
      </c>
      <c r="B76" t="s">
        <v>308</v>
      </c>
      <c r="C76" t="s">
        <v>272</v>
      </c>
      <c r="D76">
        <v>10010010</v>
      </c>
      <c r="E76" t="s">
        <v>309</v>
      </c>
    </row>
    <row r="77" spans="1:5" x14ac:dyDescent="0.45">
      <c r="A77" t="s">
        <v>270</v>
      </c>
      <c r="B77" t="s">
        <v>310</v>
      </c>
      <c r="C77" t="s">
        <v>272</v>
      </c>
      <c r="D77">
        <v>10010010</v>
      </c>
      <c r="E77" t="s">
        <v>311</v>
      </c>
    </row>
    <row r="78" spans="1:5" x14ac:dyDescent="0.45">
      <c r="A78" t="s">
        <v>270</v>
      </c>
      <c r="B78" t="s">
        <v>312</v>
      </c>
      <c r="C78" t="s">
        <v>272</v>
      </c>
      <c r="D78">
        <v>10010010</v>
      </c>
      <c r="E78" t="s">
        <v>313</v>
      </c>
    </row>
    <row r="79" spans="1:5" x14ac:dyDescent="0.45">
      <c r="A79" t="s">
        <v>270</v>
      </c>
      <c r="B79" t="s">
        <v>300</v>
      </c>
      <c r="C79" t="s">
        <v>272</v>
      </c>
      <c r="D79">
        <v>10010010</v>
      </c>
      <c r="E79" t="s">
        <v>301</v>
      </c>
    </row>
    <row r="80" spans="1:5" x14ac:dyDescent="0.45">
      <c r="A80" t="s">
        <v>270</v>
      </c>
      <c r="B80" t="s">
        <v>314</v>
      </c>
      <c r="C80" t="s">
        <v>272</v>
      </c>
      <c r="D80">
        <v>10010010</v>
      </c>
      <c r="E80" t="s">
        <v>315</v>
      </c>
    </row>
    <row r="81" spans="1:5" x14ac:dyDescent="0.45">
      <c r="A81" t="s">
        <v>270</v>
      </c>
      <c r="B81" t="s">
        <v>316</v>
      </c>
      <c r="C81" t="s">
        <v>272</v>
      </c>
      <c r="D81">
        <v>10010010</v>
      </c>
      <c r="E81" t="s">
        <v>317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</vt:i4>
      </vt:variant>
    </vt:vector>
  </HeadingPairs>
  <TitlesOfParts>
    <vt:vector size="12" baseType="lpstr">
      <vt:lpstr>Beschreibung</vt:lpstr>
      <vt:lpstr>Zufallsdaten</vt:lpstr>
      <vt:lpstr>Grunddaten</vt:lpstr>
      <vt:lpstr>Index</vt:lpstr>
      <vt:lpstr>SQL Daten</vt:lpstr>
      <vt:lpstr>Company Data</vt:lpstr>
      <vt:lpstr>Countries</vt:lpstr>
      <vt:lpstr>Hilfsdaten</vt:lpstr>
      <vt:lpstr>Adressen_Zufall</vt:lpstr>
      <vt:lpstr>FamilyStatus</vt:lpstr>
      <vt:lpstr>FormOfAddress</vt:lpstr>
      <vt:lpstr>Strassen_Zufall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 Hillmann</dc:creator>
  <cp:lastModifiedBy>Volker Hillmann</cp:lastModifiedBy>
  <dcterms:created xsi:type="dcterms:W3CDTF">2024-02-20T00:55:02Z</dcterms:created>
  <dcterms:modified xsi:type="dcterms:W3CDTF">2024-03-22T21:50:33Z</dcterms:modified>
</cp:coreProperties>
</file>