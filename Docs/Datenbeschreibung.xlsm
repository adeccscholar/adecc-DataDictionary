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D:\Projekte\GitHub\Vergleich_Schichten\Docs\"/>
    </mc:Choice>
  </mc:AlternateContent>
  <xr:revisionPtr revIDLastSave="0" documentId="13_ncr:1_{1B1E3432-B624-45C6-BE42-886411A38766}" xr6:coauthVersionLast="47" xr6:coauthVersionMax="47" xr10:uidLastSave="{00000000-0000-0000-0000-000000000000}"/>
  <bookViews>
    <workbookView xWindow="-98" yWindow="-98" windowWidth="28996" windowHeight="15675" xr2:uid="{963DEE91-9524-499F-B23D-4896DE233BEF}"/>
  </bookViews>
  <sheets>
    <sheet name="Daten" sheetId="1" r:id="rId1"/>
    <sheet name="Indizes" sheetId="4" r:id="rId2"/>
    <sheet name="Beziehungen" sheetId="3" r:id="rId3"/>
    <sheet name="Typen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8" i="1" l="1"/>
  <c r="K4" i="2"/>
  <c r="K5" i="2"/>
  <c r="K6" i="2"/>
  <c r="K7" i="2"/>
  <c r="K8" i="2"/>
  <c r="K9" i="2"/>
  <c r="K10" i="2"/>
  <c r="K11" i="2"/>
  <c r="K12" i="2"/>
  <c r="K13" i="2"/>
  <c r="K3" i="2"/>
  <c r="M134" i="1"/>
  <c r="M133" i="1"/>
  <c r="M161" i="1"/>
  <c r="M162" i="1"/>
  <c r="M163" i="1"/>
  <c r="M164" i="1"/>
  <c r="M165" i="1"/>
  <c r="M166" i="1"/>
  <c r="M160" i="1"/>
  <c r="M159" i="1"/>
  <c r="M155" i="1"/>
  <c r="M156" i="1"/>
  <c r="M157" i="1"/>
  <c r="M154" i="1"/>
  <c r="M153" i="1"/>
  <c r="M145" i="1"/>
  <c r="M138" i="1"/>
  <c r="M128" i="1"/>
  <c r="M120" i="1"/>
  <c r="M111" i="1"/>
  <c r="M106" i="1"/>
  <c r="M95" i="1"/>
  <c r="M87" i="1"/>
  <c r="M76" i="1"/>
  <c r="M69" i="1"/>
  <c r="M59" i="1"/>
  <c r="M51" i="1"/>
  <c r="M42" i="1"/>
  <c r="M34" i="1"/>
  <c r="M25" i="1"/>
  <c r="M2" i="1"/>
  <c r="M27" i="1"/>
  <c r="M30" i="1"/>
  <c r="M31" i="1"/>
  <c r="M29" i="1"/>
  <c r="M32" i="1"/>
  <c r="M36" i="1"/>
  <c r="M37" i="1"/>
  <c r="M38" i="1"/>
  <c r="M39" i="1"/>
  <c r="M40" i="1"/>
  <c r="M44" i="1"/>
  <c r="M45" i="1"/>
  <c r="M46" i="1"/>
  <c r="M47" i="1"/>
  <c r="M48" i="1"/>
  <c r="M49" i="1"/>
  <c r="M53" i="1"/>
  <c r="M54" i="1"/>
  <c r="M55" i="1"/>
  <c r="M56" i="1"/>
  <c r="M57" i="1"/>
  <c r="M61" i="1"/>
  <c r="M62" i="1"/>
  <c r="M63" i="1"/>
  <c r="M64" i="1"/>
  <c r="M65" i="1"/>
  <c r="M66" i="1"/>
  <c r="M67" i="1"/>
  <c r="M71" i="1"/>
  <c r="M72" i="1"/>
  <c r="M73" i="1"/>
  <c r="M74" i="1"/>
  <c r="M78" i="1"/>
  <c r="M79" i="1"/>
  <c r="M80" i="1"/>
  <c r="M81" i="1"/>
  <c r="M82" i="1"/>
  <c r="M83" i="1"/>
  <c r="M84" i="1"/>
  <c r="M85" i="1"/>
  <c r="M89" i="1"/>
  <c r="M90" i="1"/>
  <c r="M91" i="1"/>
  <c r="M92" i="1"/>
  <c r="M93" i="1"/>
  <c r="M97" i="1"/>
  <c r="M98" i="1"/>
  <c r="M99" i="1"/>
  <c r="M100" i="1"/>
  <c r="M101" i="1"/>
  <c r="M102" i="1"/>
  <c r="M103" i="1"/>
  <c r="M104" i="1"/>
  <c r="M108" i="1"/>
  <c r="M109" i="1"/>
  <c r="M113" i="1"/>
  <c r="M114" i="1"/>
  <c r="M115" i="1"/>
  <c r="M116" i="1"/>
  <c r="M117" i="1"/>
  <c r="M118" i="1"/>
  <c r="M122" i="1"/>
  <c r="M123" i="1"/>
  <c r="M124" i="1"/>
  <c r="M125" i="1"/>
  <c r="M126" i="1"/>
  <c r="M130" i="1"/>
  <c r="M131" i="1"/>
  <c r="M132" i="1"/>
  <c r="M135" i="1"/>
  <c r="M136" i="1"/>
  <c r="M140" i="1"/>
  <c r="M141" i="1"/>
  <c r="M142" i="1"/>
  <c r="M143" i="1"/>
  <c r="M147" i="1"/>
  <c r="M148" i="1"/>
  <c r="M149" i="1"/>
  <c r="M150" i="1"/>
  <c r="M151" i="1"/>
  <c r="M146" i="1"/>
  <c r="M139" i="1"/>
  <c r="M129" i="1"/>
  <c r="M121" i="1"/>
  <c r="M112" i="1"/>
  <c r="M107" i="1"/>
  <c r="M96" i="1"/>
  <c r="M88" i="1"/>
  <c r="M77" i="1"/>
  <c r="M70" i="1"/>
  <c r="M60" i="1"/>
  <c r="M52" i="1"/>
  <c r="M43" i="1"/>
  <c r="M35" i="1"/>
  <c r="M26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3" i="1"/>
  <c r="Z15" i="3" a="1"/>
  <c r="Z14" i="3" a="1"/>
  <c r="Z13" i="3" a="1"/>
  <c r="Z11" i="3" a="1"/>
  <c r="Z10" i="3" a="1"/>
  <c r="Z9" i="3" a="1"/>
  <c r="Z4" i="3" a="1"/>
  <c r="Z2" i="3" a="1"/>
  <c r="R6" i="4" a="1"/>
  <c r="R8" i="4" a="1"/>
  <c r="R10" i="4" a="1"/>
  <c r="R12" i="4" a="1"/>
  <c r="R14" i="4" a="1"/>
  <c r="R29" i="4" a="1"/>
  <c r="R28" i="4" a="1"/>
  <c r="R27" i="4" a="1"/>
  <c r="R26" i="4" a="1"/>
  <c r="R2" i="4" a="1"/>
  <c r="Z21" i="3" a="1"/>
  <c r="Z20" i="3" a="1"/>
  <c r="Z19" i="3" a="1"/>
  <c r="R6" i="4" l="1"/>
  <c r="R8" i="4"/>
  <c r="R10" i="4"/>
  <c r="R12" i="4"/>
  <c r="R14" i="4"/>
  <c r="R29" i="4"/>
  <c r="R28" i="4"/>
  <c r="R27" i="4"/>
  <c r="R26" i="4"/>
  <c r="Z21" i="3"/>
  <c r="Z20" i="3"/>
  <c r="Z19" i="3"/>
  <c r="Z15" i="3"/>
  <c r="Z14" i="3"/>
  <c r="Z13" i="3"/>
  <c r="Z11" i="3"/>
  <c r="Z10" i="3"/>
  <c r="Z9" i="3"/>
  <c r="Z4" i="3"/>
  <c r="Z2" i="3"/>
  <c r="R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<sst xmlns="http://schemas.openxmlformats.org/spreadsheetml/2006/main" count="1288" uniqueCount="307">
  <si>
    <t>State_ID</t>
  </si>
  <si>
    <t>District_ID</t>
  </si>
  <si>
    <t>Neighborhood_ID</t>
  </si>
  <si>
    <t>Street_ID</t>
  </si>
  <si>
    <t>State</t>
  </si>
  <si>
    <t>City</t>
  </si>
  <si>
    <t>District</t>
  </si>
  <si>
    <t>Neighborhood</t>
  </si>
  <si>
    <t>Street</t>
  </si>
  <si>
    <t>Postal_Code</t>
  </si>
  <si>
    <t>House_Number</t>
  </si>
  <si>
    <t>Address_Addendum</t>
  </si>
  <si>
    <t>Latitude</t>
  </si>
  <si>
    <t>Longitude</t>
  </si>
  <si>
    <t>Address_Date</t>
  </si>
  <si>
    <t>Street_Date</t>
  </si>
  <si>
    <t>Quality</t>
  </si>
  <si>
    <t>Address_Type</t>
  </si>
  <si>
    <t>HKO_ID</t>
  </si>
  <si>
    <t>varchar</t>
  </si>
  <si>
    <t>integer</t>
  </si>
  <si>
    <t>double</t>
  </si>
  <si>
    <t>date</t>
  </si>
  <si>
    <t>Berlin</t>
  </si>
  <si>
    <t>char</t>
  </si>
  <si>
    <t>decimal</t>
  </si>
  <si>
    <t>std::string</t>
  </si>
  <si>
    <t>bool</t>
  </si>
  <si>
    <t>int</t>
  </si>
  <si>
    <t>std::chrono::year_month_day</t>
  </si>
  <si>
    <t>datetime</t>
  </si>
  <si>
    <t>std::chrono::system_clock::time_point&gt;</t>
  </si>
  <si>
    <t>bigint</t>
  </si>
  <si>
    <t>long long</t>
  </si>
  <si>
    <t>Type</t>
  </si>
  <si>
    <t>DB</t>
  </si>
  <si>
    <t>Len</t>
  </si>
  <si>
    <t>Scale</t>
  </si>
  <si>
    <t>Source</t>
  </si>
  <si>
    <t>Land_ID</t>
  </si>
  <si>
    <t>Bezirk_ID</t>
  </si>
  <si>
    <t>Ortsteil_ID</t>
  </si>
  <si>
    <t>Strasse_ID</t>
  </si>
  <si>
    <t>Land</t>
  </si>
  <si>
    <t>Stadt</t>
  </si>
  <si>
    <t>Bezirk</t>
  </si>
  <si>
    <t>Ortsteil</t>
  </si>
  <si>
    <t>Strasse</t>
  </si>
  <si>
    <t>PLZ</t>
  </si>
  <si>
    <t>HNR</t>
  </si>
  <si>
    <t>ADZ</t>
  </si>
  <si>
    <t>Qualitaet</t>
  </si>
  <si>
    <t>Adr_Typ</t>
  </si>
  <si>
    <t>Adr_Datum</t>
  </si>
  <si>
    <t>Strasse_Datum</t>
  </si>
  <si>
    <t>Tabelle mit den Berliner Adresspunkten</t>
  </si>
  <si>
    <t>Identifikationsnummer (NUTS) für das Bundesland</t>
  </si>
  <si>
    <t>false</t>
  </si>
  <si>
    <t>true</t>
  </si>
  <si>
    <t>Comment</t>
  </si>
  <si>
    <t>große Ganzzahl</t>
  </si>
  <si>
    <t>binary coded decimal</t>
  </si>
  <si>
    <t>Zeichenkette mit variabler Länge</t>
  </si>
  <si>
    <t>Zeichenkette mit fester Länge</t>
  </si>
  <si>
    <t>dictionary</t>
  </si>
  <si>
    <t>i</t>
  </si>
  <si>
    <t>bo</t>
  </si>
  <si>
    <t>da</t>
  </si>
  <si>
    <t>c</t>
  </si>
  <si>
    <t>dt</t>
  </si>
  <si>
    <t>fl</t>
  </si>
  <si>
    <t>str</t>
  </si>
  <si>
    <t>;</t>
  </si>
  <si>
    <t>BIGINT</t>
  </si>
  <si>
    <t>SMALLINT</t>
  </si>
  <si>
    <t>CHAR</t>
  </si>
  <si>
    <t>DATE</t>
  </si>
  <si>
    <t>DECIMAL</t>
  </si>
  <si>
    <t>FLOAT</t>
  </si>
  <si>
    <t>INT</t>
  </si>
  <si>
    <t>VARCHAR</t>
  </si>
  <si>
    <t>text</t>
  </si>
  <si>
    <t>VARCHAR(MAX)</t>
  </si>
  <si>
    <t>Text, Zeichenkette mit maximaler Länge</t>
  </si>
  <si>
    <t>dbo.Berlin_olddata</t>
  </si>
  <si>
    <t>myDataOld::Berlin</t>
  </si>
  <si>
    <t>Tabelle</t>
  </si>
  <si>
    <t>Name</t>
  </si>
  <si>
    <t>RefTabelle</t>
  </si>
  <si>
    <t>refBerlin</t>
  </si>
  <si>
    <t>Header</t>
  </si>
  <si>
    <t>Index</t>
  </si>
  <si>
    <t>unique</t>
  </si>
  <si>
    <t>clustered</t>
  </si>
  <si>
    <t>nonclustered</t>
  </si>
  <si>
    <t>undefined</t>
  </si>
  <si>
    <t>Reference</t>
  </si>
  <si>
    <t>generalization</t>
  </si>
  <si>
    <t>range</t>
  </si>
  <si>
    <t>assoziation</t>
  </si>
  <si>
    <t>aggregation</t>
  </si>
  <si>
    <t>komposition</t>
  </si>
  <si>
    <t>idXBerlinStrasse</t>
  </si>
  <si>
    <t>Testindex für die Tabelle</t>
  </si>
  <si>
    <t>Tabelle mit den ursprünglichen Importdaten von Berlin</t>
  </si>
  <si>
    <t>Address</t>
  </si>
  <si>
    <t>AddressTypes</t>
  </si>
  <si>
    <t>Banking</t>
  </si>
  <si>
    <t>BankingTypes</t>
  </si>
  <si>
    <t>Countries</t>
  </si>
  <si>
    <t>Departments</t>
  </si>
  <si>
    <t>Employees</t>
  </si>
  <si>
    <t>FamilyTypes</t>
  </si>
  <si>
    <t>FormOfAddress</t>
  </si>
  <si>
    <t>Internet</t>
  </si>
  <si>
    <t>InternetTypes</t>
  </si>
  <si>
    <t>JobPositions</t>
  </si>
  <si>
    <t>Person</t>
  </si>
  <si>
    <t>Phone</t>
  </si>
  <si>
    <t>dbo.Address</t>
  </si>
  <si>
    <t>dbo.AddressTypes</t>
  </si>
  <si>
    <t>dbo.Banking</t>
  </si>
  <si>
    <t>dbo.BankingTypes</t>
  </si>
  <si>
    <t>dbo.Countries</t>
  </si>
  <si>
    <t>dbo.Departments</t>
  </si>
  <si>
    <t>dbo.Employees</t>
  </si>
  <si>
    <t>dbo.FamilyTypes</t>
  </si>
  <si>
    <t>dbo.FormOfAddress</t>
  </si>
  <si>
    <t>dbo.Internet</t>
  </si>
  <si>
    <t>dbo.InternetTypes</t>
  </si>
  <si>
    <t>dbo.JobPositions</t>
  </si>
  <si>
    <t>dbo.Person</t>
  </si>
  <si>
    <t>dbo.Phone</t>
  </si>
  <si>
    <t>dbo.PhoneTypes</t>
  </si>
  <si>
    <t>Denotation</t>
  </si>
  <si>
    <t>Abbreviation</t>
  </si>
  <si>
    <t>Description</t>
  </si>
  <si>
    <t>Notes</t>
  </si>
  <si>
    <t>UrgentValue</t>
  </si>
  <si>
    <t>ID</t>
  </si>
  <si>
    <t>smallint</t>
  </si>
  <si>
    <t>AddressType</t>
  </si>
  <si>
    <t>StreetNumber</t>
  </si>
  <si>
    <t>Zipcode</t>
  </si>
  <si>
    <t>Country</t>
  </si>
  <si>
    <t>PhoneType</t>
  </si>
  <si>
    <t>AreaCode</t>
  </si>
  <si>
    <t>CallNumber</t>
  </si>
  <si>
    <t>PhonesTypes</t>
  </si>
  <si>
    <t>BankingType</t>
  </si>
  <si>
    <t>BankName</t>
  </si>
  <si>
    <t>IBAN</t>
  </si>
  <si>
    <t>BIC</t>
  </si>
  <si>
    <t>BankOwner</t>
  </si>
  <si>
    <t>CountryDialing</t>
  </si>
  <si>
    <t>ISO_Code</t>
  </si>
  <si>
    <t>PersonNumber</t>
  </si>
  <si>
    <t>Salery</t>
  </si>
  <si>
    <t>StartOfJob</t>
  </si>
  <si>
    <t>JobPosition</t>
  </si>
  <si>
    <t>JobSpec</t>
  </si>
  <si>
    <t>Department</t>
  </si>
  <si>
    <t>SocialNummer</t>
  </si>
  <si>
    <t>Active</t>
  </si>
  <si>
    <t>TypeSpec</t>
  </si>
  <si>
    <t>Salutation</t>
  </si>
  <si>
    <t>Valediction</t>
  </si>
  <si>
    <t>Prefix</t>
  </si>
  <si>
    <t>InternetType</t>
  </si>
  <si>
    <t>Adresse</t>
  </si>
  <si>
    <t>Firstname</t>
  </si>
  <si>
    <t>Birthday</t>
  </si>
  <si>
    <t>myTest::Address</t>
  </si>
  <si>
    <t>table</t>
  </si>
  <si>
    <t>System</t>
  </si>
  <si>
    <t>SQL</t>
  </si>
  <si>
    <t>myTest::Person</t>
  </si>
  <si>
    <t>myTest::Phone</t>
  </si>
  <si>
    <t>myTest::PhonesTypes</t>
  </si>
  <si>
    <t>myTest::JobPositions</t>
  </si>
  <si>
    <t>myTest::InternetTypes</t>
  </si>
  <si>
    <t>myTest::Internet</t>
  </si>
  <si>
    <t>myTest::FormOfAddress</t>
  </si>
  <si>
    <t>myTest::FamilyTypes</t>
  </si>
  <si>
    <t>myTest::Employees</t>
  </si>
  <si>
    <t>myTest::Departments</t>
  </si>
  <si>
    <t>myTest::Countries</t>
  </si>
  <si>
    <t>myTest::BankingTypes</t>
  </si>
  <si>
    <t>myTest::Banking</t>
  </si>
  <si>
    <t>myTest::AddressTypes</t>
  </si>
  <si>
    <t>normalerweise als bool interpretierter SmallInt- Type</t>
  </si>
  <si>
    <t>WorkingTime</t>
  </si>
  <si>
    <t>dbo.WorkingTime</t>
  </si>
  <si>
    <t>myTest::WorkingTime</t>
  </si>
  <si>
    <t>StartingTime</t>
  </si>
  <si>
    <t>ClosingTime</t>
  </si>
  <si>
    <t xml:space="preserve">Processed </t>
  </si>
  <si>
    <t>FamilyStatus</t>
  </si>
  <si>
    <t>dbo.FamilyStatus</t>
  </si>
  <si>
    <t>myTest::FamilyStatus</t>
  </si>
  <si>
    <t>Coupled</t>
  </si>
  <si>
    <t>NeedDate</t>
  </si>
  <si>
    <t>FamilyStatusSince</t>
  </si>
  <si>
    <t>&lt;chrono&gt;</t>
  </si>
  <si>
    <t>&lt;string&gt;</t>
  </si>
  <si>
    <t>key</t>
  </si>
  <si>
    <t>0</t>
  </si>
  <si>
    <t>' '</t>
  </si>
  <si>
    <t>std::chrono::system_clock::now()</t>
  </si>
  <si>
    <t>std::chrono::floor&lt;std::chrono::days&gt;(std::chrono::system_clock::now())</t>
  </si>
  <si>
    <t>0.0</t>
  </si>
  <si>
    <t>\"\"</t>
  </si>
  <si>
    <t>Init</t>
  </si>
  <si>
    <t>Zip code for the address</t>
  </si>
  <si>
    <t>refAddress2Person</t>
  </si>
  <si>
    <t>range value to extent the relationship of a person to an address</t>
  </si>
  <si>
    <t>refAddress2AddressType</t>
  </si>
  <si>
    <t>part of relationship from a address to the person who own it</t>
  </si>
  <si>
    <t>refAddress2Countries</t>
  </si>
  <si>
    <t>ID of the country for the address, key attribute from the \"Countries\" entity</t>
  </si>
  <si>
    <t>domain / range of values for address types, this is an extension of the relationship between persons and addresses.</t>
  </si>
  <si>
    <t>name of the street belonging to this address</t>
  </si>
  <si>
    <t>name of the city/county (possibly with district) for this address</t>
  </si>
  <si>
    <t>information on the addresses where a person lives, works or has any other relationship with them</t>
  </si>
  <si>
    <t>extension of the key by the address type to manage different addresses for one person</t>
  </si>
  <si>
    <t>house number with addition for this address</t>
  </si>
  <si>
    <t>unique description of an entry in the domain, display in selections, comboboxes, … (key canditate)</t>
  </si>
  <si>
    <t>non-representative abbreviation that can be used for a short advertisement for this address</t>
  </si>
  <si>
    <t>detailed description of these address types, what is associated with them. Self documentation, possible use as hint</t>
  </si>
  <si>
    <t>notes, with additional / free information for this AddressType, not used in application</t>
  </si>
  <si>
    <t>uk_AddressType_Denotation</t>
  </si>
  <si>
    <t>unique / representative denotation for an addresstye as key canditate</t>
  </si>
  <si>
    <t>idx_Address_City_Street</t>
  </si>
  <si>
    <t>access path to search for city / street combinations in addresses</t>
  </si>
  <si>
    <t>ID of the country for the banking entity, key attribute from the \"Countries\" entity</t>
  </si>
  <si>
    <t>informations about the account details provided by a person and used in a specific context</t>
  </si>
  <si>
    <t>extension of the account details key in order to be able to save several / different bank details in a standardized way</t>
  </si>
  <si>
    <t>name of the bank that manages this account (not necessarily required)</t>
  </si>
  <si>
    <t>IBAN number (account identification) for this bank account (required)</t>
  </si>
  <si>
    <t>BIC number of the bank that manages this account (not necessarily required for transactions inside europe)</t>
  </si>
  <si>
    <t>optionally the name of the owner of the bank details, if this differs from the assigned person</t>
  </si>
  <si>
    <t>domain / range of values for banking types, this is an extension of the relationship between persons and banking accounts.</t>
  </si>
  <si>
    <t>unique identification number for a record in this domain with banking types</t>
  </si>
  <si>
    <t>unique identification number for a record in this domain with address types</t>
  </si>
  <si>
    <t>boolean value that makes this entity of address type to a system value (cannot be changed as it is used directly by the program)</t>
  </si>
  <si>
    <t>boolean value that makes this entity of banking type to a system value (cannot be changed as it is used directly by the program)</t>
  </si>
  <si>
    <t>notes, with additional / free information for this type of banking, not used in application</t>
  </si>
  <si>
    <t>detailed description of these banking type,this is a self documentation, possible use as hint or to information in the programm</t>
  </si>
  <si>
    <t>non-representative abbreviation that can be used for a short advertisement for this banking type</t>
  </si>
  <si>
    <t>unique description of an banking type entity in the domain, used in selections, comboboxes, … (key canditate)</t>
  </si>
  <si>
    <t>idx_Banking_IBAN</t>
  </si>
  <si>
    <t>access path to search a specific IBAN account number in data</t>
  </si>
  <si>
    <t>refBanking2Countries</t>
  </si>
  <si>
    <t>refBanking2Person</t>
  </si>
  <si>
    <t>refBanking2Type</t>
  </si>
  <si>
    <t>key ID to the associated entity of Countries, where bank who manage this account is located</t>
  </si>
  <si>
    <t>key ID to the associated entity of Countries, where this address is located</t>
  </si>
  <si>
    <t>part of relationship from a banking account to the person who own it</t>
  </si>
  <si>
    <t>range value to extent the relationship of a person to an banking account</t>
  </si>
  <si>
    <t>uk_BankingTypes_Denotation</t>
  </si>
  <si>
    <t>unique / representative denotation for an banking type as key canditate for this entity</t>
  </si>
  <si>
    <t>domain / range of values for phone types, this is an extension of the relationship between persons and phone.</t>
  </si>
  <si>
    <t>unique identification number for a record in this domain with phone types</t>
  </si>
  <si>
    <t>unique description of a phone type entity in the domain, used in selections, comboboxes, … (key canditate)</t>
  </si>
  <si>
    <t>non-representative abbreviation that can be used for a short advertisement for this phone  type</t>
  </si>
  <si>
    <t>detailed description of these phone  type,this is a self documentation, possible use as hint or to information in the programm</t>
  </si>
  <si>
    <t>boolean value that makes this entity of phone type to a system value (cannot be changed as it is used directly by the program)</t>
  </si>
  <si>
    <t>boolean value that makes this entity of internet connection type to a system value (cannot be changed as it is used directly by the program)</t>
  </si>
  <si>
    <t>notes, with additional / free information for this type of internet connection, not used in application</t>
  </si>
  <si>
    <t>detailed description of these internet connection type,this is a self documentation, possible use as hint or to information in the programm</t>
  </si>
  <si>
    <t>non-representative abbreviation that can be used for a short advertisement for this internet connection type</t>
  </si>
  <si>
    <t>unique description of an internet connection type entity in the domain, used in selections, comboboxes, … (key canditate)</t>
  </si>
  <si>
    <t>unique identification number for a record in this domain with internet connection types</t>
  </si>
  <si>
    <t>domain / range of values for internet connection types, this is an extension of the relationship between persons and internet connections.</t>
  </si>
  <si>
    <t>domain / range of values for family types, this is an extension of the relationship between persons and banking accounts. This table have additional informations</t>
  </si>
  <si>
    <t>unique identification number for a record in this domain with family types</t>
  </si>
  <si>
    <t>unique description of a family type entity in the domain, used in selections, comboboxes, … (key canditate)</t>
  </si>
  <si>
    <t>detailed description of these family type,this is a self documentation, possible use as hint or to information in the programm</t>
  </si>
  <si>
    <t>notes, with additional / free information for this type of family status, not used in application</t>
  </si>
  <si>
    <t>boolean value that makes this entity of family type to a system value (cannot be changed as it is used directly by the program)</t>
  </si>
  <si>
    <t>boolean value that makes this entity of form of address type to a system value (cannot be changed as it is used directly by the program)</t>
  </si>
  <si>
    <t>boolean value that makes this entity of country to a system value (cannot be changed as it is used directly by the program)</t>
  </si>
  <si>
    <t>refEmployees2Person</t>
  </si>
  <si>
    <t>generalization from an employee to a person (is-a relationship)</t>
  </si>
  <si>
    <t>refEmployees2JobPositions</t>
  </si>
  <si>
    <t>range value as domain for this attribute, possible jobpositions in company</t>
  </si>
  <si>
    <t>refEmployees2Department</t>
  </si>
  <si>
    <t>assoziations between an employee to the department where she/he work</t>
  </si>
  <si>
    <t>attribute as Foreign key from an attribute ID of the person entity to whom the address belongs</t>
  </si>
  <si>
    <t>attribute as foreign key from an attribute ID of a person entity to which these account details belong</t>
  </si>
  <si>
    <t>Spezifikation der Tätigkeit als Freitext um dieses zu konkretisieren</t>
  </si>
  <si>
    <t>uk_Employees_PersonNumber</t>
  </si>
  <si>
    <t>idx_Employees_JobSpec</t>
  </si>
  <si>
    <t>access path to search for informations about job specifications</t>
  </si>
  <si>
    <t>uk_Employees_SocialNumber</t>
  </si>
  <si>
    <t>unique personal number of a employee in company (key canditate)</t>
  </si>
  <si>
    <t>extern unique number of an employee (key canditate)</t>
  </si>
  <si>
    <t>id of the department where the employee currently work</t>
  </si>
  <si>
    <t>current position / activity of the employee within the company</t>
  </si>
  <si>
    <t>starting date of the employee in the company (can be extended later for the start of the current position)</t>
  </si>
  <si>
    <t>salary / income that the employee currently receives</t>
  </si>
  <si>
    <t>unique HR number of the employee in the company, assigned by the HR department</t>
  </si>
  <si>
    <t>information about the employees in the company (generalization of a person)</t>
  </si>
  <si>
    <t>social insurance number of the employee</t>
  </si>
  <si>
    <t>boolean value indicating whether the person is active in the company</t>
  </si>
  <si>
    <t>idx_Employees_Active</t>
  </si>
  <si>
    <t>access path to search / filter all active employees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</si>
</sst>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theme="1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quotePrefix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A6342-10A9-41AC-834A-635A572FA867}">
  <sheetPr codeName="Tabelle1"/>
  <dimension ref="A1:M166"/>
  <sheetViews>
    <sheetView tabSelected="1" topLeftCell="A21" workbookViewId="0">
      <selection activeCell="M49" sqref="M49"/>
    </sheetView>
  </sheetViews>
  <sheetFormatPr baseColWidth="10" defaultRowHeight="14.25" x14ac:dyDescent="0.45"/>
  <cols>
    <col min="1" max="1" width="12.86328125" bestFit="1" customWidth="1"/>
    <col min="2" max="2" width="4.19921875" customWidth="1"/>
    <col min="3" max="3" width="20.06640625" customWidth="1"/>
    <col min="4" max="4" width="19.9296875" customWidth="1"/>
    <col min="5" max="5" width="9.265625" customWidth="1"/>
    <col min="6" max="6" width="4.6640625" customWidth="1"/>
    <col min="7" max="7" width="4.1328125" customWidth="1"/>
    <col min="8" max="8" width="8" customWidth="1"/>
    <col min="9" max="9" width="7.796875" customWidth="1"/>
    <col min="10" max="10" width="6.3984375" customWidth="1"/>
    <col min="11" max="11" width="5.53125" customWidth="1"/>
    <col min="12" max="12" width="68.6640625" customWidth="1"/>
    <col min="13" max="13" width="118.3984375" customWidth="1"/>
  </cols>
  <sheetData>
    <row r="1" spans="1:13" x14ac:dyDescent="0.45">
      <c r="M1" t="s">
        <v>64</v>
      </c>
    </row>
    <row r="2" spans="1:13" x14ac:dyDescent="0.45">
      <c r="A2" t="s">
        <v>23</v>
      </c>
      <c r="B2">
        <v>0</v>
      </c>
      <c r="C2" t="s">
        <v>84</v>
      </c>
      <c r="D2" t="s">
        <v>85</v>
      </c>
      <c r="E2" t="s">
        <v>173</v>
      </c>
      <c r="H2" t="s">
        <v>174</v>
      </c>
      <c r="I2" t="s">
        <v>175</v>
      </c>
      <c r="L2" t="s">
        <v>55</v>
      </c>
      <c r="M2" s="2" t="str">
        <f>CONCATENATE("   ",$M$1,".AddTable(","""",A2,""", ",CONCATENATE("EMyEntityType::",E2),", """,IF(ISERROR(FIND(".",C2)),"",RIGHT(C2, LEN(C2) - FIND(".",C2))),""", """,IF(ISERROR(FIND(".",C2)),"",LEFT(C2, FIND(".",C2)-1)),""", """,IF(ISERROR(FIND("::",D2)),"",RIGHT(D2, LEN(D2) - FIND("::",D2)-1)),""", """,IF(ISERROR(FIND("::",D2)),"",LEFT(D2, FIND("::",D2)-1)),""", """,H2,""", """,I2,""", """,L2,""")")</f>
        <v xml:space="preserve">   dictionary.AddTable("Berlin", EMyEntityType::table, "Berlin_olddata", "dbo", "Berlin", "myDataOld", "System", "SQL", "Tabelle mit den Berliner Adresspunkten")</v>
      </c>
    </row>
    <row r="3" spans="1:13" x14ac:dyDescent="0.45">
      <c r="A3" t="s">
        <v>23</v>
      </c>
      <c r="B3">
        <v>1</v>
      </c>
      <c r="C3" t="s">
        <v>0</v>
      </c>
      <c r="D3" t="s">
        <v>39</v>
      </c>
      <c r="E3" t="s">
        <v>20</v>
      </c>
      <c r="F3">
        <v>0</v>
      </c>
      <c r="G3">
        <v>0</v>
      </c>
      <c r="H3" t="s">
        <v>57</v>
      </c>
      <c r="I3" t="s">
        <v>57</v>
      </c>
      <c r="L3" t="s">
        <v>56</v>
      </c>
      <c r="M3" s="2" t="str">
        <f>CONCATENATE("      .AddAttribute(",REPT(" ",3-LEN(TEXT(B3, "0"))),TEXT(B3, "0"),", """,C3,""", """,D3,""", """,E3,""", ",F3,", ",G3,", ",H3,", ",I3,", """,L3,"""",    ")")</f>
        <v xml:space="preserve">      .AddAttribute(  1, "State_ID", "Land_ID", "integer", 0, 0, false, false, "Identifikationsnummer (NUTS) für das Bundesland")</v>
      </c>
    </row>
    <row r="4" spans="1:13" x14ac:dyDescent="0.45">
      <c r="A4" t="s">
        <v>23</v>
      </c>
      <c r="B4">
        <v>2</v>
      </c>
      <c r="C4" t="s">
        <v>1</v>
      </c>
      <c r="D4" t="s">
        <v>40</v>
      </c>
      <c r="E4" t="s">
        <v>20</v>
      </c>
      <c r="F4">
        <v>0</v>
      </c>
      <c r="G4">
        <v>0</v>
      </c>
      <c r="H4" t="s">
        <v>57</v>
      </c>
      <c r="I4" t="s">
        <v>57</v>
      </c>
      <c r="K4">
        <v>11</v>
      </c>
      <c r="M4" s="2" t="str">
        <f t="shared" ref="M4:M21" si="0">CONCATENATE("      .AddAttribute(",REPT(" ",3-LEN(TEXT(B4, "0"))),TEXT(B4, "0"),", """,C4,""", """,D4,""", """,E4,""", ",F4,", ",G4,", ",H4,", ",I4,", """,L4,"""",    ")")</f>
        <v xml:space="preserve">      .AddAttribute(  2, "District_ID", "Bezirk_ID", "integer", 0, 0, false, false, "")</v>
      </c>
    </row>
    <row r="5" spans="1:13" x14ac:dyDescent="0.45">
      <c r="A5" t="s">
        <v>23</v>
      </c>
      <c r="B5">
        <v>3</v>
      </c>
      <c r="C5" t="s">
        <v>2</v>
      </c>
      <c r="D5" t="s">
        <v>41</v>
      </c>
      <c r="E5" t="s">
        <v>20</v>
      </c>
      <c r="F5">
        <v>0</v>
      </c>
      <c r="G5">
        <v>0</v>
      </c>
      <c r="H5" t="s">
        <v>57</v>
      </c>
      <c r="I5" t="s">
        <v>57</v>
      </c>
      <c r="K5">
        <v>13</v>
      </c>
      <c r="M5" s="2" t="str">
        <f t="shared" si="0"/>
        <v xml:space="preserve">      .AddAttribute(  3, "Neighborhood_ID", "Ortsteil_ID", "integer", 0, 0, false, false, "")</v>
      </c>
    </row>
    <row r="6" spans="1:13" x14ac:dyDescent="0.45">
      <c r="A6" t="s">
        <v>23</v>
      </c>
      <c r="B6">
        <v>4</v>
      </c>
      <c r="C6" t="s">
        <v>3</v>
      </c>
      <c r="D6" t="s">
        <v>42</v>
      </c>
      <c r="E6" t="s">
        <v>20</v>
      </c>
      <c r="F6">
        <v>0</v>
      </c>
      <c r="G6">
        <v>0</v>
      </c>
      <c r="H6" t="s">
        <v>57</v>
      </c>
      <c r="I6" t="s">
        <v>57</v>
      </c>
      <c r="K6">
        <v>7</v>
      </c>
      <c r="M6" s="2" t="str">
        <f t="shared" si="0"/>
        <v xml:space="preserve">      .AddAttribute(  4, "Street_ID", "Strasse_ID", "integer", 0, 0, false, false, "")</v>
      </c>
    </row>
    <row r="7" spans="1:13" x14ac:dyDescent="0.45">
      <c r="A7" t="s">
        <v>23</v>
      </c>
      <c r="B7">
        <v>5</v>
      </c>
      <c r="C7" t="s">
        <v>4</v>
      </c>
      <c r="D7" t="s">
        <v>43</v>
      </c>
      <c r="E7" t="s">
        <v>19</v>
      </c>
      <c r="F7">
        <v>75</v>
      </c>
      <c r="G7">
        <v>0</v>
      </c>
      <c r="H7" t="s">
        <v>57</v>
      </c>
      <c r="I7" t="s">
        <v>57</v>
      </c>
      <c r="K7">
        <v>22</v>
      </c>
      <c r="M7" s="2" t="str">
        <f t="shared" si="0"/>
        <v xml:space="preserve">      .AddAttribute(  5, "State", "Land", "varchar", 75, 0, false, false, "")</v>
      </c>
    </row>
    <row r="8" spans="1:13" x14ac:dyDescent="0.45">
      <c r="A8" t="s">
        <v>23</v>
      </c>
      <c r="B8">
        <v>6</v>
      </c>
      <c r="C8" t="s">
        <v>5</v>
      </c>
      <c r="D8" t="s">
        <v>44</v>
      </c>
      <c r="E8" t="s">
        <v>19</v>
      </c>
      <c r="F8">
        <v>75</v>
      </c>
      <c r="G8">
        <v>0</v>
      </c>
      <c r="H8" t="s">
        <v>57</v>
      </c>
      <c r="I8" t="s">
        <v>57</v>
      </c>
      <c r="K8">
        <v>22</v>
      </c>
      <c r="M8" s="2" t="str">
        <f t="shared" si="0"/>
        <v xml:space="preserve">      .AddAttribute(  6, "City", "Stadt", "varchar", 75, 0, false, false, "")</v>
      </c>
    </row>
    <row r="9" spans="1:13" x14ac:dyDescent="0.45">
      <c r="A9" t="s">
        <v>23</v>
      </c>
      <c r="B9">
        <v>7</v>
      </c>
      <c r="C9" t="s">
        <v>6</v>
      </c>
      <c r="D9" t="s">
        <v>45</v>
      </c>
      <c r="E9" t="s">
        <v>19</v>
      </c>
      <c r="F9">
        <v>75</v>
      </c>
      <c r="G9">
        <v>0</v>
      </c>
      <c r="H9" t="s">
        <v>57</v>
      </c>
      <c r="I9" t="s">
        <v>57</v>
      </c>
      <c r="K9">
        <v>10</v>
      </c>
      <c r="M9" s="2" t="str">
        <f t="shared" si="0"/>
        <v xml:space="preserve">      .AddAttribute(  7, "District", "Bezirk", "varchar", 75, 0, false, false, "")</v>
      </c>
    </row>
    <row r="10" spans="1:13" x14ac:dyDescent="0.45">
      <c r="A10" t="s">
        <v>23</v>
      </c>
      <c r="B10">
        <v>8</v>
      </c>
      <c r="C10" t="s">
        <v>7</v>
      </c>
      <c r="D10" t="s">
        <v>46</v>
      </c>
      <c r="E10" t="s">
        <v>19</v>
      </c>
      <c r="F10">
        <v>75</v>
      </c>
      <c r="G10">
        <v>0</v>
      </c>
      <c r="H10" t="s">
        <v>57</v>
      </c>
      <c r="I10" t="s">
        <v>57</v>
      </c>
      <c r="K10">
        <v>12</v>
      </c>
      <c r="M10" s="2" t="str">
        <f t="shared" si="0"/>
        <v xml:space="preserve">      .AddAttribute(  8, "Neighborhood", "Ortsteil", "varchar", 75, 0, false, false, "")</v>
      </c>
    </row>
    <row r="11" spans="1:13" x14ac:dyDescent="0.45">
      <c r="A11" t="s">
        <v>23</v>
      </c>
      <c r="B11">
        <v>9</v>
      </c>
      <c r="C11" t="s">
        <v>8</v>
      </c>
      <c r="D11" t="s">
        <v>47</v>
      </c>
      <c r="E11" t="s">
        <v>19</v>
      </c>
      <c r="F11">
        <v>75</v>
      </c>
      <c r="G11">
        <v>0</v>
      </c>
      <c r="H11" t="s">
        <v>57</v>
      </c>
      <c r="I11" t="s">
        <v>57</v>
      </c>
      <c r="K11">
        <v>8</v>
      </c>
      <c r="M11" s="2" t="str">
        <f t="shared" si="0"/>
        <v xml:space="preserve">      .AddAttribute(  9, "Street", "Strasse", "varchar", 75, 0, false, false, "")</v>
      </c>
    </row>
    <row r="12" spans="1:13" x14ac:dyDescent="0.45">
      <c r="A12" t="s">
        <v>23</v>
      </c>
      <c r="B12">
        <v>10</v>
      </c>
      <c r="C12" t="s">
        <v>9</v>
      </c>
      <c r="D12" t="s">
        <v>48</v>
      </c>
      <c r="E12" t="s">
        <v>19</v>
      </c>
      <c r="F12">
        <v>5</v>
      </c>
      <c r="G12">
        <v>0</v>
      </c>
      <c r="H12" t="s">
        <v>57</v>
      </c>
      <c r="I12" t="s">
        <v>57</v>
      </c>
      <c r="K12">
        <v>9</v>
      </c>
      <c r="M12" s="2" t="str">
        <f t="shared" si="0"/>
        <v xml:space="preserve">      .AddAttribute( 10, "Postal_Code", "PLZ", "varchar", 5, 0, false, false, "")</v>
      </c>
    </row>
    <row r="13" spans="1:13" x14ac:dyDescent="0.45">
      <c r="A13" t="s">
        <v>23</v>
      </c>
      <c r="B13">
        <v>11</v>
      </c>
      <c r="C13" t="s">
        <v>10</v>
      </c>
      <c r="D13" t="s">
        <v>49</v>
      </c>
      <c r="E13" t="s">
        <v>20</v>
      </c>
      <c r="F13">
        <v>0</v>
      </c>
      <c r="G13">
        <v>0</v>
      </c>
      <c r="H13" t="s">
        <v>57</v>
      </c>
      <c r="I13" t="s">
        <v>57</v>
      </c>
      <c r="K13">
        <v>5</v>
      </c>
      <c r="M13" s="2" t="str">
        <f t="shared" si="0"/>
        <v xml:space="preserve">      .AddAttribute( 11, "House_Number", "HNR", "integer", 0, 0, false, false, "")</v>
      </c>
    </row>
    <row r="14" spans="1:13" x14ac:dyDescent="0.45">
      <c r="A14" t="s">
        <v>23</v>
      </c>
      <c r="B14">
        <v>12</v>
      </c>
      <c r="C14" t="s">
        <v>11</v>
      </c>
      <c r="D14" t="s">
        <v>50</v>
      </c>
      <c r="E14" t="s">
        <v>19</v>
      </c>
      <c r="F14">
        <v>5</v>
      </c>
      <c r="G14">
        <v>0</v>
      </c>
      <c r="H14" t="s">
        <v>57</v>
      </c>
      <c r="I14" t="s">
        <v>57</v>
      </c>
      <c r="K14">
        <v>6</v>
      </c>
      <c r="M14" s="2" t="str">
        <f t="shared" si="0"/>
        <v xml:space="preserve">      .AddAttribute( 12, "Address_Addendum", "ADZ", "varchar", 5, 0, false, false, "")</v>
      </c>
    </row>
    <row r="15" spans="1:13" x14ac:dyDescent="0.45">
      <c r="A15" t="s">
        <v>23</v>
      </c>
      <c r="B15">
        <v>13</v>
      </c>
      <c r="C15" t="s">
        <v>12</v>
      </c>
      <c r="D15" t="s">
        <v>12</v>
      </c>
      <c r="E15" t="s">
        <v>21</v>
      </c>
      <c r="F15">
        <v>0</v>
      </c>
      <c r="G15">
        <v>0</v>
      </c>
      <c r="H15" t="s">
        <v>57</v>
      </c>
      <c r="I15" t="s">
        <v>57</v>
      </c>
      <c r="K15">
        <v>1</v>
      </c>
      <c r="M15" s="2" t="str">
        <f t="shared" si="0"/>
        <v xml:space="preserve">      .AddAttribute( 13, "Latitude", "Latitude", "double", 0, 0, false, false, "")</v>
      </c>
    </row>
    <row r="16" spans="1:13" x14ac:dyDescent="0.45">
      <c r="A16" t="s">
        <v>23</v>
      </c>
      <c r="B16">
        <v>14</v>
      </c>
      <c r="C16" t="s">
        <v>13</v>
      </c>
      <c r="D16" t="s">
        <v>13</v>
      </c>
      <c r="E16" t="s">
        <v>21</v>
      </c>
      <c r="F16">
        <v>0</v>
      </c>
      <c r="G16">
        <v>0</v>
      </c>
      <c r="H16" t="s">
        <v>57</v>
      </c>
      <c r="I16" t="s">
        <v>57</v>
      </c>
      <c r="K16">
        <v>2</v>
      </c>
      <c r="M16" s="2" t="str">
        <f t="shared" si="0"/>
        <v xml:space="preserve">      .AddAttribute( 14, "Longitude", "Longitude", "double", 0, 0, false, false, "")</v>
      </c>
    </row>
    <row r="17" spans="1:13" x14ac:dyDescent="0.45">
      <c r="A17" t="s">
        <v>23</v>
      </c>
      <c r="B17">
        <v>15</v>
      </c>
      <c r="C17" t="s">
        <v>14</v>
      </c>
      <c r="D17" t="s">
        <v>53</v>
      </c>
      <c r="E17" t="s">
        <v>22</v>
      </c>
      <c r="F17">
        <v>0</v>
      </c>
      <c r="G17">
        <v>0</v>
      </c>
      <c r="H17" t="s">
        <v>57</v>
      </c>
      <c r="I17" t="s">
        <v>57</v>
      </c>
      <c r="K17">
        <v>17</v>
      </c>
      <c r="M17" s="2" t="str">
        <f t="shared" si="0"/>
        <v xml:space="preserve">      .AddAttribute( 15, "Address_Date", "Adr_Datum", "date", 0, 0, false, false, "")</v>
      </c>
    </row>
    <row r="18" spans="1:13" x14ac:dyDescent="0.45">
      <c r="A18" t="s">
        <v>23</v>
      </c>
      <c r="B18">
        <v>16</v>
      </c>
      <c r="C18" t="s">
        <v>15</v>
      </c>
      <c r="D18" t="s">
        <v>54</v>
      </c>
      <c r="E18" t="s">
        <v>22</v>
      </c>
      <c r="F18">
        <v>0</v>
      </c>
      <c r="G18">
        <v>0</v>
      </c>
      <c r="H18" t="s">
        <v>57</v>
      </c>
      <c r="I18" t="s">
        <v>57</v>
      </c>
      <c r="K18">
        <v>18</v>
      </c>
      <c r="M18" s="2" t="str">
        <f t="shared" si="0"/>
        <v xml:space="preserve">      .AddAttribute( 16, "Street_Date", "Strasse_Datum", "date", 0, 0, false, false, "")</v>
      </c>
    </row>
    <row r="19" spans="1:13" x14ac:dyDescent="0.45">
      <c r="A19" t="s">
        <v>23</v>
      </c>
      <c r="B19">
        <v>17</v>
      </c>
      <c r="C19" t="s">
        <v>16</v>
      </c>
      <c r="D19" t="s">
        <v>51</v>
      </c>
      <c r="E19" t="s">
        <v>19</v>
      </c>
      <c r="F19">
        <v>100</v>
      </c>
      <c r="G19">
        <v>0</v>
      </c>
      <c r="H19" t="s">
        <v>57</v>
      </c>
      <c r="I19" t="s">
        <v>57</v>
      </c>
      <c r="K19">
        <v>19</v>
      </c>
      <c r="M19" s="2" t="str">
        <f t="shared" si="0"/>
        <v xml:space="preserve">      .AddAttribute( 17, "Quality", "Qualitaet", "varchar", 100, 0, false, false, "")</v>
      </c>
    </row>
    <row r="20" spans="1:13" x14ac:dyDescent="0.45">
      <c r="A20" t="s">
        <v>23</v>
      </c>
      <c r="B20">
        <v>18</v>
      </c>
      <c r="C20" t="s">
        <v>17</v>
      </c>
      <c r="D20" t="s">
        <v>52</v>
      </c>
      <c r="E20" t="s">
        <v>19</v>
      </c>
      <c r="F20">
        <v>100</v>
      </c>
      <c r="G20">
        <v>0</v>
      </c>
      <c r="H20" t="s">
        <v>57</v>
      </c>
      <c r="I20" t="s">
        <v>57</v>
      </c>
      <c r="K20">
        <v>20</v>
      </c>
      <c r="M20" s="2" t="str">
        <f t="shared" si="0"/>
        <v xml:space="preserve">      .AddAttribute( 18, "Address_Type", "Adr_Typ", "varchar", 100, 0, false, false, "")</v>
      </c>
    </row>
    <row r="21" spans="1:13" x14ac:dyDescent="0.45">
      <c r="A21" t="s">
        <v>23</v>
      </c>
      <c r="B21">
        <v>19</v>
      </c>
      <c r="C21" t="s">
        <v>18</v>
      </c>
      <c r="D21" t="s">
        <v>18</v>
      </c>
      <c r="E21" t="s">
        <v>19</v>
      </c>
      <c r="F21">
        <v>20</v>
      </c>
      <c r="G21">
        <v>0</v>
      </c>
      <c r="H21" t="s">
        <v>57</v>
      </c>
      <c r="I21" t="s">
        <v>57</v>
      </c>
      <c r="K21">
        <v>21</v>
      </c>
      <c r="M21" s="2" t="str">
        <f t="shared" si="0"/>
        <v xml:space="preserve">      .AddAttribute( 19, "HKO_ID", "HKO_ID", "varchar", 20, 0, false, false, "")</v>
      </c>
    </row>
    <row r="22" spans="1:13" x14ac:dyDescent="0.45">
      <c r="M22" s="2" t="s">
        <v>72</v>
      </c>
    </row>
    <row r="25" spans="1:13" x14ac:dyDescent="0.45">
      <c r="A25" t="s">
        <v>105</v>
      </c>
      <c r="B25">
        <v>0</v>
      </c>
      <c r="C25" t="s">
        <v>119</v>
      </c>
      <c r="D25" t="s">
        <v>172</v>
      </c>
      <c r="E25" t="s">
        <v>173</v>
      </c>
      <c r="H25" t="s">
        <v>174</v>
      </c>
      <c r="I25" t="s">
        <v>175</v>
      </c>
      <c r="L25" t="s">
        <v>223</v>
      </c>
      <c r="M25" s="2" t="str">
        <f>CONCATENATE("   ",$M$1,".AddTable(","""",A25,""", ",CONCATENATE("EMyEntityType::",E25),", """,IF(ISERROR(FIND(".",C25)),"",RIGHT(C25, LEN(C25) - FIND(".",C25))),""", """,IF(ISERROR(FIND(".",C25)),"",LEFT(C25, FIND(".",C25)-1)),""", """,IF(ISERROR(FIND("::",D25)),"",RIGHT(D25, LEN(D25) - FIND("::",D25)-1)),""", """,IF(ISERROR(FIND("::",D25)),"",LEFT(D25, FIND("::",D25)-1)),""", """,H25,""", """,I25,""", """,L25,""")")</f>
        <v xml:space="preserve">   dictionary.AddTable("Address", EMyEntityType::table, "Address", "dbo", "Address", "myTest", "System", "SQL", "information on the addresses where a person lives, works or has any other relationship with them")</v>
      </c>
    </row>
    <row r="26" spans="1:13" x14ac:dyDescent="0.45">
      <c r="A26" t="s">
        <v>105</v>
      </c>
      <c r="B26">
        <v>1</v>
      </c>
      <c r="C26" t="s">
        <v>139</v>
      </c>
      <c r="D26" t="s">
        <v>139</v>
      </c>
      <c r="E26" t="s">
        <v>20</v>
      </c>
      <c r="F26">
        <v>0</v>
      </c>
      <c r="G26">
        <v>0</v>
      </c>
      <c r="H26" t="s">
        <v>58</v>
      </c>
      <c r="I26" t="s">
        <v>58</v>
      </c>
      <c r="J26" t="s">
        <v>57</v>
      </c>
      <c r="L26" t="s">
        <v>288</v>
      </c>
      <c r="M26" s="2" t="str">
        <f t="shared" ref="M26:M32" si="1">CONCATENATE("      .AddAttribute(",REPT(" ",3-LEN(TEXT(B26, "0"))),TEXT(B26, "0"),", """,C26,""", """,D26,""", """,E26,""", ",F26,", ",G26,", ",H26,", ",I26,", """,L26,"""",    ")")</f>
        <v xml:space="preserve">      .AddAttribute(  1, "ID", "ID", "integer", 0, 0, true, true, "attribute as Foreign key from an attribute ID of the person entity to whom the address belongs")</v>
      </c>
    </row>
    <row r="27" spans="1:13" x14ac:dyDescent="0.45">
      <c r="A27" t="s">
        <v>105</v>
      </c>
      <c r="B27">
        <v>2</v>
      </c>
      <c r="C27" t="s">
        <v>141</v>
      </c>
      <c r="D27" t="s">
        <v>141</v>
      </c>
      <c r="E27" t="s">
        <v>20</v>
      </c>
      <c r="F27">
        <v>0</v>
      </c>
      <c r="G27">
        <v>0</v>
      </c>
      <c r="H27" t="s">
        <v>58</v>
      </c>
      <c r="I27" t="s">
        <v>58</v>
      </c>
      <c r="J27" t="s">
        <v>58</v>
      </c>
      <c r="L27" t="s">
        <v>224</v>
      </c>
      <c r="M27" s="2" t="str">
        <f t="shared" si="1"/>
        <v xml:space="preserve">      .AddAttribute(  2, "AddressType", "AddressType", "integer", 0, 0, true, true, "extension of the key by the address type to manage different addresses for one person")</v>
      </c>
    </row>
    <row r="28" spans="1:13" x14ac:dyDescent="0.45">
      <c r="A28" t="s">
        <v>105</v>
      </c>
      <c r="B28">
        <v>3</v>
      </c>
      <c r="C28" t="s">
        <v>143</v>
      </c>
      <c r="D28" t="s">
        <v>143</v>
      </c>
      <c r="E28" t="s">
        <v>19</v>
      </c>
      <c r="F28">
        <v>10</v>
      </c>
      <c r="G28">
        <v>0</v>
      </c>
      <c r="H28" t="s">
        <v>58</v>
      </c>
      <c r="I28" t="s">
        <v>57</v>
      </c>
      <c r="J28" t="s">
        <v>57</v>
      </c>
      <c r="L28" t="s">
        <v>213</v>
      </c>
      <c r="M28" s="2" t="str">
        <f t="shared" ref="M28" si="2">CONCATENATE("      .AddAttribute(",REPT(" ",3-LEN(TEXT(B28, "0"))),TEXT(B28, "0"),", """,C28,""", """,D28,""", """,E28,""", ",F28,", ",G28,", ",H28,", ",I28,", """,L28,"""",    ")")</f>
        <v xml:space="preserve">      .AddAttribute(  3, "Zipcode", "Zipcode", "varchar", 10, 0, true, false, "Zip code for the address")</v>
      </c>
    </row>
    <row r="29" spans="1:13" x14ac:dyDescent="0.45">
      <c r="A29" t="s">
        <v>105</v>
      </c>
      <c r="B29">
        <v>4</v>
      </c>
      <c r="C29" t="s">
        <v>5</v>
      </c>
      <c r="D29" t="s">
        <v>5</v>
      </c>
      <c r="E29" t="s">
        <v>19</v>
      </c>
      <c r="F29">
        <v>50</v>
      </c>
      <c r="G29">
        <v>0</v>
      </c>
      <c r="H29" t="s">
        <v>58</v>
      </c>
      <c r="I29" t="s">
        <v>57</v>
      </c>
      <c r="J29" t="s">
        <v>57</v>
      </c>
      <c r="L29" t="s">
        <v>222</v>
      </c>
      <c r="M29" s="2" t="str">
        <f>CONCATENATE("      .AddAttribute(",REPT(" ",3-LEN(TEXT(B29, "0"))),TEXT(B29, "0"),", """,C29,""", """,D29,""", """,E29,""", ",F29,", ",G29,", ",H29,", ",I29,", """,L29,"""",    ")")</f>
        <v xml:space="preserve">      .AddAttribute(  4, "City", "City", "varchar", 50, 0, true, false, "name of the city/county (possibly with district) for this address")</v>
      </c>
    </row>
    <row r="30" spans="1:13" x14ac:dyDescent="0.45">
      <c r="A30" t="s">
        <v>105</v>
      </c>
      <c r="B30">
        <v>5</v>
      </c>
      <c r="C30" t="s">
        <v>8</v>
      </c>
      <c r="D30" t="s">
        <v>8</v>
      </c>
      <c r="E30" t="s">
        <v>19</v>
      </c>
      <c r="F30">
        <v>50</v>
      </c>
      <c r="G30">
        <v>0</v>
      </c>
      <c r="H30" t="s">
        <v>58</v>
      </c>
      <c r="I30" t="s">
        <v>57</v>
      </c>
      <c r="J30" t="s">
        <v>57</v>
      </c>
      <c r="L30" t="s">
        <v>221</v>
      </c>
      <c r="M30" s="2" t="str">
        <f t="shared" si="1"/>
        <v xml:space="preserve">      .AddAttribute(  5, "Street", "Street", "varchar", 50, 0, true, false, "name of the street belonging to this address")</v>
      </c>
    </row>
    <row r="31" spans="1:13" x14ac:dyDescent="0.45">
      <c r="A31" t="s">
        <v>105</v>
      </c>
      <c r="B31">
        <v>6</v>
      </c>
      <c r="C31" t="s">
        <v>142</v>
      </c>
      <c r="D31" t="s">
        <v>142</v>
      </c>
      <c r="E31" t="s">
        <v>19</v>
      </c>
      <c r="F31">
        <v>10</v>
      </c>
      <c r="G31">
        <v>0</v>
      </c>
      <c r="H31" t="s">
        <v>57</v>
      </c>
      <c r="I31" t="s">
        <v>57</v>
      </c>
      <c r="J31" t="s">
        <v>57</v>
      </c>
      <c r="L31" t="s">
        <v>225</v>
      </c>
      <c r="M31" s="2" t="str">
        <f t="shared" si="1"/>
        <v xml:space="preserve">      .AddAttribute(  6, "StreetNumber", "StreetNumber", "varchar", 10, 0, false, false, "house number with addition for this address")</v>
      </c>
    </row>
    <row r="32" spans="1:13" x14ac:dyDescent="0.45">
      <c r="A32" t="s">
        <v>105</v>
      </c>
      <c r="B32">
        <v>7</v>
      </c>
      <c r="C32" t="s">
        <v>144</v>
      </c>
      <c r="D32" t="s">
        <v>144</v>
      </c>
      <c r="E32" t="s">
        <v>20</v>
      </c>
      <c r="F32">
        <v>0</v>
      </c>
      <c r="G32">
        <v>0</v>
      </c>
      <c r="H32" t="s">
        <v>58</v>
      </c>
      <c r="I32" t="s">
        <v>57</v>
      </c>
      <c r="J32" t="s">
        <v>57</v>
      </c>
      <c r="L32" t="s">
        <v>219</v>
      </c>
      <c r="M32" s="2" t="str">
        <f t="shared" si="1"/>
        <v xml:space="preserve">      .AddAttribute(  7, "Country", "Country", "integer", 0, 0, true, false, "ID of the country for the address, key attribute from the \"Countries\" entity")</v>
      </c>
    </row>
    <row r="34" spans="1:13" x14ac:dyDescent="0.45">
      <c r="A34" t="s">
        <v>106</v>
      </c>
      <c r="B34">
        <v>0</v>
      </c>
      <c r="C34" t="s">
        <v>120</v>
      </c>
      <c r="D34" t="s">
        <v>189</v>
      </c>
      <c r="E34" t="s">
        <v>173</v>
      </c>
      <c r="H34" t="s">
        <v>174</v>
      </c>
      <c r="I34" t="s">
        <v>175</v>
      </c>
      <c r="L34" t="s">
        <v>220</v>
      </c>
      <c r="M34" s="2" t="str">
        <f>CONCATENATE("   ",$M$1,".AddTable(","""",A34,""", ",CONCATENATE("EMyEntityType::",E34),", """,IF(ISERROR(FIND(".",C34)),"",RIGHT(C34, LEN(C34) - FIND(".",C34))),""", """,IF(ISERROR(FIND(".",C34)),"",LEFT(C34, FIND(".",C34)-1)),""", """,IF(ISERROR(FIND("::",D34)),"",RIGHT(D34, LEN(D34) - FIND("::",D34)-1)),""", """,IF(ISERROR(FIND("::",D34)),"",LEFT(D34, FIND("::",D34)-1)),""", """,H34,""", """,I34,""", """,L34,""")")</f>
        <v xml:space="preserve">   dictionary.AddTable("AddressTypes", EMyEntityType::table, "AddressTypes", "dbo", "AddressTypes", "myTest", "System", "SQL", "domain / range of values for address types, this is an extension of the relationship between persons and addresses.")</v>
      </c>
    </row>
    <row r="35" spans="1:13" x14ac:dyDescent="0.45">
      <c r="A35" t="s">
        <v>106</v>
      </c>
      <c r="B35">
        <v>1</v>
      </c>
      <c r="C35" t="s">
        <v>139</v>
      </c>
      <c r="D35" t="s">
        <v>139</v>
      </c>
      <c r="E35" t="s">
        <v>20</v>
      </c>
      <c r="F35">
        <v>0</v>
      </c>
      <c r="G35">
        <v>0</v>
      </c>
      <c r="H35" t="s">
        <v>58</v>
      </c>
      <c r="I35" t="s">
        <v>58</v>
      </c>
      <c r="J35" t="s">
        <v>57</v>
      </c>
      <c r="L35" t="s">
        <v>243</v>
      </c>
      <c r="M35" s="2" t="str">
        <f t="shared" ref="M35:M40" si="3">CONCATENATE("      .AddAttribute(",REPT(" ",3-LEN(TEXT(B35, "0"))),TEXT(B35, "0"),", """,C35,""", """,D35,""", """,E35,""", ",F35,", ",G35,", ",H35,", ",I35,", """,L35,"""",    ")")</f>
        <v xml:space="preserve">      .AddAttribute(  1, "ID", "ID", "integer", 0, 0, true, true, "unique identification number for a record in this domain with address types")</v>
      </c>
    </row>
    <row r="36" spans="1:13" x14ac:dyDescent="0.45">
      <c r="A36" t="s">
        <v>106</v>
      </c>
      <c r="B36">
        <v>2</v>
      </c>
      <c r="C36" t="s">
        <v>134</v>
      </c>
      <c r="D36" t="s">
        <v>134</v>
      </c>
      <c r="E36" t="s">
        <v>19</v>
      </c>
      <c r="F36">
        <v>50</v>
      </c>
      <c r="G36">
        <v>0</v>
      </c>
      <c r="H36" t="s">
        <v>58</v>
      </c>
      <c r="I36" t="s">
        <v>57</v>
      </c>
      <c r="J36" t="s">
        <v>58</v>
      </c>
      <c r="L36" t="s">
        <v>226</v>
      </c>
      <c r="M36" s="2" t="str">
        <f t="shared" si="3"/>
        <v xml:space="preserve">      .AddAttribute(  2, "Denotation", "Denotation", "varchar", 50, 0, true, false, "unique description of an entry in the domain, display in selections, comboboxes, … (key canditate)")</v>
      </c>
    </row>
    <row r="37" spans="1:13" x14ac:dyDescent="0.45">
      <c r="A37" t="s">
        <v>106</v>
      </c>
      <c r="B37">
        <v>3</v>
      </c>
      <c r="C37" t="s">
        <v>135</v>
      </c>
      <c r="D37" t="s">
        <v>135</v>
      </c>
      <c r="E37" t="s">
        <v>19</v>
      </c>
      <c r="F37">
        <v>10</v>
      </c>
      <c r="G37">
        <v>0</v>
      </c>
      <c r="H37" t="s">
        <v>57</v>
      </c>
      <c r="I37" t="s">
        <v>57</v>
      </c>
      <c r="J37" t="s">
        <v>57</v>
      </c>
      <c r="L37" t="s">
        <v>227</v>
      </c>
      <c r="M37" s="2" t="str">
        <f t="shared" si="3"/>
        <v xml:space="preserve">      .AddAttribute(  3, "Abbreviation", "Abbreviation", "varchar", 10, 0, false, false, "non-representative abbreviation that can be used for a short advertisement for this address")</v>
      </c>
    </row>
    <row r="38" spans="1:13" x14ac:dyDescent="0.45">
      <c r="A38" t="s">
        <v>106</v>
      </c>
      <c r="B38">
        <v>4</v>
      </c>
      <c r="C38" t="s">
        <v>136</v>
      </c>
      <c r="D38" t="s">
        <v>136</v>
      </c>
      <c r="E38" t="s">
        <v>81</v>
      </c>
      <c r="F38">
        <v>0</v>
      </c>
      <c r="G38">
        <v>0</v>
      </c>
      <c r="H38" t="s">
        <v>57</v>
      </c>
      <c r="I38" t="s">
        <v>57</v>
      </c>
      <c r="J38" t="s">
        <v>57</v>
      </c>
      <c r="L38" t="s">
        <v>228</v>
      </c>
      <c r="M38" s="2" t="str">
        <f t="shared" si="3"/>
        <v xml:space="preserve">      .AddAttribute(  4, "Description", "Description", "text", 0, 0, false, false, "detailed description of these address types, what is associated with them. Self documentation, possible use as hint")</v>
      </c>
    </row>
    <row r="39" spans="1:13" x14ac:dyDescent="0.45">
      <c r="A39" t="s">
        <v>106</v>
      </c>
      <c r="B39">
        <v>5</v>
      </c>
      <c r="C39" t="s">
        <v>137</v>
      </c>
      <c r="D39" t="s">
        <v>137</v>
      </c>
      <c r="E39" t="s">
        <v>81</v>
      </c>
      <c r="F39">
        <v>0</v>
      </c>
      <c r="G39">
        <v>0</v>
      </c>
      <c r="H39" t="s">
        <v>57</v>
      </c>
      <c r="I39" t="s">
        <v>57</v>
      </c>
      <c r="J39" t="s">
        <v>57</v>
      </c>
      <c r="L39" t="s">
        <v>229</v>
      </c>
      <c r="M39" s="2" t="str">
        <f t="shared" si="3"/>
        <v xml:space="preserve">      .AddAttribute(  5, "Notes", "Notes", "text", 0, 0, false, false, "notes, with additional / free information for this AddressType, not used in application")</v>
      </c>
    </row>
    <row r="40" spans="1:13" x14ac:dyDescent="0.45">
      <c r="A40" t="s">
        <v>106</v>
      </c>
      <c r="B40">
        <v>6</v>
      </c>
      <c r="C40" t="s">
        <v>138</v>
      </c>
      <c r="D40" t="s">
        <v>138</v>
      </c>
      <c r="E40" t="s">
        <v>27</v>
      </c>
      <c r="F40">
        <v>0</v>
      </c>
      <c r="G40">
        <v>0</v>
      </c>
      <c r="H40" t="s">
        <v>57</v>
      </c>
      <c r="I40" t="s">
        <v>57</v>
      </c>
      <c r="J40" t="s">
        <v>57</v>
      </c>
      <c r="L40" t="s">
        <v>244</v>
      </c>
      <c r="M40" s="2" t="str">
        <f t="shared" si="3"/>
        <v xml:space="preserve">      .AddAttribute(  6, "UrgentValue", "UrgentValue", "bool", 0, 0, false, false, "boolean value that makes this entity of address type to a system value (cannot be changed as it is used directly by the program)")</v>
      </c>
    </row>
    <row r="42" spans="1:13" x14ac:dyDescent="0.45">
      <c r="A42" t="s">
        <v>107</v>
      </c>
      <c r="B42">
        <v>0</v>
      </c>
      <c r="C42" t="s">
        <v>121</v>
      </c>
      <c r="D42" t="s">
        <v>188</v>
      </c>
      <c r="E42" t="s">
        <v>173</v>
      </c>
      <c r="H42" t="s">
        <v>174</v>
      </c>
      <c r="I42" t="s">
        <v>175</v>
      </c>
      <c r="L42" t="s">
        <v>235</v>
      </c>
      <c r="M42" s="2" t="str">
        <f>CONCATENATE("   ",$M$1,".AddTable(","""",A42,""", ",CONCATENATE("EMyEntityType::",E42),", """,IF(ISERROR(FIND(".",C42)),"",RIGHT(C42, LEN(C42) - FIND(".",C42))),""", """,IF(ISERROR(FIND(".",C42)),"",LEFT(C42, FIND(".",C42)-1)),""", """,IF(ISERROR(FIND("::",D42)),"",RIGHT(D42, LEN(D42) - FIND("::",D42)-1)),""", """,IF(ISERROR(FIND("::",D42)),"",LEFT(D42, FIND("::",D42)-1)),""", """,H42,""", """,I42,""", """,L42,""")")</f>
        <v xml:space="preserve">   dictionary.AddTable("Banking", EMyEntityType::table, "Banking", "dbo", "Banking", "myTest", "System", "SQL", "informations about the account details provided by a person and used in a specific context")</v>
      </c>
    </row>
    <row r="43" spans="1:13" x14ac:dyDescent="0.45">
      <c r="A43" t="s">
        <v>107</v>
      </c>
      <c r="B43">
        <v>1</v>
      </c>
      <c r="C43" t="s">
        <v>139</v>
      </c>
      <c r="D43" t="s">
        <v>139</v>
      </c>
      <c r="E43" t="s">
        <v>20</v>
      </c>
      <c r="F43">
        <v>0</v>
      </c>
      <c r="G43">
        <v>0</v>
      </c>
      <c r="H43" t="s">
        <v>58</v>
      </c>
      <c r="I43" t="s">
        <v>58</v>
      </c>
      <c r="J43" t="s">
        <v>57</v>
      </c>
      <c r="L43" t="s">
        <v>289</v>
      </c>
      <c r="M43" s="2" t="str">
        <f t="shared" ref="M43:M49" si="4">CONCATENATE("      .AddAttribute(",REPT(" ",3-LEN(TEXT(B43, "0"))),TEXT(B43, "0"),", """,C43,""", """,D43,""", """,E43,""", ",F43,", ",G43,", ",H43,", ",I43,", """,L43,"""",    ")")</f>
        <v xml:space="preserve">      .AddAttribute(  1, "ID", "ID", "integer", 0, 0, true, true, "attribute as foreign key from an attribute ID of a person entity to which these account details belong")</v>
      </c>
    </row>
    <row r="44" spans="1:13" x14ac:dyDescent="0.45">
      <c r="A44" t="s">
        <v>107</v>
      </c>
      <c r="B44">
        <v>2</v>
      </c>
      <c r="C44" t="s">
        <v>149</v>
      </c>
      <c r="D44" t="s">
        <v>149</v>
      </c>
      <c r="E44" t="s">
        <v>20</v>
      </c>
      <c r="F44">
        <v>0</v>
      </c>
      <c r="G44">
        <v>0</v>
      </c>
      <c r="H44" t="s">
        <v>58</v>
      </c>
      <c r="I44" t="s">
        <v>58</v>
      </c>
      <c r="J44" t="s">
        <v>57</v>
      </c>
      <c r="L44" t="s">
        <v>236</v>
      </c>
      <c r="M44" s="2" t="str">
        <f t="shared" si="4"/>
        <v xml:space="preserve">      .AddAttribute(  2, "BankingType", "BankingType", "integer", 0, 0, true, true, "extension of the account details key in order to be able to save several / different bank details in a standardized way")</v>
      </c>
    </row>
    <row r="45" spans="1:13" x14ac:dyDescent="0.45">
      <c r="A45" t="s">
        <v>107</v>
      </c>
      <c r="B45">
        <v>3</v>
      </c>
      <c r="C45" t="s">
        <v>150</v>
      </c>
      <c r="D45" t="s">
        <v>150</v>
      </c>
      <c r="E45" t="s">
        <v>19</v>
      </c>
      <c r="F45">
        <v>50</v>
      </c>
      <c r="G45">
        <v>0</v>
      </c>
      <c r="H45" t="s">
        <v>57</v>
      </c>
      <c r="I45" t="s">
        <v>57</v>
      </c>
      <c r="J45" t="s">
        <v>57</v>
      </c>
      <c r="L45" t="s">
        <v>237</v>
      </c>
      <c r="M45" s="2" t="str">
        <f t="shared" si="4"/>
        <v xml:space="preserve">      .AddAttribute(  3, "BankName", "BankName", "varchar", 50, 0, false, false, "name of the bank that manages this account (not necessarily required)")</v>
      </c>
    </row>
    <row r="46" spans="1:13" x14ac:dyDescent="0.45">
      <c r="A46" t="s">
        <v>107</v>
      </c>
      <c r="B46">
        <v>4</v>
      </c>
      <c r="C46" t="s">
        <v>151</v>
      </c>
      <c r="D46" t="s">
        <v>151</v>
      </c>
      <c r="E46" t="s">
        <v>19</v>
      </c>
      <c r="F46">
        <v>33</v>
      </c>
      <c r="G46">
        <v>0</v>
      </c>
      <c r="H46" t="s">
        <v>58</v>
      </c>
      <c r="I46" t="s">
        <v>57</v>
      </c>
      <c r="J46" t="s">
        <v>57</v>
      </c>
      <c r="L46" t="s">
        <v>238</v>
      </c>
      <c r="M46" s="2" t="str">
        <f t="shared" si="4"/>
        <v xml:space="preserve">      .AddAttribute(  4, "IBAN", "IBAN", "varchar", 33, 0, true, false, "IBAN number (account identification) for this bank account (required)")</v>
      </c>
    </row>
    <row r="47" spans="1:13" x14ac:dyDescent="0.45">
      <c r="A47" t="s">
        <v>107</v>
      </c>
      <c r="B47">
        <v>5</v>
      </c>
      <c r="C47" t="s">
        <v>152</v>
      </c>
      <c r="D47" t="s">
        <v>152</v>
      </c>
      <c r="E47" t="s">
        <v>19</v>
      </c>
      <c r="F47">
        <v>12</v>
      </c>
      <c r="G47">
        <v>0</v>
      </c>
      <c r="H47" t="s">
        <v>57</v>
      </c>
      <c r="I47" t="s">
        <v>57</v>
      </c>
      <c r="J47" t="s">
        <v>57</v>
      </c>
      <c r="L47" t="s">
        <v>239</v>
      </c>
      <c r="M47" s="2" t="str">
        <f t="shared" si="4"/>
        <v xml:space="preserve">      .AddAttribute(  5, "BIC", "BIC", "varchar", 12, 0, false, false, "BIC number of the bank that manages this account (not necessarily required for transactions inside europe)")</v>
      </c>
    </row>
    <row r="48" spans="1:13" x14ac:dyDescent="0.45">
      <c r="A48" t="s">
        <v>107</v>
      </c>
      <c r="B48">
        <v>6</v>
      </c>
      <c r="C48" t="s">
        <v>153</v>
      </c>
      <c r="D48" t="s">
        <v>153</v>
      </c>
      <c r="E48" t="s">
        <v>19</v>
      </c>
      <c r="F48">
        <v>27</v>
      </c>
      <c r="G48">
        <v>0</v>
      </c>
      <c r="H48" t="s">
        <v>57</v>
      </c>
      <c r="I48" t="s">
        <v>57</v>
      </c>
      <c r="J48" t="s">
        <v>57</v>
      </c>
      <c r="L48" t="s">
        <v>240</v>
      </c>
      <c r="M48" s="2" t="str">
        <f t="shared" si="4"/>
        <v xml:space="preserve">      .AddAttribute(  6, "BankOwner", "BankOwner", "varchar", 27, 0, false, false, "optionally the name of the owner of the bank details, if this differs from the assigned person")</v>
      </c>
    </row>
    <row r="49" spans="1:13" x14ac:dyDescent="0.45">
      <c r="A49" t="s">
        <v>107</v>
      </c>
      <c r="B49">
        <v>7</v>
      </c>
      <c r="C49" t="s">
        <v>144</v>
      </c>
      <c r="D49" t="s">
        <v>144</v>
      </c>
      <c r="E49" t="s">
        <v>20</v>
      </c>
      <c r="F49">
        <v>0</v>
      </c>
      <c r="G49">
        <v>0</v>
      </c>
      <c r="H49" t="s">
        <v>57</v>
      </c>
      <c r="I49" t="s">
        <v>57</v>
      </c>
      <c r="J49" t="s">
        <v>57</v>
      </c>
      <c r="L49" t="s">
        <v>234</v>
      </c>
      <c r="M49" s="2" t="str">
        <f t="shared" si="4"/>
        <v xml:space="preserve">      .AddAttribute(  7, "Country", "Country", "integer", 0, 0, false, false, "ID of the country for the banking entity, key attribute from the \"Countries\" entity")</v>
      </c>
    </row>
    <row r="51" spans="1:13" x14ac:dyDescent="0.45">
      <c r="A51" t="s">
        <v>108</v>
      </c>
      <c r="B51">
        <v>0</v>
      </c>
      <c r="C51" t="s">
        <v>122</v>
      </c>
      <c r="D51" t="s">
        <v>187</v>
      </c>
      <c r="E51" t="s">
        <v>173</v>
      </c>
      <c r="H51" t="s">
        <v>174</v>
      </c>
      <c r="I51" t="s">
        <v>175</v>
      </c>
      <c r="L51" t="s">
        <v>241</v>
      </c>
      <c r="M51" s="2" t="str">
        <f>CONCATENATE("   ",$M$1,".AddTable(","""",A51,""", ",CONCATENATE("EMyEntityType::",E51),", """,IF(ISERROR(FIND(".",C51)),"",RIGHT(C51, LEN(C51) - FIND(".",C51))),""", """,IF(ISERROR(FIND(".",C51)),"",LEFT(C51, FIND(".",C51)-1)),""", """,IF(ISERROR(FIND("::",D51)),"",RIGHT(D51, LEN(D51) - FIND("::",D51)-1)),""", """,IF(ISERROR(FIND("::",D51)),"",LEFT(D51, FIND("::",D51)-1)),""", """,H51,""", """,I51,""", """,L51,""")")</f>
        <v xml:space="preserve">   dictionary.AddTable("BankingTypes", EMyEntityType::table, "BankingTypes", "dbo", "BankingTypes", "myTest", "System", "SQL", "domain / range of values for banking types, this is an extension of the relationship between persons and banking accounts.")</v>
      </c>
    </row>
    <row r="52" spans="1:13" x14ac:dyDescent="0.45">
      <c r="A52" t="s">
        <v>108</v>
      </c>
      <c r="B52">
        <v>1</v>
      </c>
      <c r="C52" t="s">
        <v>139</v>
      </c>
      <c r="D52" t="s">
        <v>139</v>
      </c>
      <c r="E52" t="s">
        <v>20</v>
      </c>
      <c r="F52">
        <v>0</v>
      </c>
      <c r="G52">
        <v>0</v>
      </c>
      <c r="H52" t="s">
        <v>58</v>
      </c>
      <c r="I52" t="s">
        <v>58</v>
      </c>
      <c r="J52" t="s">
        <v>57</v>
      </c>
      <c r="L52" t="s">
        <v>242</v>
      </c>
      <c r="M52" s="2" t="str">
        <f t="shared" ref="M52:M57" si="5">CONCATENATE("      .AddAttribute(",REPT(" ",3-LEN(TEXT(B52, "0"))),TEXT(B52, "0"),", """,C52,""", """,D52,""", """,E52,""", ",F52,", ",G52,", ",H52,", ",I52,", """,L52,"""",    ")")</f>
        <v xml:space="preserve">      .AddAttribute(  1, "ID", "ID", "integer", 0, 0, true, true, "unique identification number for a record in this domain with banking types")</v>
      </c>
    </row>
    <row r="53" spans="1:13" x14ac:dyDescent="0.45">
      <c r="A53" t="s">
        <v>108</v>
      </c>
      <c r="B53">
        <v>2</v>
      </c>
      <c r="C53" t="s">
        <v>134</v>
      </c>
      <c r="D53" t="s">
        <v>134</v>
      </c>
      <c r="E53" t="s">
        <v>19</v>
      </c>
      <c r="F53">
        <v>50</v>
      </c>
      <c r="G53">
        <v>0</v>
      </c>
      <c r="H53" t="s">
        <v>58</v>
      </c>
      <c r="I53" t="s">
        <v>57</v>
      </c>
      <c r="J53" t="s">
        <v>58</v>
      </c>
      <c r="L53" t="s">
        <v>249</v>
      </c>
      <c r="M53" s="2" t="str">
        <f t="shared" si="5"/>
        <v xml:space="preserve">      .AddAttribute(  2, "Denotation", "Denotation", "varchar", 50, 0, true, false, "unique description of an banking type entity in the domain, used in selections, comboboxes, … (key canditate)")</v>
      </c>
    </row>
    <row r="54" spans="1:13" x14ac:dyDescent="0.45">
      <c r="A54" t="s">
        <v>108</v>
      </c>
      <c r="B54">
        <v>3</v>
      </c>
      <c r="C54" t="s">
        <v>135</v>
      </c>
      <c r="D54" t="s">
        <v>135</v>
      </c>
      <c r="E54" t="s">
        <v>19</v>
      </c>
      <c r="F54">
        <v>10</v>
      </c>
      <c r="G54">
        <v>0</v>
      </c>
      <c r="H54" t="s">
        <v>57</v>
      </c>
      <c r="I54" t="s">
        <v>57</v>
      </c>
      <c r="J54" t="s">
        <v>57</v>
      </c>
      <c r="L54" t="s">
        <v>248</v>
      </c>
      <c r="M54" s="2" t="str">
        <f t="shared" si="5"/>
        <v xml:space="preserve">      .AddAttribute(  3, "Abbreviation", "Abbreviation", "varchar", 10, 0, false, false, "non-representative abbreviation that can be used for a short advertisement for this banking type")</v>
      </c>
    </row>
    <row r="55" spans="1:13" x14ac:dyDescent="0.45">
      <c r="A55" t="s">
        <v>108</v>
      </c>
      <c r="B55">
        <v>4</v>
      </c>
      <c r="C55" t="s">
        <v>136</v>
      </c>
      <c r="D55" t="s">
        <v>136</v>
      </c>
      <c r="E55" t="s">
        <v>81</v>
      </c>
      <c r="F55">
        <v>0</v>
      </c>
      <c r="G55">
        <v>0</v>
      </c>
      <c r="H55" t="s">
        <v>57</v>
      </c>
      <c r="I55" t="s">
        <v>57</v>
      </c>
      <c r="J55" t="s">
        <v>57</v>
      </c>
      <c r="L55" t="s">
        <v>247</v>
      </c>
      <c r="M55" s="2" t="str">
        <f t="shared" si="5"/>
        <v xml:space="preserve">      .AddAttribute(  4, "Description", "Description", "text", 0, 0, false, false, "detailed description of these banking type,this is a self documentation, possible use as hint or to information in the programm")</v>
      </c>
    </row>
    <row r="56" spans="1:13" x14ac:dyDescent="0.45">
      <c r="A56" t="s">
        <v>108</v>
      </c>
      <c r="B56">
        <v>5</v>
      </c>
      <c r="C56" t="s">
        <v>137</v>
      </c>
      <c r="D56" t="s">
        <v>137</v>
      </c>
      <c r="E56" t="s">
        <v>81</v>
      </c>
      <c r="F56">
        <v>0</v>
      </c>
      <c r="G56">
        <v>0</v>
      </c>
      <c r="H56" t="s">
        <v>57</v>
      </c>
      <c r="I56" t="s">
        <v>57</v>
      </c>
      <c r="J56" t="s">
        <v>57</v>
      </c>
      <c r="L56" t="s">
        <v>246</v>
      </c>
      <c r="M56" s="2" t="str">
        <f t="shared" si="5"/>
        <v xml:space="preserve">      .AddAttribute(  5, "Notes", "Notes", "text", 0, 0, false, false, "notes, with additional / free information for this type of banking, not used in application")</v>
      </c>
    </row>
    <row r="57" spans="1:13" x14ac:dyDescent="0.45">
      <c r="A57" t="s">
        <v>108</v>
      </c>
      <c r="B57">
        <v>6</v>
      </c>
      <c r="C57" t="s">
        <v>138</v>
      </c>
      <c r="D57" t="s">
        <v>138</v>
      </c>
      <c r="E57" t="s">
        <v>27</v>
      </c>
      <c r="F57">
        <v>0</v>
      </c>
      <c r="G57">
        <v>0</v>
      </c>
      <c r="H57" t="s">
        <v>57</v>
      </c>
      <c r="I57" t="s">
        <v>57</v>
      </c>
      <c r="J57" t="s">
        <v>57</v>
      </c>
      <c r="L57" t="s">
        <v>245</v>
      </c>
      <c r="M57" s="2" t="str">
        <f t="shared" si="5"/>
        <v xml:space="preserve">      .AddAttribute(  6, "UrgentValue", "UrgentValue", "bool", 0, 0, false, false, "boolean value that makes this entity of banking type to a system value (cannot be changed as it is used directly by the program)")</v>
      </c>
    </row>
    <row r="59" spans="1:13" x14ac:dyDescent="0.45">
      <c r="A59" t="s">
        <v>109</v>
      </c>
      <c r="B59">
        <v>0</v>
      </c>
      <c r="C59" t="s">
        <v>123</v>
      </c>
      <c r="D59" t="s">
        <v>186</v>
      </c>
      <c r="E59" t="s">
        <v>173</v>
      </c>
      <c r="H59" t="s">
        <v>174</v>
      </c>
      <c r="I59" t="s">
        <v>175</v>
      </c>
      <c r="M59" s="2" t="str">
        <f>CONCATENATE("   ",$M$1,".AddTable(","""",A59,""", ",CONCATENATE("EMyEntityType::",E59),", """,IF(ISERROR(FIND(".",C59)),"",RIGHT(C59, LEN(C59) - FIND(".",C59))),""", """,IF(ISERROR(FIND(".",C59)),"",LEFT(C59, FIND(".",C59)-1)),""", """,IF(ISERROR(FIND("::",D59)),"",RIGHT(D59, LEN(D59) - FIND("::",D59)-1)),""", """,IF(ISERROR(FIND("::",D59)),"",LEFT(D59, FIND("::",D59)-1)),""", """,H59,""", """,I59,""", """,L59,""")")</f>
        <v xml:space="preserve">   dictionary.AddTable("Countries", EMyEntityType::table, "Countries", "dbo", "Countries", "myTest", "System", "SQL", "")</v>
      </c>
    </row>
    <row r="60" spans="1:13" x14ac:dyDescent="0.45">
      <c r="A60" t="s">
        <v>109</v>
      </c>
      <c r="B60">
        <v>1</v>
      </c>
      <c r="C60" t="s">
        <v>139</v>
      </c>
      <c r="D60" t="s">
        <v>139</v>
      </c>
      <c r="E60" t="s">
        <v>20</v>
      </c>
      <c r="F60">
        <v>0</v>
      </c>
      <c r="G60">
        <v>0</v>
      </c>
      <c r="H60" t="s">
        <v>58</v>
      </c>
      <c r="I60" t="s">
        <v>58</v>
      </c>
      <c r="J60" t="s">
        <v>57</v>
      </c>
      <c r="M60" s="2" t="str">
        <f t="shared" ref="M60:M67" si="6">CONCATENATE("      .AddAttribute(",REPT(" ",3-LEN(TEXT(B60, "0"))),TEXT(B60, "0"),", """,C60,""", """,D60,""", """,E60,""", ",F60,", ",G60,", ",H60,", ",I60,", """,L60,"""",    ")")</f>
        <v xml:space="preserve">      .AddAttribute(  1, "ID", "ID", "integer", 0, 0, true, true, "")</v>
      </c>
    </row>
    <row r="61" spans="1:13" x14ac:dyDescent="0.45">
      <c r="A61" t="s">
        <v>109</v>
      </c>
      <c r="B61">
        <v>2</v>
      </c>
      <c r="C61" t="s">
        <v>134</v>
      </c>
      <c r="D61" t="s">
        <v>134</v>
      </c>
      <c r="E61" t="s">
        <v>19</v>
      </c>
      <c r="F61">
        <v>50</v>
      </c>
      <c r="G61">
        <v>0</v>
      </c>
      <c r="H61" t="s">
        <v>58</v>
      </c>
      <c r="I61" t="s">
        <v>57</v>
      </c>
      <c r="J61" t="s">
        <v>58</v>
      </c>
      <c r="M61" s="2" t="str">
        <f t="shared" si="6"/>
        <v xml:space="preserve">      .AddAttribute(  2, "Denotation", "Denotation", "varchar", 50, 0, true, false, "")</v>
      </c>
    </row>
    <row r="62" spans="1:13" x14ac:dyDescent="0.45">
      <c r="A62" t="s">
        <v>109</v>
      </c>
      <c r="B62">
        <v>3</v>
      </c>
      <c r="C62" t="s">
        <v>135</v>
      </c>
      <c r="D62" t="s">
        <v>135</v>
      </c>
      <c r="E62" t="s">
        <v>19</v>
      </c>
      <c r="F62">
        <v>10</v>
      </c>
      <c r="G62">
        <v>0</v>
      </c>
      <c r="H62" t="s">
        <v>57</v>
      </c>
      <c r="I62" t="s">
        <v>57</v>
      </c>
      <c r="J62" t="s">
        <v>57</v>
      </c>
      <c r="M62" s="2" t="str">
        <f t="shared" si="6"/>
        <v xml:space="preserve">      .AddAttribute(  3, "Abbreviation", "Abbreviation", "varchar", 10, 0, false, false, "")</v>
      </c>
    </row>
    <row r="63" spans="1:13" x14ac:dyDescent="0.45">
      <c r="A63" t="s">
        <v>109</v>
      </c>
      <c r="B63">
        <v>4</v>
      </c>
      <c r="C63" t="s">
        <v>136</v>
      </c>
      <c r="D63" t="s">
        <v>136</v>
      </c>
      <c r="E63" t="s">
        <v>81</v>
      </c>
      <c r="F63">
        <v>0</v>
      </c>
      <c r="G63">
        <v>0</v>
      </c>
      <c r="H63" t="s">
        <v>57</v>
      </c>
      <c r="I63" t="s">
        <v>57</v>
      </c>
      <c r="J63" t="s">
        <v>57</v>
      </c>
      <c r="M63" s="2" t="str">
        <f t="shared" si="6"/>
        <v xml:space="preserve">      .AddAttribute(  4, "Description", "Description", "text", 0, 0, false, false, "")</v>
      </c>
    </row>
    <row r="64" spans="1:13" x14ac:dyDescent="0.45">
      <c r="A64" t="s">
        <v>109</v>
      </c>
      <c r="B64">
        <v>5</v>
      </c>
      <c r="C64" t="s">
        <v>154</v>
      </c>
      <c r="D64" t="s">
        <v>154</v>
      </c>
      <c r="E64" t="s">
        <v>19</v>
      </c>
      <c r="F64">
        <v>10</v>
      </c>
      <c r="G64">
        <v>0</v>
      </c>
      <c r="H64" t="s">
        <v>57</v>
      </c>
      <c r="I64" t="s">
        <v>57</v>
      </c>
      <c r="J64" t="s">
        <v>57</v>
      </c>
      <c r="M64" s="2" t="str">
        <f t="shared" si="6"/>
        <v xml:space="preserve">      .AddAttribute(  5, "CountryDialing", "CountryDialing", "varchar", 10, 0, false, false, "")</v>
      </c>
    </row>
    <row r="65" spans="1:13" x14ac:dyDescent="0.45">
      <c r="A65" t="s">
        <v>109</v>
      </c>
      <c r="B65">
        <v>6</v>
      </c>
      <c r="C65" t="s">
        <v>155</v>
      </c>
      <c r="D65" t="s">
        <v>155</v>
      </c>
      <c r="E65" t="s">
        <v>19</v>
      </c>
      <c r="F65">
        <v>5</v>
      </c>
      <c r="G65">
        <v>0</v>
      </c>
      <c r="H65" t="s">
        <v>57</v>
      </c>
      <c r="I65" t="s">
        <v>57</v>
      </c>
      <c r="J65" t="s">
        <v>57</v>
      </c>
      <c r="M65" s="2" t="str">
        <f t="shared" si="6"/>
        <v xml:space="preserve">      .AddAttribute(  6, "ISO_Code", "ISO_Code", "varchar", 5, 0, false, false, "")</v>
      </c>
    </row>
    <row r="66" spans="1:13" x14ac:dyDescent="0.45">
      <c r="A66" t="s">
        <v>109</v>
      </c>
      <c r="B66">
        <v>7</v>
      </c>
      <c r="C66" t="s">
        <v>137</v>
      </c>
      <c r="D66" t="s">
        <v>137</v>
      </c>
      <c r="E66" t="s">
        <v>81</v>
      </c>
      <c r="F66">
        <v>0</v>
      </c>
      <c r="G66">
        <v>0</v>
      </c>
      <c r="H66" t="s">
        <v>57</v>
      </c>
      <c r="I66" t="s">
        <v>57</v>
      </c>
      <c r="J66" t="s">
        <v>57</v>
      </c>
      <c r="M66" s="2" t="str">
        <f t="shared" si="6"/>
        <v xml:space="preserve">      .AddAttribute(  7, "Notes", "Notes", "text", 0, 0, false, false, "")</v>
      </c>
    </row>
    <row r="67" spans="1:13" x14ac:dyDescent="0.45">
      <c r="A67" t="s">
        <v>109</v>
      </c>
      <c r="B67">
        <v>8</v>
      </c>
      <c r="C67" t="s">
        <v>138</v>
      </c>
      <c r="D67" t="s">
        <v>138</v>
      </c>
      <c r="E67" t="s">
        <v>27</v>
      </c>
      <c r="F67">
        <v>0</v>
      </c>
      <c r="G67">
        <v>0</v>
      </c>
      <c r="H67" t="s">
        <v>57</v>
      </c>
      <c r="I67" t="s">
        <v>57</v>
      </c>
      <c r="J67" t="s">
        <v>57</v>
      </c>
      <c r="L67" t="s">
        <v>281</v>
      </c>
      <c r="M67" s="2" t="str">
        <f t="shared" si="6"/>
        <v xml:space="preserve">      .AddAttribute(  8, "UrgentValue", "UrgentValue", "bool", 0, 0, false, false, "boolean value that makes this entity of country to a system value (cannot be changed as it is used directly by the program)")</v>
      </c>
    </row>
    <row r="69" spans="1:13" x14ac:dyDescent="0.45">
      <c r="A69" t="s">
        <v>110</v>
      </c>
      <c r="B69">
        <v>0</v>
      </c>
      <c r="C69" t="s">
        <v>124</v>
      </c>
      <c r="D69" t="s">
        <v>185</v>
      </c>
      <c r="E69" t="s">
        <v>173</v>
      </c>
      <c r="H69" t="s">
        <v>174</v>
      </c>
      <c r="I69" t="s">
        <v>175</v>
      </c>
      <c r="M69" s="2" t="str">
        <f>CONCATENATE("   ",$M$1,".AddTable(","""",A69,""", ",CONCATENATE("EMyEntityType::",E69),", """,IF(ISERROR(FIND(".",C69)),"",RIGHT(C69, LEN(C69) - FIND(".",C69))),""", """,IF(ISERROR(FIND(".",C69)),"",LEFT(C69, FIND(".",C69)-1)),""", """,IF(ISERROR(FIND("::",D69)),"",RIGHT(D69, LEN(D69) - FIND("::",D69)-1)),""", """,IF(ISERROR(FIND("::",D69)),"",LEFT(D69, FIND("::",D69)-1)),""", """,H69,""", """,I69,""", """,L69,""")")</f>
        <v xml:space="preserve">   dictionary.AddTable("Departments", EMyEntityType::table, "Departments", "dbo", "Departments", "myTest", "System", "SQL", "")</v>
      </c>
    </row>
    <row r="70" spans="1:13" x14ac:dyDescent="0.45">
      <c r="A70" t="s">
        <v>110</v>
      </c>
      <c r="B70">
        <v>1</v>
      </c>
      <c r="C70" t="s">
        <v>139</v>
      </c>
      <c r="D70" t="s">
        <v>139</v>
      </c>
      <c r="E70" t="s">
        <v>20</v>
      </c>
      <c r="F70">
        <v>0</v>
      </c>
      <c r="G70">
        <v>0</v>
      </c>
      <c r="H70" t="s">
        <v>58</v>
      </c>
      <c r="I70" t="s">
        <v>58</v>
      </c>
      <c r="J70" t="s">
        <v>57</v>
      </c>
      <c r="M70" s="2" t="str">
        <f t="shared" ref="M70:M74" si="7">CONCATENATE("      .AddAttribute(",REPT(" ",3-LEN(TEXT(B70, "0"))),TEXT(B70, "0"),", """,C70,""", """,D70,""", """,E70,""", ",F70,", ",G70,", ",H70,", ",I70,", """,L70,"""",    ")")</f>
        <v xml:space="preserve">      .AddAttribute(  1, "ID", "ID", "integer", 0, 0, true, true, "")</v>
      </c>
    </row>
    <row r="71" spans="1:13" x14ac:dyDescent="0.45">
      <c r="A71" t="s">
        <v>110</v>
      </c>
      <c r="B71">
        <v>2</v>
      </c>
      <c r="C71" t="s">
        <v>134</v>
      </c>
      <c r="D71" t="s">
        <v>134</v>
      </c>
      <c r="E71" t="s">
        <v>19</v>
      </c>
      <c r="F71">
        <v>50</v>
      </c>
      <c r="G71">
        <v>0</v>
      </c>
      <c r="H71" t="s">
        <v>58</v>
      </c>
      <c r="I71" t="s">
        <v>57</v>
      </c>
      <c r="J71" t="s">
        <v>58</v>
      </c>
      <c r="M71" s="2" t="str">
        <f t="shared" si="7"/>
        <v xml:space="preserve">      .AddAttribute(  2, "Denotation", "Denotation", "varchar", 50, 0, true, false, "")</v>
      </c>
    </row>
    <row r="72" spans="1:13" x14ac:dyDescent="0.45">
      <c r="A72" t="s">
        <v>110</v>
      </c>
      <c r="B72">
        <v>3</v>
      </c>
      <c r="C72" t="s">
        <v>135</v>
      </c>
      <c r="D72" t="s">
        <v>135</v>
      </c>
      <c r="E72" t="s">
        <v>19</v>
      </c>
      <c r="F72">
        <v>10</v>
      </c>
      <c r="G72">
        <v>0</v>
      </c>
      <c r="H72" t="s">
        <v>57</v>
      </c>
      <c r="I72" t="s">
        <v>57</v>
      </c>
      <c r="J72" t="s">
        <v>57</v>
      </c>
      <c r="M72" s="2" t="str">
        <f t="shared" si="7"/>
        <v xml:space="preserve">      .AddAttribute(  3, "Abbreviation", "Abbreviation", "varchar", 10, 0, false, false, "")</v>
      </c>
    </row>
    <row r="73" spans="1:13" x14ac:dyDescent="0.45">
      <c r="A73" t="s">
        <v>110</v>
      </c>
      <c r="B73">
        <v>4</v>
      </c>
      <c r="C73" t="s">
        <v>136</v>
      </c>
      <c r="D73" t="s">
        <v>136</v>
      </c>
      <c r="E73" t="s">
        <v>81</v>
      </c>
      <c r="F73">
        <v>0</v>
      </c>
      <c r="G73">
        <v>0</v>
      </c>
      <c r="H73" t="s">
        <v>57</v>
      </c>
      <c r="I73" t="s">
        <v>57</v>
      </c>
      <c r="J73" t="s">
        <v>57</v>
      </c>
      <c r="M73" s="2" t="str">
        <f t="shared" si="7"/>
        <v xml:space="preserve">      .AddAttribute(  4, "Description", "Description", "text", 0, 0, false, false, "")</v>
      </c>
    </row>
    <row r="74" spans="1:13" x14ac:dyDescent="0.45">
      <c r="A74" t="s">
        <v>110</v>
      </c>
      <c r="B74">
        <v>5</v>
      </c>
      <c r="C74" t="s">
        <v>137</v>
      </c>
      <c r="D74" t="s">
        <v>137</v>
      </c>
      <c r="E74" t="s">
        <v>81</v>
      </c>
      <c r="F74">
        <v>0</v>
      </c>
      <c r="G74">
        <v>0</v>
      </c>
      <c r="H74" t="s">
        <v>57</v>
      </c>
      <c r="I74" t="s">
        <v>57</v>
      </c>
      <c r="J74" t="s">
        <v>57</v>
      </c>
      <c r="M74" s="2" t="str">
        <f t="shared" si="7"/>
        <v xml:space="preserve">      .AddAttribute(  5, "Notes", "Notes", "text", 0, 0, false, false, "")</v>
      </c>
    </row>
    <row r="76" spans="1:13" x14ac:dyDescent="0.45">
      <c r="A76" t="s">
        <v>111</v>
      </c>
      <c r="B76">
        <v>0</v>
      </c>
      <c r="C76" t="s">
        <v>125</v>
      </c>
      <c r="D76" t="s">
        <v>184</v>
      </c>
      <c r="E76" t="s">
        <v>173</v>
      </c>
      <c r="H76" t="s">
        <v>174</v>
      </c>
      <c r="I76" t="s">
        <v>175</v>
      </c>
      <c r="L76" t="s">
        <v>302</v>
      </c>
      <c r="M76" s="2" t="str">
        <f>CONCATENATE("   ",$M$1,".AddTable(","""",A76,""", ",CONCATENATE("EMyEntityType::",E76),", """,IF(ISERROR(FIND(".",C76)),"",RIGHT(C76, LEN(C76) - FIND(".",C76))),""", """,IF(ISERROR(FIND(".",C76)),"",LEFT(C76, FIND(".",C76)-1)),""", """,IF(ISERROR(FIND("::",D76)),"",RIGHT(D76, LEN(D76) - FIND("::",D76)-1)),""", """,IF(ISERROR(FIND("::",D76)),"",LEFT(D76, FIND("::",D76)-1)),""", """,H76,""", """,I76,""", """,L76,""")")</f>
        <v xml:space="preserve">   dictionary.AddTable("Employees", EMyEntityType::table, "Employees", "dbo", "Employees", "myTest", "System", "SQL", "information about the employees in the company (generalization of a person)")</v>
      </c>
    </row>
    <row r="77" spans="1:13" x14ac:dyDescent="0.45">
      <c r="A77" t="s">
        <v>111</v>
      </c>
      <c r="B77">
        <v>1</v>
      </c>
      <c r="C77" t="s">
        <v>139</v>
      </c>
      <c r="D77" t="s">
        <v>139</v>
      </c>
      <c r="E77" t="s">
        <v>20</v>
      </c>
      <c r="F77">
        <v>0</v>
      </c>
      <c r="G77">
        <v>0</v>
      </c>
      <c r="H77" t="s">
        <v>58</v>
      </c>
      <c r="I77" t="s">
        <v>58</v>
      </c>
      <c r="J77" t="s">
        <v>57</v>
      </c>
      <c r="L77" t="s">
        <v>289</v>
      </c>
      <c r="M77" s="2" t="str">
        <f t="shared" ref="M77:M85" si="8">CONCATENATE("      .AddAttribute(",REPT(" ",3-LEN(TEXT(B77, "0"))),TEXT(B77, "0"),", """,C77,""", """,D77,""", """,E77,""", ",F77,", ",G77,", ",H77,", ",I77,", """,L77,"""",    ")")</f>
        <v xml:space="preserve">      .AddAttribute(  1, "ID", "ID", "integer", 0, 0, true, true, "attribute as foreign key from an attribute ID of a person entity to which these account details belong")</v>
      </c>
    </row>
    <row r="78" spans="1:13" x14ac:dyDescent="0.45">
      <c r="A78" t="s">
        <v>111</v>
      </c>
      <c r="B78">
        <v>2</v>
      </c>
      <c r="C78" t="s">
        <v>156</v>
      </c>
      <c r="D78" t="s">
        <v>156</v>
      </c>
      <c r="E78" t="s">
        <v>19</v>
      </c>
      <c r="F78">
        <v>15</v>
      </c>
      <c r="G78">
        <v>0</v>
      </c>
      <c r="H78" t="s">
        <v>58</v>
      </c>
      <c r="I78" t="s">
        <v>57</v>
      </c>
      <c r="J78" t="s">
        <v>58</v>
      </c>
      <c r="L78" t="s">
        <v>301</v>
      </c>
      <c r="M78" s="2" t="str">
        <f t="shared" si="8"/>
        <v xml:space="preserve">      .AddAttribute(  2, "PersonNumber", "PersonNumber", "varchar", 15, 0, true, false, "unique HR number of the employee in the company, assigned by the HR department")</v>
      </c>
    </row>
    <row r="79" spans="1:13" x14ac:dyDescent="0.45">
      <c r="A79" t="s">
        <v>111</v>
      </c>
      <c r="B79">
        <v>3</v>
      </c>
      <c r="C79" t="s">
        <v>157</v>
      </c>
      <c r="D79" t="s">
        <v>157</v>
      </c>
      <c r="E79" t="s">
        <v>25</v>
      </c>
      <c r="F79">
        <v>9</v>
      </c>
      <c r="G79">
        <v>2</v>
      </c>
      <c r="H79" t="s">
        <v>57</v>
      </c>
      <c r="I79" t="s">
        <v>57</v>
      </c>
      <c r="J79" t="s">
        <v>57</v>
      </c>
      <c r="L79" t="s">
        <v>300</v>
      </c>
      <c r="M79" s="2" t="str">
        <f t="shared" si="8"/>
        <v xml:space="preserve">      .AddAttribute(  3, "Salery", "Salery", "decimal", 9, 2, false, false, "salary / income that the employee currently receives")</v>
      </c>
    </row>
    <row r="80" spans="1:13" x14ac:dyDescent="0.45">
      <c r="A80" t="s">
        <v>111</v>
      </c>
      <c r="B80">
        <v>4</v>
      </c>
      <c r="C80" t="s">
        <v>158</v>
      </c>
      <c r="D80" t="s">
        <v>158</v>
      </c>
      <c r="E80" t="s">
        <v>22</v>
      </c>
      <c r="F80">
        <v>0</v>
      </c>
      <c r="G80">
        <v>0</v>
      </c>
      <c r="H80" t="s">
        <v>57</v>
      </c>
      <c r="I80" t="s">
        <v>57</v>
      </c>
      <c r="J80" t="s">
        <v>57</v>
      </c>
      <c r="L80" t="s">
        <v>299</v>
      </c>
      <c r="M80" s="2" t="str">
        <f t="shared" si="8"/>
        <v xml:space="preserve">      .AddAttribute(  4, "StartOfJob", "StartOfJob", "date", 0, 0, false, false, "starting date of the employee in the company (can be extended later for the start of the current position)")</v>
      </c>
    </row>
    <row r="81" spans="1:13" x14ac:dyDescent="0.45">
      <c r="A81" t="s">
        <v>111</v>
      </c>
      <c r="B81">
        <v>5</v>
      </c>
      <c r="C81" t="s">
        <v>159</v>
      </c>
      <c r="D81" t="s">
        <v>159</v>
      </c>
      <c r="E81" t="s">
        <v>20</v>
      </c>
      <c r="F81">
        <v>0</v>
      </c>
      <c r="G81">
        <v>0</v>
      </c>
      <c r="H81" t="s">
        <v>57</v>
      </c>
      <c r="I81" t="s">
        <v>57</v>
      </c>
      <c r="J81" t="s">
        <v>57</v>
      </c>
      <c r="L81" t="s">
        <v>298</v>
      </c>
      <c r="M81" s="2" t="str">
        <f t="shared" si="8"/>
        <v xml:space="preserve">      .AddAttribute(  5, "JobPosition", "JobPosition", "integer", 0, 0, false, false, "current position / activity of the employee within the company")</v>
      </c>
    </row>
    <row r="82" spans="1:13" x14ac:dyDescent="0.45">
      <c r="A82" t="s">
        <v>111</v>
      </c>
      <c r="B82">
        <v>6</v>
      </c>
      <c r="C82" t="s">
        <v>160</v>
      </c>
      <c r="D82" t="s">
        <v>160</v>
      </c>
      <c r="E82" t="s">
        <v>19</v>
      </c>
      <c r="F82">
        <v>100</v>
      </c>
      <c r="G82">
        <v>0</v>
      </c>
      <c r="H82" t="s">
        <v>57</v>
      </c>
      <c r="I82" t="s">
        <v>57</v>
      </c>
      <c r="J82" t="s">
        <v>57</v>
      </c>
      <c r="L82" t="s">
        <v>290</v>
      </c>
      <c r="M82" s="2" t="str">
        <f t="shared" si="8"/>
        <v xml:space="preserve">      .AddAttribute(  6, "JobSpec", "JobSpec", "varchar", 100, 0, false, false, "Spezifikation der Tätigkeit als Freitext um dieses zu konkretisieren")</v>
      </c>
    </row>
    <row r="83" spans="1:13" x14ac:dyDescent="0.45">
      <c r="A83" t="s">
        <v>111</v>
      </c>
      <c r="B83">
        <v>7</v>
      </c>
      <c r="C83" t="s">
        <v>161</v>
      </c>
      <c r="D83" t="s">
        <v>161</v>
      </c>
      <c r="E83" t="s">
        <v>20</v>
      </c>
      <c r="F83">
        <v>0</v>
      </c>
      <c r="G83">
        <v>0</v>
      </c>
      <c r="H83" t="s">
        <v>58</v>
      </c>
      <c r="I83" t="s">
        <v>57</v>
      </c>
      <c r="J83" t="s">
        <v>57</v>
      </c>
      <c r="L83" t="s">
        <v>297</v>
      </c>
      <c r="M83" s="2" t="str">
        <f t="shared" si="8"/>
        <v xml:space="preserve">      .AddAttribute(  7, "Department", "Department", "integer", 0, 0, true, false, "id of the department where the employee currently work")</v>
      </c>
    </row>
    <row r="84" spans="1:13" x14ac:dyDescent="0.45">
      <c r="A84" t="s">
        <v>111</v>
      </c>
      <c r="B84">
        <v>8</v>
      </c>
      <c r="C84" t="s">
        <v>162</v>
      </c>
      <c r="D84" t="s">
        <v>162</v>
      </c>
      <c r="E84" t="s">
        <v>19</v>
      </c>
      <c r="F84">
        <v>20</v>
      </c>
      <c r="G84">
        <v>0</v>
      </c>
      <c r="H84" t="s">
        <v>58</v>
      </c>
      <c r="I84" t="s">
        <v>57</v>
      </c>
      <c r="J84" t="s">
        <v>58</v>
      </c>
      <c r="L84" t="s">
        <v>303</v>
      </c>
      <c r="M84" s="2" t="str">
        <f t="shared" si="8"/>
        <v xml:space="preserve">      .AddAttribute(  8, "SocialNummer", "SocialNummer", "varchar", 20, 0, true, false, "social insurance number of the employee")</v>
      </c>
    </row>
    <row r="85" spans="1:13" x14ac:dyDescent="0.45">
      <c r="A85" t="s">
        <v>111</v>
      </c>
      <c r="B85">
        <v>9</v>
      </c>
      <c r="C85" t="s">
        <v>163</v>
      </c>
      <c r="D85" t="s">
        <v>163</v>
      </c>
      <c r="E85" t="s">
        <v>27</v>
      </c>
      <c r="F85">
        <v>0</v>
      </c>
      <c r="G85">
        <v>0</v>
      </c>
      <c r="H85" t="s">
        <v>57</v>
      </c>
      <c r="I85" t="s">
        <v>57</v>
      </c>
      <c r="J85" t="s">
        <v>57</v>
      </c>
      <c r="L85" t="s">
        <v>304</v>
      </c>
      <c r="M85" s="2" t="str">
        <f t="shared" si="8"/>
        <v xml:space="preserve">      .AddAttribute(  9, "Active", "Active", "bool", 0, 0, false, false, "boolean value indicating whether the person is active in the company")</v>
      </c>
    </row>
    <row r="87" spans="1:13" x14ac:dyDescent="0.45">
      <c r="A87" t="s">
        <v>112</v>
      </c>
      <c r="B87">
        <v>0</v>
      </c>
      <c r="C87" t="s">
        <v>126</v>
      </c>
      <c r="D87" t="s">
        <v>183</v>
      </c>
      <c r="E87" t="s">
        <v>173</v>
      </c>
      <c r="H87" t="s">
        <v>174</v>
      </c>
      <c r="I87" t="s">
        <v>175</v>
      </c>
      <c r="L87" t="s">
        <v>274</v>
      </c>
      <c r="M87" s="2" t="str">
        <f>CONCATENATE("   ",$M$1,".AddTable(","""",A87,""", ",CONCATENATE("EMyEntityType::",E87),", """,IF(ISERROR(FIND(".",C87)),"",RIGHT(C87, LEN(C87) - FIND(".",C87))),""", """,IF(ISERROR(FIND(".",C87)),"",LEFT(C87, FIND(".",C87)-1)),""", """,IF(ISERROR(FIND("::",D87)),"",RIGHT(D87, LEN(D87) - FIND("::",D87)-1)),""", """,IF(ISERROR(FIND("::",D87)),"",LEFT(D87, FIND("::",D87)-1)),""", """,H87,""", """,I87,""", """,L87,""")")</f>
        <v xml:space="preserve">   dictionary.AddTable("FamilyTypes", EMyEntityType::table, "FamilyTypes", "dbo", "FamilyTypes", "myTest", "System", "SQL", "domain / range of values for family types, this is an extension of the relationship between persons and banking accounts. This table have additional informations")</v>
      </c>
    </row>
    <row r="88" spans="1:13" x14ac:dyDescent="0.45">
      <c r="A88" t="s">
        <v>112</v>
      </c>
      <c r="B88">
        <v>1</v>
      </c>
      <c r="C88" t="s">
        <v>139</v>
      </c>
      <c r="D88" t="s">
        <v>139</v>
      </c>
      <c r="E88" t="s">
        <v>20</v>
      </c>
      <c r="F88">
        <v>0</v>
      </c>
      <c r="G88">
        <v>0</v>
      </c>
      <c r="H88" t="s">
        <v>58</v>
      </c>
      <c r="I88" t="s">
        <v>58</v>
      </c>
      <c r="J88" t="s">
        <v>57</v>
      </c>
      <c r="L88" t="s">
        <v>275</v>
      </c>
      <c r="M88" s="2" t="str">
        <f t="shared" ref="M88:M93" si="9">CONCATENATE("      .AddAttribute(",REPT(" ",3-LEN(TEXT(B88, "0"))),TEXT(B88, "0"),", """,C88,""", """,D88,""", """,E88,""", ",F88,", ",G88,", ",H88,", ",I88,", """,L88,"""",    ")")</f>
        <v xml:space="preserve">      .AddAttribute(  1, "ID", "ID", "integer", 0, 0, true, true, "unique identification number for a record in this domain with family types")</v>
      </c>
    </row>
    <row r="89" spans="1:13" x14ac:dyDescent="0.45">
      <c r="A89" t="s">
        <v>112</v>
      </c>
      <c r="B89">
        <v>2</v>
      </c>
      <c r="C89" t="s">
        <v>134</v>
      </c>
      <c r="D89" t="s">
        <v>134</v>
      </c>
      <c r="E89" t="s">
        <v>19</v>
      </c>
      <c r="F89">
        <v>50</v>
      </c>
      <c r="G89">
        <v>0</v>
      </c>
      <c r="H89" t="s">
        <v>58</v>
      </c>
      <c r="I89" t="s">
        <v>57</v>
      </c>
      <c r="J89" t="s">
        <v>58</v>
      </c>
      <c r="L89" t="s">
        <v>276</v>
      </c>
      <c r="M89" s="2" t="str">
        <f t="shared" si="9"/>
        <v xml:space="preserve">      .AddAttribute(  2, "Denotation", "Denotation", "varchar", 50, 0, true, false, "unique description of a family type entity in the domain, used in selections, comboboxes, … (key canditate)")</v>
      </c>
    </row>
    <row r="90" spans="1:13" x14ac:dyDescent="0.45">
      <c r="A90" t="s">
        <v>112</v>
      </c>
      <c r="B90">
        <v>3</v>
      </c>
      <c r="C90" t="s">
        <v>135</v>
      </c>
      <c r="D90" t="s">
        <v>135</v>
      </c>
      <c r="E90" t="s">
        <v>19</v>
      </c>
      <c r="F90">
        <v>10</v>
      </c>
      <c r="G90">
        <v>0</v>
      </c>
      <c r="H90" t="s">
        <v>57</v>
      </c>
      <c r="I90" t="s">
        <v>57</v>
      </c>
      <c r="J90" t="s">
        <v>57</v>
      </c>
      <c r="L90" t="s">
        <v>248</v>
      </c>
      <c r="M90" s="2" t="str">
        <f t="shared" si="9"/>
        <v xml:space="preserve">      .AddAttribute(  3, "Abbreviation", "Abbreviation", "varchar", 10, 0, false, false, "non-representative abbreviation that can be used for a short advertisement for this banking type")</v>
      </c>
    </row>
    <row r="91" spans="1:13" x14ac:dyDescent="0.45">
      <c r="A91" t="s">
        <v>112</v>
      </c>
      <c r="B91">
        <v>4</v>
      </c>
      <c r="C91" t="s">
        <v>136</v>
      </c>
      <c r="D91" t="s">
        <v>136</v>
      </c>
      <c r="E91" t="s">
        <v>81</v>
      </c>
      <c r="F91">
        <v>0</v>
      </c>
      <c r="G91">
        <v>0</v>
      </c>
      <c r="H91" t="s">
        <v>57</v>
      </c>
      <c r="I91" t="s">
        <v>57</v>
      </c>
      <c r="J91" t="s">
        <v>57</v>
      </c>
      <c r="L91" t="s">
        <v>277</v>
      </c>
      <c r="M91" s="2" t="str">
        <f t="shared" si="9"/>
        <v xml:space="preserve">      .AddAttribute(  4, "Description", "Description", "text", 0, 0, false, false, "detailed description of these family type,this is a self documentation, possible use as hint or to information in the programm")</v>
      </c>
    </row>
    <row r="92" spans="1:13" x14ac:dyDescent="0.45">
      <c r="A92" t="s">
        <v>112</v>
      </c>
      <c r="B92">
        <v>5</v>
      </c>
      <c r="C92" t="s">
        <v>137</v>
      </c>
      <c r="D92" t="s">
        <v>137</v>
      </c>
      <c r="E92" t="s">
        <v>81</v>
      </c>
      <c r="F92">
        <v>0</v>
      </c>
      <c r="G92">
        <v>0</v>
      </c>
      <c r="H92" t="s">
        <v>57</v>
      </c>
      <c r="I92" t="s">
        <v>57</v>
      </c>
      <c r="J92" t="s">
        <v>57</v>
      </c>
      <c r="L92" t="s">
        <v>278</v>
      </c>
      <c r="M92" s="2" t="str">
        <f t="shared" si="9"/>
        <v xml:space="preserve">      .AddAttribute(  5, "Notes", "Notes", "text", 0, 0, false, false, "notes, with additional / free information for this type of family status, not used in application")</v>
      </c>
    </row>
    <row r="93" spans="1:13" x14ac:dyDescent="0.45">
      <c r="A93" t="s">
        <v>112</v>
      </c>
      <c r="B93">
        <v>6</v>
      </c>
      <c r="C93" t="s">
        <v>138</v>
      </c>
      <c r="D93" t="s">
        <v>138</v>
      </c>
      <c r="E93" t="s">
        <v>27</v>
      </c>
      <c r="F93">
        <v>0</v>
      </c>
      <c r="G93">
        <v>0</v>
      </c>
      <c r="H93" t="s">
        <v>57</v>
      </c>
      <c r="I93" t="s">
        <v>57</v>
      </c>
      <c r="J93" t="s">
        <v>57</v>
      </c>
      <c r="L93" t="s">
        <v>279</v>
      </c>
      <c r="M93" s="2" t="str">
        <f t="shared" si="9"/>
        <v xml:space="preserve">      .AddAttribute(  6, "UrgentValue", "UrgentValue", "bool", 0, 0, false, false, "boolean value that makes this entity of family type to a system value (cannot be changed as it is used directly by the program)")</v>
      </c>
    </row>
    <row r="95" spans="1:13" x14ac:dyDescent="0.45">
      <c r="A95" t="s">
        <v>113</v>
      </c>
      <c r="B95">
        <v>0</v>
      </c>
      <c r="C95" t="s">
        <v>127</v>
      </c>
      <c r="D95" t="s">
        <v>182</v>
      </c>
      <c r="E95" t="s">
        <v>173</v>
      </c>
      <c r="H95" t="s">
        <v>174</v>
      </c>
      <c r="I95" t="s">
        <v>175</v>
      </c>
      <c r="M95" s="2" t="str">
        <f>CONCATENATE("   ",$M$1,".AddTable(","""",A95,""", ",CONCATENATE("EMyEntityType::",E95),", """,IF(ISERROR(FIND(".",C95)),"",RIGHT(C95, LEN(C95) - FIND(".",C95))),""", """,IF(ISERROR(FIND(".",C95)),"",LEFT(C95, FIND(".",C95)-1)),""", """,IF(ISERROR(FIND("::",D95)),"",RIGHT(D95, LEN(D95) - FIND("::",D95)-1)),""", """,IF(ISERROR(FIND("::",D95)),"",LEFT(D95, FIND("::",D95)-1)),""", """,H95,""", """,I95,""", """,L95,""")")</f>
        <v xml:space="preserve">   dictionary.AddTable("FormOfAddress", EMyEntityType::table, "FormOfAddress", "dbo", "FormOfAddress", "myTest", "System", "SQL", "")</v>
      </c>
    </row>
    <row r="96" spans="1:13" x14ac:dyDescent="0.45">
      <c r="A96" t="s">
        <v>113</v>
      </c>
      <c r="B96">
        <v>1</v>
      </c>
      <c r="C96" t="s">
        <v>139</v>
      </c>
      <c r="D96" t="s">
        <v>139</v>
      </c>
      <c r="E96" t="s">
        <v>20</v>
      </c>
      <c r="F96">
        <v>0</v>
      </c>
      <c r="G96">
        <v>0</v>
      </c>
      <c r="H96" t="s">
        <v>58</v>
      </c>
      <c r="I96" t="s">
        <v>58</v>
      </c>
      <c r="J96" t="s">
        <v>57</v>
      </c>
      <c r="M96" s="2" t="str">
        <f t="shared" ref="M96:M104" si="10">CONCATENATE("      .AddAttribute(",REPT(" ",3-LEN(TEXT(B96, "0"))),TEXT(B96, "0"),", """,C96,""", """,D96,""", """,E96,""", ",F96,", ",G96,", ",H96,", ",I96,", """,L96,"""",    ")")</f>
        <v xml:space="preserve">      .AddAttribute(  1, "ID", "ID", "integer", 0, 0, true, true, "")</v>
      </c>
    </row>
    <row r="97" spans="1:13" x14ac:dyDescent="0.45">
      <c r="A97" t="s">
        <v>113</v>
      </c>
      <c r="B97">
        <v>2</v>
      </c>
      <c r="C97" t="s">
        <v>134</v>
      </c>
      <c r="D97" t="s">
        <v>134</v>
      </c>
      <c r="E97" t="s">
        <v>19</v>
      </c>
      <c r="F97">
        <v>50</v>
      </c>
      <c r="G97">
        <v>0</v>
      </c>
      <c r="H97" t="s">
        <v>58</v>
      </c>
      <c r="I97" t="s">
        <v>57</v>
      </c>
      <c r="J97" t="s">
        <v>58</v>
      </c>
      <c r="M97" s="2" t="str">
        <f t="shared" si="10"/>
        <v xml:space="preserve">      .AddAttribute(  2, "Denotation", "Denotation", "varchar", 50, 0, true, false, "")</v>
      </c>
    </row>
    <row r="98" spans="1:13" x14ac:dyDescent="0.45">
      <c r="A98" t="s">
        <v>113</v>
      </c>
      <c r="B98">
        <v>3</v>
      </c>
      <c r="C98" t="s">
        <v>135</v>
      </c>
      <c r="D98" t="s">
        <v>135</v>
      </c>
      <c r="E98" t="s">
        <v>19</v>
      </c>
      <c r="F98">
        <v>10</v>
      </c>
      <c r="G98">
        <v>0</v>
      </c>
      <c r="H98" t="s">
        <v>57</v>
      </c>
      <c r="I98" t="s">
        <v>57</v>
      </c>
      <c r="J98" t="s">
        <v>57</v>
      </c>
      <c r="M98" s="2" t="str">
        <f t="shared" si="10"/>
        <v xml:space="preserve">      .AddAttribute(  3, "Abbreviation", "Abbreviation", "varchar", 10, 0, false, false, "")</v>
      </c>
    </row>
    <row r="99" spans="1:13" x14ac:dyDescent="0.45">
      <c r="A99" t="s">
        <v>113</v>
      </c>
      <c r="B99">
        <v>4</v>
      </c>
      <c r="C99" t="s">
        <v>136</v>
      </c>
      <c r="D99" t="s">
        <v>136</v>
      </c>
      <c r="E99" t="s">
        <v>81</v>
      </c>
      <c r="F99">
        <v>0</v>
      </c>
      <c r="G99">
        <v>0</v>
      </c>
      <c r="H99" t="s">
        <v>57</v>
      </c>
      <c r="I99" t="s">
        <v>57</v>
      </c>
      <c r="J99" t="s">
        <v>57</v>
      </c>
      <c r="M99" s="2" t="str">
        <f t="shared" si="10"/>
        <v xml:space="preserve">      .AddAttribute(  4, "Description", "Description", "text", 0, 0, false, false, "")</v>
      </c>
    </row>
    <row r="100" spans="1:13" x14ac:dyDescent="0.45">
      <c r="A100" t="s">
        <v>113</v>
      </c>
      <c r="B100">
        <v>5</v>
      </c>
      <c r="C100" t="s">
        <v>164</v>
      </c>
      <c r="D100" t="s">
        <v>164</v>
      </c>
      <c r="E100" t="s">
        <v>20</v>
      </c>
      <c r="F100">
        <v>0</v>
      </c>
      <c r="G100">
        <v>0</v>
      </c>
      <c r="H100" t="s">
        <v>57</v>
      </c>
      <c r="I100" t="s">
        <v>57</v>
      </c>
      <c r="J100" t="s">
        <v>57</v>
      </c>
      <c r="M100" s="2" t="str">
        <f t="shared" si="10"/>
        <v xml:space="preserve">      .AddAttribute(  5, "TypeSpec", "TypeSpec", "integer", 0, 0, false, false, "")</v>
      </c>
    </row>
    <row r="101" spans="1:13" x14ac:dyDescent="0.45">
      <c r="A101" t="s">
        <v>113</v>
      </c>
      <c r="B101">
        <v>6</v>
      </c>
      <c r="C101" t="s">
        <v>165</v>
      </c>
      <c r="D101" t="s">
        <v>165</v>
      </c>
      <c r="E101" t="s">
        <v>19</v>
      </c>
      <c r="F101">
        <v>50</v>
      </c>
      <c r="G101">
        <v>0</v>
      </c>
      <c r="H101" t="s">
        <v>57</v>
      </c>
      <c r="I101" t="s">
        <v>57</v>
      </c>
      <c r="J101" t="s">
        <v>57</v>
      </c>
      <c r="M101" s="2" t="str">
        <f t="shared" si="10"/>
        <v xml:space="preserve">      .AddAttribute(  6, "Salutation", "Salutation", "varchar", 50, 0, false, false, "")</v>
      </c>
    </row>
    <row r="102" spans="1:13" x14ac:dyDescent="0.45">
      <c r="A102" t="s">
        <v>113</v>
      </c>
      <c r="B102">
        <v>7</v>
      </c>
      <c r="C102" t="s">
        <v>166</v>
      </c>
      <c r="D102" t="s">
        <v>166</v>
      </c>
      <c r="E102" t="s">
        <v>19</v>
      </c>
      <c r="F102">
        <v>50</v>
      </c>
      <c r="G102">
        <v>0</v>
      </c>
      <c r="H102" t="s">
        <v>57</v>
      </c>
      <c r="I102" t="s">
        <v>57</v>
      </c>
      <c r="J102" t="s">
        <v>57</v>
      </c>
      <c r="M102" s="2" t="str">
        <f t="shared" si="10"/>
        <v xml:space="preserve">      .AddAttribute(  7, "Valediction", "Valediction", "varchar", 50, 0, false, false, "")</v>
      </c>
    </row>
    <row r="103" spans="1:13" x14ac:dyDescent="0.45">
      <c r="A103" t="s">
        <v>113</v>
      </c>
      <c r="B103">
        <v>8</v>
      </c>
      <c r="C103" t="s">
        <v>137</v>
      </c>
      <c r="D103" t="s">
        <v>137</v>
      </c>
      <c r="E103" t="s">
        <v>81</v>
      </c>
      <c r="F103">
        <v>0</v>
      </c>
      <c r="G103">
        <v>0</v>
      </c>
      <c r="H103" t="s">
        <v>57</v>
      </c>
      <c r="I103" t="s">
        <v>57</v>
      </c>
      <c r="J103" t="s">
        <v>57</v>
      </c>
      <c r="M103" s="2" t="str">
        <f t="shared" si="10"/>
        <v xml:space="preserve">      .AddAttribute(  8, "Notes", "Notes", "text", 0, 0, false, false, "")</v>
      </c>
    </row>
    <row r="104" spans="1:13" x14ac:dyDescent="0.45">
      <c r="A104" t="s">
        <v>113</v>
      </c>
      <c r="B104">
        <v>9</v>
      </c>
      <c r="C104" t="s">
        <v>138</v>
      </c>
      <c r="D104" t="s">
        <v>138</v>
      </c>
      <c r="E104" t="s">
        <v>27</v>
      </c>
      <c r="F104">
        <v>0</v>
      </c>
      <c r="G104">
        <v>0</v>
      </c>
      <c r="H104" t="s">
        <v>57</v>
      </c>
      <c r="I104" t="s">
        <v>57</v>
      </c>
      <c r="J104" t="s">
        <v>57</v>
      </c>
      <c r="L104" t="s">
        <v>280</v>
      </c>
      <c r="M104" s="2" t="str">
        <f t="shared" si="10"/>
        <v xml:space="preserve">      .AddAttribute(  9, "UrgentValue", "UrgentValue", "bool", 0, 0, false, false, "boolean value that makes this entity of form of address type to a system value (cannot be changed as it is used directly by the program)")</v>
      </c>
    </row>
    <row r="106" spans="1:13" x14ac:dyDescent="0.45">
      <c r="A106" t="s">
        <v>114</v>
      </c>
      <c r="B106">
        <v>0</v>
      </c>
      <c r="C106" t="s">
        <v>128</v>
      </c>
      <c r="D106" t="s">
        <v>181</v>
      </c>
      <c r="E106" t="s">
        <v>173</v>
      </c>
      <c r="H106" t="s">
        <v>174</v>
      </c>
      <c r="I106" t="s">
        <v>175</v>
      </c>
      <c r="M106" s="2" t="str">
        <f>CONCATENATE("   ",$M$1,".AddTable(","""",A106,""", ",CONCATENATE("EMyEntityType::",E106),", """,IF(ISERROR(FIND(".",C106)),"",RIGHT(C106, LEN(C106) - FIND(".",C106))),""", """,IF(ISERROR(FIND(".",C106)),"",LEFT(C106, FIND(".",C106)-1)),""", """,IF(ISERROR(FIND("::",D106)),"",RIGHT(D106, LEN(D106) - FIND("::",D106)-1)),""", """,IF(ISERROR(FIND("::",D106)),"",LEFT(D106, FIND("::",D106)-1)),""", """,H106,""", """,I106,""", """,L106,""")")</f>
        <v xml:space="preserve">   dictionary.AddTable("Internet", EMyEntityType::table, "Internet", "dbo", "Internet", "myTest", "System", "SQL", "")</v>
      </c>
    </row>
    <row r="107" spans="1:13" x14ac:dyDescent="0.45">
      <c r="A107" t="s">
        <v>114</v>
      </c>
      <c r="B107">
        <v>1</v>
      </c>
      <c r="C107" t="s">
        <v>139</v>
      </c>
      <c r="D107" t="s">
        <v>139</v>
      </c>
      <c r="E107" t="s">
        <v>20</v>
      </c>
      <c r="F107">
        <v>0</v>
      </c>
      <c r="G107">
        <v>0</v>
      </c>
      <c r="H107" t="s">
        <v>58</v>
      </c>
      <c r="I107" t="s">
        <v>58</v>
      </c>
      <c r="J107" t="s">
        <v>57</v>
      </c>
      <c r="M107" s="2" t="str">
        <f t="shared" ref="M107:M109" si="11">CONCATENATE("      .AddAttribute(",REPT(" ",3-LEN(TEXT(B107, "0"))),TEXT(B107, "0"),", """,C107,""", """,D107,""", """,E107,""", ",F107,", ",G107,", ",H107,", ",I107,", """,L107,"""",    ")")</f>
        <v xml:space="preserve">      .AddAttribute(  1, "ID", "ID", "integer", 0, 0, true, true, "")</v>
      </c>
    </row>
    <row r="108" spans="1:13" x14ac:dyDescent="0.45">
      <c r="A108" t="s">
        <v>114</v>
      </c>
      <c r="B108">
        <v>2</v>
      </c>
      <c r="C108" t="s">
        <v>168</v>
      </c>
      <c r="D108" t="s">
        <v>168</v>
      </c>
      <c r="E108" t="s">
        <v>20</v>
      </c>
      <c r="F108">
        <v>0</v>
      </c>
      <c r="G108">
        <v>0</v>
      </c>
      <c r="H108" t="s">
        <v>58</v>
      </c>
      <c r="I108" t="s">
        <v>58</v>
      </c>
      <c r="J108" t="s">
        <v>58</v>
      </c>
      <c r="M108" s="2" t="str">
        <f t="shared" si="11"/>
        <v xml:space="preserve">      .AddAttribute(  2, "InternetType", "InternetType", "integer", 0, 0, true, true, "")</v>
      </c>
    </row>
    <row r="109" spans="1:13" x14ac:dyDescent="0.45">
      <c r="A109" t="s">
        <v>114</v>
      </c>
      <c r="B109">
        <v>3</v>
      </c>
      <c r="C109" t="s">
        <v>169</v>
      </c>
      <c r="D109" t="s">
        <v>169</v>
      </c>
      <c r="E109" t="s">
        <v>19</v>
      </c>
      <c r="F109">
        <v>100</v>
      </c>
      <c r="G109">
        <v>0</v>
      </c>
      <c r="H109" t="s">
        <v>58</v>
      </c>
      <c r="I109" t="s">
        <v>57</v>
      </c>
      <c r="J109" t="s">
        <v>57</v>
      </c>
      <c r="M109" s="2" t="str">
        <f t="shared" si="11"/>
        <v xml:space="preserve">      .AddAttribute(  3, "Adresse", "Adresse", "varchar", 100, 0, true, false, "")</v>
      </c>
    </row>
    <row r="111" spans="1:13" x14ac:dyDescent="0.45">
      <c r="A111" t="s">
        <v>115</v>
      </c>
      <c r="B111">
        <v>0</v>
      </c>
      <c r="C111" t="s">
        <v>129</v>
      </c>
      <c r="D111" t="s">
        <v>180</v>
      </c>
      <c r="E111" t="s">
        <v>173</v>
      </c>
      <c r="H111" t="s">
        <v>174</v>
      </c>
      <c r="I111" t="s">
        <v>175</v>
      </c>
      <c r="L111" t="s">
        <v>273</v>
      </c>
      <c r="M111" s="2" t="str">
        <f>CONCATENATE("   ",$M$1,".AddTable(","""",A111,""", ",CONCATENATE("EMyEntityType::",E111),", """,IF(ISERROR(FIND(".",C111)),"",RIGHT(C111, LEN(C111) - FIND(".",C111))),""", """,IF(ISERROR(FIND(".",C111)),"",LEFT(C111, FIND(".",C111)-1)),""", """,IF(ISERROR(FIND("::",D111)),"",RIGHT(D111, LEN(D111) - FIND("::",D111)-1)),""", """,IF(ISERROR(FIND("::",D111)),"",LEFT(D111, FIND("::",D111)-1)),""", """,H111,""", """,I111,""", """,L111,""")")</f>
        <v xml:space="preserve">   dictionary.AddTable("InternetTypes", EMyEntityType::table, "InternetTypes", "dbo", "InternetTypes", "myTest", "System", "SQL", "domain / range of values for internet connection types, this is an extension of the relationship between persons and internet connections.")</v>
      </c>
    </row>
    <row r="112" spans="1:13" x14ac:dyDescent="0.45">
      <c r="A112" t="s">
        <v>115</v>
      </c>
      <c r="B112">
        <v>1</v>
      </c>
      <c r="C112" t="s">
        <v>139</v>
      </c>
      <c r="D112" t="s">
        <v>139</v>
      </c>
      <c r="E112" t="s">
        <v>20</v>
      </c>
      <c r="F112">
        <v>0</v>
      </c>
      <c r="G112">
        <v>0</v>
      </c>
      <c r="H112" t="s">
        <v>58</v>
      </c>
      <c r="I112" t="s">
        <v>58</v>
      </c>
      <c r="J112" t="s">
        <v>57</v>
      </c>
      <c r="L112" t="s">
        <v>272</v>
      </c>
      <c r="M112" s="2" t="str">
        <f t="shared" ref="M112:M118" si="12">CONCATENATE("      .AddAttribute(",REPT(" ",3-LEN(TEXT(B112, "0"))),TEXT(B112, "0"),", """,C112,""", """,D112,""", """,E112,""", ",F112,", ",G112,", ",H112,", ",I112,", """,L112,"""",    ")")</f>
        <v xml:space="preserve">      .AddAttribute(  1, "ID", "ID", "integer", 0, 0, true, true, "unique identification number for a record in this domain with internet connection types")</v>
      </c>
    </row>
    <row r="113" spans="1:13" x14ac:dyDescent="0.45">
      <c r="A113" t="s">
        <v>115</v>
      </c>
      <c r="B113">
        <v>2</v>
      </c>
      <c r="C113" t="s">
        <v>134</v>
      </c>
      <c r="D113" t="s">
        <v>134</v>
      </c>
      <c r="E113" t="s">
        <v>19</v>
      </c>
      <c r="F113">
        <v>50</v>
      </c>
      <c r="G113">
        <v>0</v>
      </c>
      <c r="H113" t="s">
        <v>58</v>
      </c>
      <c r="I113" t="s">
        <v>57</v>
      </c>
      <c r="J113" t="s">
        <v>58</v>
      </c>
      <c r="L113" t="s">
        <v>271</v>
      </c>
      <c r="M113" s="2" t="str">
        <f t="shared" si="12"/>
        <v xml:space="preserve">      .AddAttribute(  2, "Denotation", "Denotation", "varchar", 50, 0, true, false, "unique description of an internet connection type entity in the domain, used in selections, comboboxes, … (key canditate)")</v>
      </c>
    </row>
    <row r="114" spans="1:13" x14ac:dyDescent="0.45">
      <c r="A114" t="s">
        <v>115</v>
      </c>
      <c r="B114">
        <v>3</v>
      </c>
      <c r="C114" t="s">
        <v>135</v>
      </c>
      <c r="D114" t="s">
        <v>135</v>
      </c>
      <c r="E114" t="s">
        <v>19</v>
      </c>
      <c r="F114">
        <v>10</v>
      </c>
      <c r="G114">
        <v>0</v>
      </c>
      <c r="H114" t="s">
        <v>57</v>
      </c>
      <c r="I114" t="s">
        <v>57</v>
      </c>
      <c r="J114" t="s">
        <v>57</v>
      </c>
      <c r="L114" t="s">
        <v>270</v>
      </c>
      <c r="M114" s="2" t="str">
        <f t="shared" si="12"/>
        <v xml:space="preserve">      .AddAttribute(  3, "Abbreviation", "Abbreviation", "varchar", 10, 0, false, false, "non-representative abbreviation that can be used for a short advertisement for this internet connection type")</v>
      </c>
    </row>
    <row r="115" spans="1:13" x14ac:dyDescent="0.45">
      <c r="A115" t="s">
        <v>115</v>
      </c>
      <c r="B115">
        <v>4</v>
      </c>
      <c r="C115" t="s">
        <v>136</v>
      </c>
      <c r="D115" t="s">
        <v>136</v>
      </c>
      <c r="E115" t="s">
        <v>81</v>
      </c>
      <c r="F115">
        <v>0</v>
      </c>
      <c r="G115">
        <v>0</v>
      </c>
      <c r="H115" t="s">
        <v>57</v>
      </c>
      <c r="I115" t="s">
        <v>57</v>
      </c>
      <c r="J115" t="s">
        <v>57</v>
      </c>
      <c r="L115" t="s">
        <v>269</v>
      </c>
      <c r="M115" s="2" t="str">
        <f t="shared" si="12"/>
        <v xml:space="preserve">      .AddAttribute(  4, "Description", "Description", "text", 0, 0, false, false, "detailed description of these internet connection type,this is a self documentation, possible use as hint or to information in the programm")</v>
      </c>
    </row>
    <row r="116" spans="1:13" x14ac:dyDescent="0.45">
      <c r="A116" t="s">
        <v>115</v>
      </c>
      <c r="B116">
        <v>5</v>
      </c>
      <c r="C116" t="s">
        <v>167</v>
      </c>
      <c r="D116" t="s">
        <v>167</v>
      </c>
      <c r="E116" t="s">
        <v>19</v>
      </c>
      <c r="F116">
        <v>10</v>
      </c>
      <c r="G116">
        <v>0</v>
      </c>
      <c r="H116" t="s">
        <v>57</v>
      </c>
      <c r="I116" t="s">
        <v>57</v>
      </c>
      <c r="J116" t="s">
        <v>57</v>
      </c>
      <c r="M116" s="2" t="str">
        <f t="shared" si="12"/>
        <v xml:space="preserve">      .AddAttribute(  5, "Prefix", "Prefix", "varchar", 10, 0, false, false, "")</v>
      </c>
    </row>
    <row r="117" spans="1:13" x14ac:dyDescent="0.45">
      <c r="A117" t="s">
        <v>115</v>
      </c>
      <c r="B117">
        <v>6</v>
      </c>
      <c r="C117" t="s">
        <v>137</v>
      </c>
      <c r="D117" t="s">
        <v>137</v>
      </c>
      <c r="E117" t="s">
        <v>81</v>
      </c>
      <c r="F117">
        <v>0</v>
      </c>
      <c r="G117">
        <v>0</v>
      </c>
      <c r="H117" t="s">
        <v>57</v>
      </c>
      <c r="I117" t="s">
        <v>57</v>
      </c>
      <c r="J117" t="s">
        <v>57</v>
      </c>
      <c r="L117" t="s">
        <v>268</v>
      </c>
      <c r="M117" s="2" t="str">
        <f t="shared" si="12"/>
        <v xml:space="preserve">      .AddAttribute(  6, "Notes", "Notes", "text", 0, 0, false, false, "notes, with additional / free information for this type of internet connection, not used in application")</v>
      </c>
    </row>
    <row r="118" spans="1:13" x14ac:dyDescent="0.45">
      <c r="A118" t="s">
        <v>115</v>
      </c>
      <c r="B118">
        <v>7</v>
      </c>
      <c r="C118" t="s">
        <v>138</v>
      </c>
      <c r="D118" t="s">
        <v>138</v>
      </c>
      <c r="E118" t="s">
        <v>27</v>
      </c>
      <c r="F118">
        <v>0</v>
      </c>
      <c r="G118">
        <v>0</v>
      </c>
      <c r="H118" t="s">
        <v>57</v>
      </c>
      <c r="I118" t="s">
        <v>57</v>
      </c>
      <c r="J118" t="s">
        <v>57</v>
      </c>
      <c r="L118" t="s">
        <v>267</v>
      </c>
      <c r="M118" s="2" t="str">
        <f t="shared" si="12"/>
        <v xml:space="preserve">      .AddAttribute(  7, "UrgentValue", "UrgentValue", "bool", 0, 0, false, false, "boolean value that makes this entity of internet connection type to a system value (cannot be changed as it is used directly by the program)")</v>
      </c>
    </row>
    <row r="120" spans="1:13" x14ac:dyDescent="0.45">
      <c r="A120" t="s">
        <v>116</v>
      </c>
      <c r="B120">
        <v>0</v>
      </c>
      <c r="C120" t="s">
        <v>130</v>
      </c>
      <c r="D120" t="s">
        <v>179</v>
      </c>
      <c r="E120" t="s">
        <v>173</v>
      </c>
      <c r="H120" t="s">
        <v>174</v>
      </c>
      <c r="I120" t="s">
        <v>175</v>
      </c>
      <c r="M120" s="2" t="str">
        <f>CONCATENATE("   ",$M$1,".AddTable(","""",A120,""", ",CONCATENATE("EMyEntityType::",E120),", """,IF(ISERROR(FIND(".",C120)),"",RIGHT(C120, LEN(C120) - FIND(".",C120))),""", """,IF(ISERROR(FIND(".",C120)),"",LEFT(C120, FIND(".",C120)-1)),""", """,IF(ISERROR(FIND("::",D120)),"",RIGHT(D120, LEN(D120) - FIND("::",D120)-1)),""", """,IF(ISERROR(FIND("::",D120)),"",LEFT(D120, FIND("::",D120)-1)),""", """,H120,""", """,I120,""", """,L120,""")")</f>
        <v xml:space="preserve">   dictionary.AddTable("JobPositions", EMyEntityType::table, "JobPositions", "dbo", "JobPositions", "myTest", "System", "SQL", "")</v>
      </c>
    </row>
    <row r="121" spans="1:13" x14ac:dyDescent="0.45">
      <c r="A121" t="s">
        <v>116</v>
      </c>
      <c r="B121">
        <v>1</v>
      </c>
      <c r="C121" t="s">
        <v>139</v>
      </c>
      <c r="D121" t="s">
        <v>139</v>
      </c>
      <c r="E121" t="s">
        <v>20</v>
      </c>
      <c r="F121">
        <v>0</v>
      </c>
      <c r="G121">
        <v>0</v>
      </c>
      <c r="H121" t="s">
        <v>58</v>
      </c>
      <c r="I121" t="s">
        <v>58</v>
      </c>
      <c r="J121" t="s">
        <v>57</v>
      </c>
      <c r="M121" s="2" t="str">
        <f t="shared" ref="M121:M126" si="13">CONCATENATE("      .AddAttribute(",REPT(" ",3-LEN(TEXT(B121, "0"))),TEXT(B121, "0"),", """,C121,""", """,D121,""", """,E121,""", ",F121,", ",G121,", ",H121,", ",I121,", """,L121,"""",    ")")</f>
        <v xml:space="preserve">      .AddAttribute(  1, "ID", "ID", "integer", 0, 0, true, true, "")</v>
      </c>
    </row>
    <row r="122" spans="1:13" x14ac:dyDescent="0.45">
      <c r="A122" t="s">
        <v>116</v>
      </c>
      <c r="B122">
        <v>2</v>
      </c>
      <c r="C122" t="s">
        <v>134</v>
      </c>
      <c r="D122" t="s">
        <v>134</v>
      </c>
      <c r="E122" t="s">
        <v>19</v>
      </c>
      <c r="F122">
        <v>50</v>
      </c>
      <c r="G122">
        <v>0</v>
      </c>
      <c r="H122" t="s">
        <v>58</v>
      </c>
      <c r="I122" t="s">
        <v>57</v>
      </c>
      <c r="J122" t="s">
        <v>58</v>
      </c>
      <c r="M122" s="2" t="str">
        <f t="shared" si="13"/>
        <v xml:space="preserve">      .AddAttribute(  2, "Denotation", "Denotation", "varchar", 50, 0, true, false, "")</v>
      </c>
    </row>
    <row r="123" spans="1:13" x14ac:dyDescent="0.45">
      <c r="A123" t="s">
        <v>116</v>
      </c>
      <c r="B123">
        <v>3</v>
      </c>
      <c r="C123" t="s">
        <v>135</v>
      </c>
      <c r="D123" t="s">
        <v>135</v>
      </c>
      <c r="E123" t="s">
        <v>19</v>
      </c>
      <c r="F123">
        <v>10</v>
      </c>
      <c r="G123">
        <v>0</v>
      </c>
      <c r="H123" t="s">
        <v>57</v>
      </c>
      <c r="I123" t="s">
        <v>57</v>
      </c>
      <c r="J123" t="s">
        <v>57</v>
      </c>
      <c r="M123" s="2" t="str">
        <f t="shared" si="13"/>
        <v xml:space="preserve">      .AddAttribute(  3, "Abbreviation", "Abbreviation", "varchar", 10, 0, false, false, "")</v>
      </c>
    </row>
    <row r="124" spans="1:13" x14ac:dyDescent="0.45">
      <c r="A124" t="s">
        <v>116</v>
      </c>
      <c r="B124">
        <v>4</v>
      </c>
      <c r="C124" t="s">
        <v>136</v>
      </c>
      <c r="D124" t="s">
        <v>136</v>
      </c>
      <c r="E124" t="s">
        <v>81</v>
      </c>
      <c r="F124">
        <v>0</v>
      </c>
      <c r="G124">
        <v>0</v>
      </c>
      <c r="H124" t="s">
        <v>57</v>
      </c>
      <c r="I124" t="s">
        <v>57</v>
      </c>
      <c r="J124" t="s">
        <v>57</v>
      </c>
      <c r="M124" s="2" t="str">
        <f t="shared" si="13"/>
        <v xml:space="preserve">      .AddAttribute(  4, "Description", "Description", "text", 0, 0, false, false, "")</v>
      </c>
    </row>
    <row r="125" spans="1:13" x14ac:dyDescent="0.45">
      <c r="A125" t="s">
        <v>116</v>
      </c>
      <c r="B125">
        <v>5</v>
      </c>
      <c r="C125" t="s">
        <v>137</v>
      </c>
      <c r="D125" t="s">
        <v>137</v>
      </c>
      <c r="E125" t="s">
        <v>81</v>
      </c>
      <c r="F125">
        <v>0</v>
      </c>
      <c r="G125">
        <v>0</v>
      </c>
      <c r="H125" t="s">
        <v>57</v>
      </c>
      <c r="I125" t="s">
        <v>57</v>
      </c>
      <c r="J125" t="s">
        <v>57</v>
      </c>
      <c r="M125" s="2" t="str">
        <f t="shared" si="13"/>
        <v xml:space="preserve">      .AddAttribute(  5, "Notes", "Notes", "text", 0, 0, false, false, "")</v>
      </c>
    </row>
    <row r="126" spans="1:13" x14ac:dyDescent="0.45">
      <c r="A126" t="s">
        <v>116</v>
      </c>
      <c r="B126">
        <v>6</v>
      </c>
      <c r="C126" t="s">
        <v>138</v>
      </c>
      <c r="D126" t="s">
        <v>138</v>
      </c>
      <c r="E126" t="s">
        <v>27</v>
      </c>
      <c r="F126">
        <v>0</v>
      </c>
      <c r="G126">
        <v>0</v>
      </c>
      <c r="H126" t="s">
        <v>57</v>
      </c>
      <c r="I126" t="s">
        <v>57</v>
      </c>
      <c r="J126" t="s">
        <v>57</v>
      </c>
      <c r="M126" s="2" t="str">
        <f t="shared" si="13"/>
        <v xml:space="preserve">      .AddAttribute(  6, "UrgentValue", "UrgentValue", "bool", 0, 0, false, false, "")</v>
      </c>
    </row>
    <row r="128" spans="1:13" x14ac:dyDescent="0.45">
      <c r="A128" t="s">
        <v>117</v>
      </c>
      <c r="B128">
        <v>0</v>
      </c>
      <c r="C128" t="s">
        <v>131</v>
      </c>
      <c r="D128" t="s">
        <v>176</v>
      </c>
      <c r="E128" t="s">
        <v>173</v>
      </c>
      <c r="H128" t="s">
        <v>174</v>
      </c>
      <c r="I128" t="s">
        <v>175</v>
      </c>
      <c r="M128" s="2" t="str">
        <f>CONCATENATE("   ",$M$1,".AddTable(","""",A128,""", ",CONCATENATE("EMyEntityType::",E128),", """,IF(ISERROR(FIND(".",C128)),"",RIGHT(C128, LEN(C128) - FIND(".",C128))),""", """,IF(ISERROR(FIND(".",C128)),"",LEFT(C128, FIND(".",C128)-1)),""", """,IF(ISERROR(FIND("::",D128)),"",RIGHT(D128, LEN(D128) - FIND("::",D128)-1)),""", """,IF(ISERROR(FIND("::",D128)),"",LEFT(D128, FIND("::",D128)-1)),""", """,H128,""", """,I128,""", """,L128,""")")</f>
        <v xml:space="preserve">   dictionary.AddTable("Person", EMyEntityType::table, "Person", "dbo", "Person", "myTest", "System", "SQL", "")</v>
      </c>
    </row>
    <row r="129" spans="1:13" x14ac:dyDescent="0.45">
      <c r="A129" t="s">
        <v>117</v>
      </c>
      <c r="B129">
        <v>1</v>
      </c>
      <c r="C129" t="s">
        <v>139</v>
      </c>
      <c r="D129" t="s">
        <v>139</v>
      </c>
      <c r="E129" t="s">
        <v>20</v>
      </c>
      <c r="F129">
        <v>0</v>
      </c>
      <c r="G129">
        <v>0</v>
      </c>
      <c r="H129" t="s">
        <v>58</v>
      </c>
      <c r="I129" t="s">
        <v>58</v>
      </c>
      <c r="J129" t="s">
        <v>57</v>
      </c>
      <c r="M129" s="2" t="str">
        <f t="shared" ref="M129:M136" si="14">CONCATENATE("      .AddAttribute(",REPT(" ",3-LEN(TEXT(B129, "0"))),TEXT(B129, "0"),", """,C129,""", """,D129,""", """,E129,""", ",F129,", ",G129,", ",H129,", ",I129,", """,L129,"""",    ")")</f>
        <v xml:space="preserve">      .AddAttribute(  1, "ID", "ID", "integer", 0, 0, true, true, "")</v>
      </c>
    </row>
    <row r="130" spans="1:13" x14ac:dyDescent="0.45">
      <c r="A130" t="s">
        <v>117</v>
      </c>
      <c r="B130">
        <v>2</v>
      </c>
      <c r="C130" t="s">
        <v>87</v>
      </c>
      <c r="D130" t="s">
        <v>87</v>
      </c>
      <c r="E130" t="s">
        <v>19</v>
      </c>
      <c r="F130">
        <v>30</v>
      </c>
      <c r="G130">
        <v>0</v>
      </c>
      <c r="H130" t="s">
        <v>58</v>
      </c>
      <c r="I130" t="s">
        <v>57</v>
      </c>
      <c r="J130" t="s">
        <v>57</v>
      </c>
      <c r="M130" s="2" t="str">
        <f t="shared" si="14"/>
        <v xml:space="preserve">      .AddAttribute(  2, "Name", "Name", "varchar", 30, 0, true, false, "")</v>
      </c>
    </row>
    <row r="131" spans="1:13" x14ac:dyDescent="0.45">
      <c r="A131" t="s">
        <v>117</v>
      </c>
      <c r="B131">
        <v>3</v>
      </c>
      <c r="C131" t="s">
        <v>170</v>
      </c>
      <c r="D131" t="s">
        <v>170</v>
      </c>
      <c r="E131" t="s">
        <v>19</v>
      </c>
      <c r="F131">
        <v>30</v>
      </c>
      <c r="G131">
        <v>0</v>
      </c>
      <c r="H131" t="s">
        <v>57</v>
      </c>
      <c r="I131" t="s">
        <v>57</v>
      </c>
      <c r="J131" t="s">
        <v>57</v>
      </c>
      <c r="M131" s="2" t="str">
        <f t="shared" si="14"/>
        <v xml:space="preserve">      .AddAttribute(  3, "Firstname", "Firstname", "varchar", 30, 0, false, false, "")</v>
      </c>
    </row>
    <row r="132" spans="1:13" x14ac:dyDescent="0.45">
      <c r="A132" t="s">
        <v>117</v>
      </c>
      <c r="B132">
        <v>4</v>
      </c>
      <c r="C132" t="s">
        <v>113</v>
      </c>
      <c r="D132" t="s">
        <v>113</v>
      </c>
      <c r="E132" t="s">
        <v>20</v>
      </c>
      <c r="F132">
        <v>0</v>
      </c>
      <c r="G132">
        <v>0</v>
      </c>
      <c r="H132" t="s">
        <v>58</v>
      </c>
      <c r="I132" t="s">
        <v>57</v>
      </c>
      <c r="J132" t="s">
        <v>57</v>
      </c>
      <c r="M132" s="2" t="str">
        <f t="shared" si="14"/>
        <v xml:space="preserve">      .AddAttribute(  4, "FormOfAddress", "FormOfAddress", "integer", 0, 0, true, false, "")</v>
      </c>
    </row>
    <row r="133" spans="1:13" x14ac:dyDescent="0.45">
      <c r="A133" t="s">
        <v>117</v>
      </c>
      <c r="B133">
        <v>5</v>
      </c>
      <c r="C133" t="s">
        <v>197</v>
      </c>
      <c r="D133" t="s">
        <v>197</v>
      </c>
      <c r="E133" t="s">
        <v>20</v>
      </c>
      <c r="F133">
        <v>0</v>
      </c>
      <c r="G133">
        <v>0</v>
      </c>
      <c r="H133" t="s">
        <v>58</v>
      </c>
      <c r="I133" t="s">
        <v>57</v>
      </c>
      <c r="J133" t="s">
        <v>57</v>
      </c>
      <c r="M133" s="2" t="str">
        <f t="shared" si="14"/>
        <v xml:space="preserve">      .AddAttribute(  5, "FamilyStatus", "FamilyStatus", "integer", 0, 0, true, false, "")</v>
      </c>
    </row>
    <row r="134" spans="1:13" x14ac:dyDescent="0.45">
      <c r="A134" t="s">
        <v>117</v>
      </c>
      <c r="B134">
        <v>6</v>
      </c>
      <c r="C134" t="s">
        <v>202</v>
      </c>
      <c r="D134" t="s">
        <v>202</v>
      </c>
      <c r="E134" t="s">
        <v>22</v>
      </c>
      <c r="F134">
        <v>0</v>
      </c>
      <c r="G134">
        <v>0</v>
      </c>
      <c r="H134" t="s">
        <v>57</v>
      </c>
      <c r="I134" t="s">
        <v>57</v>
      </c>
      <c r="J134" t="s">
        <v>57</v>
      </c>
      <c r="M134" s="2" t="str">
        <f t="shared" si="14"/>
        <v xml:space="preserve">      .AddAttribute(  6, "FamilyStatusSince", "FamilyStatusSince", "date", 0, 0, false, false, "")</v>
      </c>
    </row>
    <row r="135" spans="1:13" x14ac:dyDescent="0.45">
      <c r="A135" t="s">
        <v>117</v>
      </c>
      <c r="B135">
        <v>7</v>
      </c>
      <c r="C135" t="s">
        <v>171</v>
      </c>
      <c r="D135" t="s">
        <v>171</v>
      </c>
      <c r="E135" t="s">
        <v>22</v>
      </c>
      <c r="F135">
        <v>0</v>
      </c>
      <c r="G135">
        <v>0</v>
      </c>
      <c r="H135" t="s">
        <v>57</v>
      </c>
      <c r="I135" t="s">
        <v>57</v>
      </c>
      <c r="J135" t="s">
        <v>57</v>
      </c>
      <c r="M135" s="2" t="str">
        <f t="shared" si="14"/>
        <v xml:space="preserve">      .AddAttribute(  7, "Birthday", "Birthday", "date", 0, 0, false, false, "")</v>
      </c>
    </row>
    <row r="136" spans="1:13" x14ac:dyDescent="0.45">
      <c r="A136" t="s">
        <v>117</v>
      </c>
      <c r="B136">
        <v>8</v>
      </c>
      <c r="C136" t="s">
        <v>137</v>
      </c>
      <c r="D136" t="s">
        <v>137</v>
      </c>
      <c r="E136" t="s">
        <v>81</v>
      </c>
      <c r="F136">
        <v>0</v>
      </c>
      <c r="G136">
        <v>0</v>
      </c>
      <c r="H136" t="s">
        <v>57</v>
      </c>
      <c r="I136" t="s">
        <v>57</v>
      </c>
      <c r="J136" t="s">
        <v>57</v>
      </c>
      <c r="M136" s="2" t="str">
        <f t="shared" si="14"/>
        <v xml:space="preserve">      .AddAttribute(  8, "Notes", "Notes", "text", 0, 0, false, false, "")</v>
      </c>
    </row>
    <row r="138" spans="1:13" x14ac:dyDescent="0.45">
      <c r="A138" t="s">
        <v>118</v>
      </c>
      <c r="B138">
        <v>0</v>
      </c>
      <c r="C138" t="s">
        <v>132</v>
      </c>
      <c r="D138" t="s">
        <v>177</v>
      </c>
      <c r="E138" t="s">
        <v>173</v>
      </c>
      <c r="H138" t="s">
        <v>174</v>
      </c>
      <c r="I138" t="s">
        <v>175</v>
      </c>
      <c r="M138" s="2" t="str">
        <f>CONCATENATE("   ",$M$1,".AddTable(","""",A138,""", ",CONCATENATE("EMyEntityType::",E138),", """,IF(ISERROR(FIND(".",C138)),"",RIGHT(C138, LEN(C138) - FIND(".",C138))),""", """,IF(ISERROR(FIND(".",C138)),"",LEFT(C138, FIND(".",C138)-1)),""", """,IF(ISERROR(FIND("::",D138)),"",RIGHT(D138, LEN(D138) - FIND("::",D138)-1)),""", """,IF(ISERROR(FIND("::",D138)),"",LEFT(D138, FIND("::",D138)-1)),""", """,H138,""", """,I138,""", """,L138,""")")</f>
        <v xml:space="preserve">   dictionary.AddTable("Phone", EMyEntityType::table, "Phone", "dbo", "Phone", "myTest", "System", "SQL", "")</v>
      </c>
    </row>
    <row r="139" spans="1:13" x14ac:dyDescent="0.45">
      <c r="A139" t="s">
        <v>118</v>
      </c>
      <c r="B139">
        <v>1</v>
      </c>
      <c r="C139" t="s">
        <v>139</v>
      </c>
      <c r="D139" t="s">
        <v>139</v>
      </c>
      <c r="E139" t="s">
        <v>20</v>
      </c>
      <c r="F139">
        <v>0</v>
      </c>
      <c r="G139">
        <v>0</v>
      </c>
      <c r="H139" t="s">
        <v>58</v>
      </c>
      <c r="I139" t="s">
        <v>58</v>
      </c>
      <c r="J139" t="s">
        <v>57</v>
      </c>
      <c r="M139" s="2" t="str">
        <f t="shared" ref="M139:M143" si="15">CONCATENATE("      .AddAttribute(",REPT(" ",3-LEN(TEXT(B139, "0"))),TEXT(B139, "0"),", """,C139,""", """,D139,""", """,E139,""", ",F139,", ",G139,", ",H139,", ",I139,", """,L139,"""",    ")")</f>
        <v xml:space="preserve">      .AddAttribute(  1, "ID", "ID", "integer", 0, 0, true, true, "")</v>
      </c>
    </row>
    <row r="140" spans="1:13" x14ac:dyDescent="0.45">
      <c r="A140" t="s">
        <v>118</v>
      </c>
      <c r="B140">
        <v>2</v>
      </c>
      <c r="C140" t="s">
        <v>145</v>
      </c>
      <c r="D140" t="s">
        <v>145</v>
      </c>
      <c r="E140" t="s">
        <v>20</v>
      </c>
      <c r="F140">
        <v>0</v>
      </c>
      <c r="G140">
        <v>0</v>
      </c>
      <c r="H140" t="s">
        <v>58</v>
      </c>
      <c r="I140" t="s">
        <v>58</v>
      </c>
      <c r="J140" t="s">
        <v>57</v>
      </c>
      <c r="M140" s="2" t="str">
        <f t="shared" si="15"/>
        <v xml:space="preserve">      .AddAttribute(  2, "PhoneType", "PhoneType", "integer", 0, 0, true, true, "")</v>
      </c>
    </row>
    <row r="141" spans="1:13" x14ac:dyDescent="0.45">
      <c r="A141" t="s">
        <v>118</v>
      </c>
      <c r="B141">
        <v>3</v>
      </c>
      <c r="C141" t="s">
        <v>146</v>
      </c>
      <c r="D141" t="s">
        <v>146</v>
      </c>
      <c r="E141" t="s">
        <v>19</v>
      </c>
      <c r="F141">
        <v>10</v>
      </c>
      <c r="G141">
        <v>0</v>
      </c>
      <c r="H141" t="s">
        <v>58</v>
      </c>
      <c r="I141" t="s">
        <v>57</v>
      </c>
      <c r="J141" t="s">
        <v>57</v>
      </c>
      <c r="M141" s="2" t="str">
        <f t="shared" si="15"/>
        <v xml:space="preserve">      .AddAttribute(  3, "AreaCode", "AreaCode", "varchar", 10, 0, true, false, "")</v>
      </c>
    </row>
    <row r="142" spans="1:13" x14ac:dyDescent="0.45">
      <c r="A142" t="s">
        <v>118</v>
      </c>
      <c r="B142">
        <v>4</v>
      </c>
      <c r="C142" t="s">
        <v>147</v>
      </c>
      <c r="D142" t="s">
        <v>147</v>
      </c>
      <c r="E142" t="s">
        <v>19</v>
      </c>
      <c r="F142">
        <v>13</v>
      </c>
      <c r="G142">
        <v>0</v>
      </c>
      <c r="H142" t="s">
        <v>58</v>
      </c>
      <c r="I142" t="s">
        <v>57</v>
      </c>
      <c r="J142" t="s">
        <v>57</v>
      </c>
      <c r="M142" s="2" t="str">
        <f t="shared" si="15"/>
        <v xml:space="preserve">      .AddAttribute(  4, "CallNumber", "CallNumber", "varchar", 13, 0, true, false, "")</v>
      </c>
    </row>
    <row r="143" spans="1:13" x14ac:dyDescent="0.45">
      <c r="A143" t="s">
        <v>118</v>
      </c>
      <c r="B143">
        <v>5</v>
      </c>
      <c r="C143" t="s">
        <v>144</v>
      </c>
      <c r="D143" t="s">
        <v>144</v>
      </c>
      <c r="E143" t="s">
        <v>20</v>
      </c>
      <c r="F143">
        <v>0</v>
      </c>
      <c r="G143">
        <v>0</v>
      </c>
      <c r="H143" t="s">
        <v>58</v>
      </c>
      <c r="I143" t="s">
        <v>57</v>
      </c>
      <c r="J143" t="s">
        <v>57</v>
      </c>
      <c r="M143" s="2" t="str">
        <f t="shared" si="15"/>
        <v xml:space="preserve">      .AddAttribute(  5, "Country", "Country", "integer", 0, 0, true, false, "")</v>
      </c>
    </row>
    <row r="145" spans="1:13" x14ac:dyDescent="0.45">
      <c r="A145" t="s">
        <v>148</v>
      </c>
      <c r="B145">
        <v>0</v>
      </c>
      <c r="C145" t="s">
        <v>133</v>
      </c>
      <c r="D145" t="s">
        <v>178</v>
      </c>
      <c r="E145" t="s">
        <v>173</v>
      </c>
      <c r="H145" t="s">
        <v>174</v>
      </c>
      <c r="I145" t="s">
        <v>175</v>
      </c>
      <c r="L145" t="s">
        <v>261</v>
      </c>
      <c r="M145" s="2" t="str">
        <f>CONCATENATE("   ",$M$1,".AddTable(","""",A145,""", ",CONCATENATE("EMyEntityType::",E145),", """,IF(ISERROR(FIND(".",C145)),"",RIGHT(C145, LEN(C145) - FIND(".",C145))),""", """,IF(ISERROR(FIND(".",C145)),"",LEFT(C145, FIND(".",C145)-1)),""", """,IF(ISERROR(FIND("::",D145)),"",RIGHT(D145, LEN(D145) - FIND("::",D145)-1)),""", """,IF(ISERROR(FIND("::",D145)),"",LEFT(D145, FIND("::",D145)-1)),""", """,H145,""", """,I145,""", """,L145,""")")</f>
        <v xml:space="preserve">   dictionary.AddTable("PhonesTypes", EMyEntityType::table, "PhoneTypes", "dbo", "PhonesTypes", "myTest", "System", "SQL", "domain / range of values for phone types, this is an extension of the relationship between persons and phone.")</v>
      </c>
    </row>
    <row r="146" spans="1:13" x14ac:dyDescent="0.45">
      <c r="A146" t="s">
        <v>148</v>
      </c>
      <c r="B146">
        <v>1</v>
      </c>
      <c r="C146" t="s">
        <v>139</v>
      </c>
      <c r="D146" t="s">
        <v>139</v>
      </c>
      <c r="E146" t="s">
        <v>20</v>
      </c>
      <c r="F146">
        <v>0</v>
      </c>
      <c r="G146">
        <v>0</v>
      </c>
      <c r="H146" t="s">
        <v>58</v>
      </c>
      <c r="I146" t="s">
        <v>58</v>
      </c>
      <c r="J146" t="s">
        <v>57</v>
      </c>
      <c r="L146" t="s">
        <v>262</v>
      </c>
      <c r="M146" s="2" t="str">
        <f t="shared" ref="M146:M151" si="16">CONCATENATE("      .AddAttribute(",REPT(" ",3-LEN(TEXT(B146, "0"))),TEXT(B146, "0"),", """,C146,""", """,D146,""", """,E146,""", ",F146,", ",G146,", ",H146,", ",I146,", """,L146,"""",    ")")</f>
        <v xml:space="preserve">      .AddAttribute(  1, "ID", "ID", "integer", 0, 0, true, true, "unique identification number for a record in this domain with phone types")</v>
      </c>
    </row>
    <row r="147" spans="1:13" x14ac:dyDescent="0.45">
      <c r="A147" t="s">
        <v>148</v>
      </c>
      <c r="B147">
        <v>2</v>
      </c>
      <c r="C147" t="s">
        <v>134</v>
      </c>
      <c r="D147" t="s">
        <v>134</v>
      </c>
      <c r="E147" t="s">
        <v>19</v>
      </c>
      <c r="F147">
        <v>50</v>
      </c>
      <c r="G147">
        <v>0</v>
      </c>
      <c r="H147" t="s">
        <v>58</v>
      </c>
      <c r="I147" t="s">
        <v>57</v>
      </c>
      <c r="J147" t="s">
        <v>58</v>
      </c>
      <c r="L147" t="s">
        <v>263</v>
      </c>
      <c r="M147" s="2" t="str">
        <f t="shared" si="16"/>
        <v xml:space="preserve">      .AddAttribute(  2, "Denotation", "Denotation", "varchar", 50, 0, true, false, "unique description of a phone type entity in the domain, used in selections, comboboxes, … (key canditate)")</v>
      </c>
    </row>
    <row r="148" spans="1:13" x14ac:dyDescent="0.45">
      <c r="A148" t="s">
        <v>148</v>
      </c>
      <c r="B148">
        <v>3</v>
      </c>
      <c r="C148" t="s">
        <v>135</v>
      </c>
      <c r="D148" t="s">
        <v>135</v>
      </c>
      <c r="E148" t="s">
        <v>19</v>
      </c>
      <c r="F148">
        <v>10</v>
      </c>
      <c r="G148">
        <v>0</v>
      </c>
      <c r="H148" t="s">
        <v>57</v>
      </c>
      <c r="I148" t="s">
        <v>57</v>
      </c>
      <c r="J148" t="s">
        <v>57</v>
      </c>
      <c r="L148" t="s">
        <v>264</v>
      </c>
      <c r="M148" s="2" t="str">
        <f t="shared" si="16"/>
        <v xml:space="preserve">      .AddAttribute(  3, "Abbreviation", "Abbreviation", "varchar", 10, 0, false, false, "non-representative abbreviation that can be used for a short advertisement for this phone  type")</v>
      </c>
    </row>
    <row r="149" spans="1:13" x14ac:dyDescent="0.45">
      <c r="A149" t="s">
        <v>148</v>
      </c>
      <c r="B149">
        <v>4</v>
      </c>
      <c r="C149" t="s">
        <v>136</v>
      </c>
      <c r="D149" t="s">
        <v>136</v>
      </c>
      <c r="E149" t="s">
        <v>81</v>
      </c>
      <c r="F149">
        <v>0</v>
      </c>
      <c r="G149">
        <v>0</v>
      </c>
      <c r="H149" t="s">
        <v>57</v>
      </c>
      <c r="I149" t="s">
        <v>57</v>
      </c>
      <c r="J149" t="s">
        <v>57</v>
      </c>
      <c r="L149" t="s">
        <v>265</v>
      </c>
      <c r="M149" s="2" t="str">
        <f t="shared" si="16"/>
        <v xml:space="preserve">      .AddAttribute(  4, "Description", "Description", "text", 0, 0, false, false, "detailed description of these phone  type,this is a self documentation, possible use as hint or to information in the programm")</v>
      </c>
    </row>
    <row r="150" spans="1:13" x14ac:dyDescent="0.45">
      <c r="A150" t="s">
        <v>148</v>
      </c>
      <c r="B150">
        <v>5</v>
      </c>
      <c r="C150" t="s">
        <v>137</v>
      </c>
      <c r="D150" t="s">
        <v>137</v>
      </c>
      <c r="E150" t="s">
        <v>81</v>
      </c>
      <c r="F150">
        <v>0</v>
      </c>
      <c r="G150">
        <v>0</v>
      </c>
      <c r="H150" t="s">
        <v>57</v>
      </c>
      <c r="I150" t="s">
        <v>57</v>
      </c>
      <c r="J150" t="s">
        <v>57</v>
      </c>
      <c r="L150" t="s">
        <v>246</v>
      </c>
      <c r="M150" s="2" t="str">
        <f t="shared" si="16"/>
        <v xml:space="preserve">      .AddAttribute(  5, "Notes", "Notes", "text", 0, 0, false, false, "notes, with additional / free information for this type of banking, not used in application")</v>
      </c>
    </row>
    <row r="151" spans="1:13" x14ac:dyDescent="0.45">
      <c r="A151" t="s">
        <v>148</v>
      </c>
      <c r="B151">
        <v>6</v>
      </c>
      <c r="C151" t="s">
        <v>138</v>
      </c>
      <c r="D151" t="s">
        <v>138</v>
      </c>
      <c r="E151" t="s">
        <v>27</v>
      </c>
      <c r="F151">
        <v>0</v>
      </c>
      <c r="G151">
        <v>0</v>
      </c>
      <c r="H151" t="s">
        <v>57</v>
      </c>
      <c r="I151" t="s">
        <v>57</v>
      </c>
      <c r="J151" t="s">
        <v>57</v>
      </c>
      <c r="L151" t="s">
        <v>266</v>
      </c>
      <c r="M151" s="2" t="str">
        <f t="shared" si="16"/>
        <v xml:space="preserve">      .AddAttribute(  6, "UrgentValue", "UrgentValue", "bool", 0, 0, false, false, "boolean value that makes this entity of phone type to a system value (cannot be changed as it is used directly by the program)")</v>
      </c>
    </row>
    <row r="153" spans="1:13" x14ac:dyDescent="0.45">
      <c r="A153" t="s">
        <v>191</v>
      </c>
      <c r="B153">
        <v>0</v>
      </c>
      <c r="C153" t="s">
        <v>192</v>
      </c>
      <c r="D153" t="s">
        <v>193</v>
      </c>
      <c r="E153" t="s">
        <v>173</v>
      </c>
      <c r="H153" t="s">
        <v>174</v>
      </c>
      <c r="I153" t="s">
        <v>175</v>
      </c>
      <c r="M153" s="2" t="str">
        <f>CONCATENATE("   ",$M$1,".AddTable(","""",A153,""", ",CONCATENATE("EMyEntityType::",E153),", """,IF(ISERROR(FIND(".",C153)),"",RIGHT(C153, LEN(C153) - FIND(".",C153))),""", """,IF(ISERROR(FIND(".",C153)),"",LEFT(C153, FIND(".",C153)-1)),""", """,IF(ISERROR(FIND("::",D153)),"",RIGHT(D153, LEN(D153) - FIND("::",D153)-1)),""", """,IF(ISERROR(FIND("::",D153)),"",LEFT(D153, FIND("::",D153)-1)),""", """,H153,""", """,I153,""", """,L153,""")")</f>
        <v xml:space="preserve">   dictionary.AddTable("WorkingTime", EMyEntityType::table, "WorkingTime", "dbo", "WorkingTime", "myTest", "System", "SQL", "")</v>
      </c>
    </row>
    <row r="154" spans="1:13" x14ac:dyDescent="0.45">
      <c r="A154" t="s">
        <v>191</v>
      </c>
      <c r="B154">
        <v>1</v>
      </c>
      <c r="C154" t="s">
        <v>139</v>
      </c>
      <c r="D154" t="s">
        <v>139</v>
      </c>
      <c r="E154" t="s">
        <v>20</v>
      </c>
      <c r="F154">
        <v>0</v>
      </c>
      <c r="G154">
        <v>0</v>
      </c>
      <c r="H154" t="s">
        <v>58</v>
      </c>
      <c r="I154" t="s">
        <v>58</v>
      </c>
      <c r="J154" t="s">
        <v>57</v>
      </c>
      <c r="M154" s="2" t="str">
        <f t="shared" ref="M154:M157" si="17">CONCATENATE("      .AddAttribute(",REPT(" ",3-LEN(TEXT(B154, "0"))),TEXT(B154, "0"),", """,C154,""", """,D154,""", """,E154,""", ",F154,", ",G154,", ",H154,", ",I154,", """,L154,"""",    ")")</f>
        <v xml:space="preserve">      .AddAttribute(  1, "ID", "ID", "integer", 0, 0, true, true, "")</v>
      </c>
    </row>
    <row r="155" spans="1:13" x14ac:dyDescent="0.45">
      <c r="A155" t="s">
        <v>191</v>
      </c>
      <c r="B155">
        <v>2</v>
      </c>
      <c r="C155" t="s">
        <v>194</v>
      </c>
      <c r="D155" t="s">
        <v>194</v>
      </c>
      <c r="E155" t="s">
        <v>30</v>
      </c>
      <c r="F155">
        <v>0</v>
      </c>
      <c r="G155">
        <v>0</v>
      </c>
      <c r="H155" t="s">
        <v>58</v>
      </c>
      <c r="I155" t="s">
        <v>58</v>
      </c>
      <c r="J155" t="s">
        <v>57</v>
      </c>
      <c r="M155" s="2" t="str">
        <f t="shared" si="17"/>
        <v xml:space="preserve">      .AddAttribute(  2, "StartingTime", "StartingTime", "datetime", 0, 0, true, true, "")</v>
      </c>
    </row>
    <row r="156" spans="1:13" x14ac:dyDescent="0.45">
      <c r="A156" t="s">
        <v>191</v>
      </c>
      <c r="B156">
        <v>3</v>
      </c>
      <c r="C156" t="s">
        <v>195</v>
      </c>
      <c r="D156" t="s">
        <v>195</v>
      </c>
      <c r="E156" t="s">
        <v>30</v>
      </c>
      <c r="F156">
        <v>0</v>
      </c>
      <c r="G156">
        <v>0</v>
      </c>
      <c r="H156" t="s">
        <v>57</v>
      </c>
      <c r="I156" t="s">
        <v>57</v>
      </c>
      <c r="J156" t="s">
        <v>57</v>
      </c>
      <c r="M156" s="2" t="str">
        <f t="shared" si="17"/>
        <v xml:space="preserve">      .AddAttribute(  3, "ClosingTime", "ClosingTime", "datetime", 0, 0, false, false, "")</v>
      </c>
    </row>
    <row r="157" spans="1:13" x14ac:dyDescent="0.45">
      <c r="A157" t="s">
        <v>191</v>
      </c>
      <c r="B157">
        <v>4</v>
      </c>
      <c r="C157" t="s">
        <v>196</v>
      </c>
      <c r="D157" t="s">
        <v>196</v>
      </c>
      <c r="E157" t="s">
        <v>27</v>
      </c>
      <c r="F157">
        <v>0</v>
      </c>
      <c r="G157">
        <v>0</v>
      </c>
      <c r="H157" t="s">
        <v>58</v>
      </c>
      <c r="I157" t="s">
        <v>57</v>
      </c>
      <c r="J157" t="s">
        <v>57</v>
      </c>
      <c r="M157" s="2" t="str">
        <f t="shared" si="17"/>
        <v xml:space="preserve">      .AddAttribute(  4, "Processed ", "Processed ", "bool", 0, 0, true, false, "")</v>
      </c>
    </row>
    <row r="159" spans="1:13" x14ac:dyDescent="0.45">
      <c r="A159" t="s">
        <v>197</v>
      </c>
      <c r="B159">
        <v>0</v>
      </c>
      <c r="C159" t="s">
        <v>198</v>
      </c>
      <c r="D159" t="s">
        <v>199</v>
      </c>
      <c r="E159" t="s">
        <v>173</v>
      </c>
      <c r="H159" t="s">
        <v>174</v>
      </c>
      <c r="I159" t="s">
        <v>175</v>
      </c>
      <c r="M159" s="2" t="str">
        <f>CONCATENATE("   ",$M$1,".AddTable(","""",A159,""", ",CONCATENATE("EMyEntityType::",E159),", """,IF(ISERROR(FIND(".",C159)),"",RIGHT(C159, LEN(C159) - FIND(".",C159))),""", """,IF(ISERROR(FIND(".",C159)),"",LEFT(C159, FIND(".",C159)-1)),""", """,IF(ISERROR(FIND("::",D159)),"",RIGHT(D159, LEN(D159) - FIND("::",D159)-1)),""", """,IF(ISERROR(FIND("::",D159)),"",LEFT(D159, FIND("::",D159)-1)),""", """,H159,""", """,I159,""", """,L159,""")")</f>
        <v xml:space="preserve">   dictionary.AddTable("FamilyStatus", EMyEntityType::table, "FamilyStatus", "dbo", "FamilyStatus", "myTest", "System", "SQL", "")</v>
      </c>
    </row>
    <row r="160" spans="1:13" x14ac:dyDescent="0.45">
      <c r="A160" t="s">
        <v>197</v>
      </c>
      <c r="B160">
        <v>1</v>
      </c>
      <c r="C160" t="s">
        <v>139</v>
      </c>
      <c r="D160" t="s">
        <v>139</v>
      </c>
      <c r="E160" t="s">
        <v>20</v>
      </c>
      <c r="F160">
        <v>0</v>
      </c>
      <c r="G160">
        <v>0</v>
      </c>
      <c r="H160" t="s">
        <v>58</v>
      </c>
      <c r="I160" t="s">
        <v>58</v>
      </c>
      <c r="J160" t="s">
        <v>57</v>
      </c>
      <c r="M160" s="2" t="str">
        <f t="shared" ref="M160:M166" si="18">CONCATENATE("      .AddAttribute(",REPT(" ",3-LEN(TEXT(B160, "0"))),TEXT(B160, "0"),", """,C160,""", """,D160,""", """,E160,""", ",F160,", ",G160,", ",H160,", ",I160,", """,L160,"""",    ")")</f>
        <v xml:space="preserve">      .AddAttribute(  1, "ID", "ID", "integer", 0, 0, true, true, "")</v>
      </c>
    </row>
    <row r="161" spans="1:13" x14ac:dyDescent="0.45">
      <c r="A161" t="s">
        <v>197</v>
      </c>
      <c r="B161">
        <v>2</v>
      </c>
      <c r="C161" t="s">
        <v>134</v>
      </c>
      <c r="D161" t="s">
        <v>134</v>
      </c>
      <c r="E161" t="s">
        <v>19</v>
      </c>
      <c r="F161">
        <v>50</v>
      </c>
      <c r="G161">
        <v>0</v>
      </c>
      <c r="H161" t="s">
        <v>58</v>
      </c>
      <c r="I161" t="s">
        <v>57</v>
      </c>
      <c r="J161" t="s">
        <v>58</v>
      </c>
      <c r="M161" s="2" t="str">
        <f t="shared" si="18"/>
        <v xml:space="preserve">      .AddAttribute(  2, "Denotation", "Denotation", "varchar", 50, 0, true, false, "")</v>
      </c>
    </row>
    <row r="162" spans="1:13" x14ac:dyDescent="0.45">
      <c r="A162" t="s">
        <v>197</v>
      </c>
      <c r="B162">
        <v>3</v>
      </c>
      <c r="C162" t="s">
        <v>135</v>
      </c>
      <c r="D162" t="s">
        <v>135</v>
      </c>
      <c r="E162" t="s">
        <v>19</v>
      </c>
      <c r="F162">
        <v>10</v>
      </c>
      <c r="G162">
        <v>0</v>
      </c>
      <c r="H162" t="s">
        <v>57</v>
      </c>
      <c r="I162" t="s">
        <v>57</v>
      </c>
      <c r="J162" t="s">
        <v>57</v>
      </c>
      <c r="M162" s="2" t="str">
        <f t="shared" si="18"/>
        <v xml:space="preserve">      .AddAttribute(  3, "Abbreviation", "Abbreviation", "varchar", 10, 0, false, false, "")</v>
      </c>
    </row>
    <row r="163" spans="1:13" x14ac:dyDescent="0.45">
      <c r="A163" t="s">
        <v>197</v>
      </c>
      <c r="B163">
        <v>4</v>
      </c>
      <c r="C163" t="s">
        <v>136</v>
      </c>
      <c r="D163" t="s">
        <v>136</v>
      </c>
      <c r="E163" t="s">
        <v>81</v>
      </c>
      <c r="F163">
        <v>0</v>
      </c>
      <c r="G163">
        <v>0</v>
      </c>
      <c r="H163" t="s">
        <v>57</v>
      </c>
      <c r="I163" t="s">
        <v>57</v>
      </c>
      <c r="J163" t="s">
        <v>57</v>
      </c>
      <c r="M163" s="2" t="str">
        <f t="shared" si="18"/>
        <v xml:space="preserve">      .AddAttribute(  4, "Description", "Description", "text", 0, 0, false, false, "")</v>
      </c>
    </row>
    <row r="164" spans="1:13" x14ac:dyDescent="0.45">
      <c r="A164" t="s">
        <v>197</v>
      </c>
      <c r="B164">
        <v>5</v>
      </c>
      <c r="C164" t="s">
        <v>200</v>
      </c>
      <c r="D164" t="s">
        <v>200</v>
      </c>
      <c r="E164" t="s">
        <v>27</v>
      </c>
      <c r="F164">
        <v>0</v>
      </c>
      <c r="G164">
        <v>0</v>
      </c>
      <c r="H164" t="s">
        <v>57</v>
      </c>
      <c r="I164" t="s">
        <v>57</v>
      </c>
      <c r="J164" t="s">
        <v>57</v>
      </c>
      <c r="M164" s="2" t="str">
        <f t="shared" si="18"/>
        <v xml:space="preserve">      .AddAttribute(  5, "Coupled", "Coupled", "bool", 0, 0, false, false, "")</v>
      </c>
    </row>
    <row r="165" spans="1:13" x14ac:dyDescent="0.45">
      <c r="A165" t="s">
        <v>197</v>
      </c>
      <c r="B165">
        <v>6</v>
      </c>
      <c r="C165" t="s">
        <v>201</v>
      </c>
      <c r="D165" t="s">
        <v>201</v>
      </c>
      <c r="E165" t="s">
        <v>27</v>
      </c>
      <c r="F165">
        <v>0</v>
      </c>
      <c r="G165">
        <v>0</v>
      </c>
      <c r="H165" t="s">
        <v>57</v>
      </c>
      <c r="I165" t="s">
        <v>57</v>
      </c>
      <c r="J165" t="s">
        <v>57</v>
      </c>
      <c r="M165" s="2" t="str">
        <f t="shared" si="18"/>
        <v xml:space="preserve">      .AddAttribute(  6, "NeedDate", "NeedDate", "bool", 0, 0, false, false, "")</v>
      </c>
    </row>
    <row r="166" spans="1:13" x14ac:dyDescent="0.45">
      <c r="A166" t="s">
        <v>197</v>
      </c>
      <c r="B166">
        <v>7</v>
      </c>
      <c r="C166" t="s">
        <v>138</v>
      </c>
      <c r="D166" t="s">
        <v>138</v>
      </c>
      <c r="E166" t="s">
        <v>27</v>
      </c>
      <c r="F166">
        <v>0</v>
      </c>
      <c r="G166">
        <v>0</v>
      </c>
      <c r="H166" t="s">
        <v>57</v>
      </c>
      <c r="I166" t="s">
        <v>57</v>
      </c>
      <c r="J166" t="s">
        <v>57</v>
      </c>
      <c r="M166" s="2" t="str">
        <f t="shared" si="18"/>
        <v xml:space="preserve">      .AddAttribute(  7, "UrgentValue", "UrgentValue", "bool", 0, 0, false, false, "")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336D8-16AB-4AA5-BD23-7DDE32F337AB}">
  <sheetPr codeName="Tabelle4"/>
  <dimension ref="A1:R29"/>
  <sheetViews>
    <sheetView workbookViewId="0">
      <selection activeCell="R26" sqref="R26"/>
    </sheetView>
  </sheetViews>
  <sheetFormatPr baseColWidth="10" defaultRowHeight="14.25" x14ac:dyDescent="0.45"/>
  <cols>
    <col min="1" max="1" width="15.86328125" customWidth="1"/>
    <col min="2" max="2" width="26.9296875" customWidth="1"/>
    <col min="3" max="3" width="13.46484375" customWidth="1"/>
    <col min="4" max="4" width="37.46484375" customWidth="1"/>
    <col min="5" max="5" width="3.59765625" customWidth="1"/>
    <col min="6" max="6" width="5.59765625" customWidth="1"/>
    <col min="7" max="7" width="3.59765625" customWidth="1"/>
    <col min="8" max="8" width="5.59765625" customWidth="1"/>
    <col min="9" max="9" width="3.59765625" customWidth="1"/>
    <col min="10" max="10" width="5.59765625" customWidth="1"/>
    <col min="11" max="11" width="3.59765625" customWidth="1"/>
    <col min="12" max="12" width="5.59765625" customWidth="1"/>
    <col min="13" max="13" width="3.59765625" customWidth="1"/>
    <col min="14" max="14" width="5.59765625" customWidth="1"/>
    <col min="15" max="15" width="3.59765625" customWidth="1"/>
    <col min="16" max="16" width="5.59765625" customWidth="1"/>
    <col min="18" max="18" width="60.1328125" customWidth="1"/>
  </cols>
  <sheetData>
    <row r="1" spans="1:18" x14ac:dyDescent="0.45">
      <c r="A1" t="s">
        <v>86</v>
      </c>
      <c r="B1" t="s">
        <v>87</v>
      </c>
    </row>
    <row r="2" spans="1:18" x14ac:dyDescent="0.45">
      <c r="A2" t="s">
        <v>23</v>
      </c>
      <c r="B2" t="s">
        <v>102</v>
      </c>
      <c r="C2" t="s">
        <v>95</v>
      </c>
      <c r="D2" t="s">
        <v>103</v>
      </c>
      <c r="E2">
        <v>1</v>
      </c>
      <c r="F2" t="s">
        <v>58</v>
      </c>
      <c r="G2">
        <v>2</v>
      </c>
      <c r="H2" t="s">
        <v>57</v>
      </c>
      <c r="I2">
        <v>3</v>
      </c>
      <c r="J2" t="s">
        <v>57</v>
      </c>
      <c r="R2" t="str" cm="1">
        <f t="array" ref="R2">CONCATENATE("   ",$R$1,".FindTable(""",A2,""").AddIndex(""",B2,""", ",CONCATENATE("EMyIndexType::",C2),", """,D2,""", ",ListePaare(E2:P2)," );")</f>
        <v xml:space="preserve">   .FindTable("Berlin").AddIndex("idXBerlinStrasse", EMyIndexType::undefined, "Testindex für die Tabelle", { { 1, true }, { 2, false }, { 3, false } } );</v>
      </c>
    </row>
    <row r="6" spans="1:18" x14ac:dyDescent="0.45">
      <c r="A6" t="s">
        <v>106</v>
      </c>
      <c r="B6" t="s">
        <v>230</v>
      </c>
      <c r="C6" t="s">
        <v>205</v>
      </c>
      <c r="D6" t="s">
        <v>231</v>
      </c>
      <c r="E6">
        <v>2</v>
      </c>
      <c r="F6" t="s">
        <v>58</v>
      </c>
      <c r="R6" t="str" cm="1">
        <f t="array" ref="R6">CONCATENATE("   .AddIndex(""",B6,""", ",CONCATENATE("EMyIndexType::",C6),", """,D6,""", ",ListePaare(E6:P6)," )")</f>
        <v xml:space="preserve">   .AddIndex("uk_AddressType_Denotation", EMyIndexType::key, "unique / representative denotation for an addresstye as key canditate", { { 2, true } } )</v>
      </c>
    </row>
    <row r="8" spans="1:18" x14ac:dyDescent="0.45">
      <c r="A8" t="s">
        <v>105</v>
      </c>
      <c r="B8" t="s">
        <v>232</v>
      </c>
      <c r="C8" t="s">
        <v>95</v>
      </c>
      <c r="D8" t="s">
        <v>233</v>
      </c>
      <c r="E8">
        <v>4</v>
      </c>
      <c r="F8" t="s">
        <v>58</v>
      </c>
      <c r="G8">
        <v>5</v>
      </c>
      <c r="H8" t="s">
        <v>58</v>
      </c>
      <c r="R8" t="str" cm="1">
        <f t="array" ref="R8">CONCATENATE("   .AddIndex(""",B8,""", ",CONCATENATE("EMyIndexType::",C8),", """,D8,""", ",ListePaare(E8:P8)," )")</f>
        <v xml:space="preserve">   .AddIndex("idx_Address_City_Street", EMyIndexType::undefined, "access path to search for city / street combinations in addresses", { { 4, true }, { 5, true } } )</v>
      </c>
    </row>
    <row r="10" spans="1:18" x14ac:dyDescent="0.45">
      <c r="A10" t="s">
        <v>106</v>
      </c>
      <c r="B10" t="s">
        <v>230</v>
      </c>
      <c r="C10" t="s">
        <v>205</v>
      </c>
      <c r="D10" t="s">
        <v>231</v>
      </c>
      <c r="E10">
        <v>2</v>
      </c>
      <c r="F10" t="s">
        <v>58</v>
      </c>
      <c r="R10" t="str" cm="1">
        <f t="array" ref="R10">CONCATENATE("   .AddIndex(""",B10,""", ",CONCATENATE("EMyIndexType::",C10),", """,D10,""", ",ListePaare(E10:P10)," )")</f>
        <v xml:space="preserve">   .AddIndex("uk_AddressType_Denotation", EMyIndexType::key, "unique / representative denotation for an addresstye as key canditate", { { 2, true } } )</v>
      </c>
    </row>
    <row r="12" spans="1:18" x14ac:dyDescent="0.45">
      <c r="A12" t="s">
        <v>107</v>
      </c>
      <c r="B12" t="s">
        <v>250</v>
      </c>
      <c r="C12" t="s">
        <v>95</v>
      </c>
      <c r="D12" t="s">
        <v>251</v>
      </c>
      <c r="E12">
        <v>4</v>
      </c>
      <c r="F12" t="s">
        <v>58</v>
      </c>
      <c r="R12" t="str" cm="1">
        <f t="array" ref="R12">CONCATENATE("   .AddIndex(""",B12,""", ",CONCATENATE("EMyIndexType::",C12),", """,D12,""", ",ListePaare(E12:P12)," )")</f>
        <v xml:space="preserve">   .AddIndex("idx_Banking_IBAN", EMyIndexType::undefined, "access path to search a specific IBAN account number in data", { { 4, true } } )</v>
      </c>
    </row>
    <row r="14" spans="1:18" x14ac:dyDescent="0.45">
      <c r="A14" t="s">
        <v>108</v>
      </c>
      <c r="B14" t="s">
        <v>259</v>
      </c>
      <c r="C14" t="s">
        <v>205</v>
      </c>
      <c r="D14" t="s">
        <v>260</v>
      </c>
      <c r="E14">
        <v>2</v>
      </c>
      <c r="F14" t="s">
        <v>58</v>
      </c>
      <c r="R14" t="str" cm="1">
        <f t="array" ref="R14">CONCATENATE("   .AddIndex(""",B14,""", ",CONCATENATE("EMyIndexType::",C14),", """,D14,""", ",ListePaare(E14:P14)," )")</f>
        <v xml:space="preserve">   .AddIndex("uk_BankingTypes_Denotation", EMyIndexType::key, "unique / representative denotation for an banking type as key canditate for this entity", { { 2, true } } )</v>
      </c>
    </row>
    <row r="26" spans="1:18" x14ac:dyDescent="0.45">
      <c r="A26" t="s">
        <v>111</v>
      </c>
      <c r="B26" t="s">
        <v>291</v>
      </c>
      <c r="C26" t="s">
        <v>205</v>
      </c>
      <c r="D26" t="s">
        <v>295</v>
      </c>
      <c r="E26">
        <v>2</v>
      </c>
      <c r="F26" t="s">
        <v>58</v>
      </c>
      <c r="R26" t="str" cm="1">
        <f t="array" ref="R26">CONCATENATE("   .AddIndex(""",B26,""", ",CONCATENATE("EMyIndexType::",C26),", """,D26,""", ",ListePaare(E26:P26)," )")</f>
        <v xml:space="preserve">   .AddIndex("uk_Employees_PersonNumber", EMyIndexType::key, "unique personal number of a employee in company (key canditate)", { { 2, true } } )</v>
      </c>
    </row>
    <row r="27" spans="1:18" x14ac:dyDescent="0.45">
      <c r="A27" t="s">
        <v>111</v>
      </c>
      <c r="B27" t="s">
        <v>294</v>
      </c>
      <c r="C27" t="s">
        <v>205</v>
      </c>
      <c r="D27" t="s">
        <v>296</v>
      </c>
      <c r="E27">
        <v>8</v>
      </c>
      <c r="F27" t="s">
        <v>58</v>
      </c>
      <c r="R27" t="str" cm="1">
        <f t="array" ref="R27">CONCATENATE("   .AddIndex(""",B27,""", ",CONCATENATE("EMyIndexType::",C27),", """,D27,""", ",ListePaare(E27:P27)," )")</f>
        <v xml:space="preserve">   .AddIndex("uk_Employees_SocialNumber", EMyIndexType::key, "extern unique number of an employee (key canditate)", { { 8, true } } )</v>
      </c>
    </row>
    <row r="28" spans="1:18" x14ac:dyDescent="0.45">
      <c r="A28" t="s">
        <v>111</v>
      </c>
      <c r="B28" t="s">
        <v>292</v>
      </c>
      <c r="C28" t="s">
        <v>95</v>
      </c>
      <c r="D28" t="s">
        <v>293</v>
      </c>
      <c r="E28">
        <v>6</v>
      </c>
      <c r="F28" t="s">
        <v>58</v>
      </c>
      <c r="R28" t="str" cm="1">
        <f t="array" ref="R28">CONCATENATE("   .AddIndex(""",B28,""", ",CONCATENATE("EMyIndexType::",C28),", """,D28,""", ",ListePaare(E28:P28)," )")</f>
        <v xml:space="preserve">   .AddIndex("idx_Employees_JobSpec", EMyIndexType::undefined, "access path to search for informations about job specifications", { { 6, true } } )</v>
      </c>
    </row>
    <row r="29" spans="1:18" x14ac:dyDescent="0.45">
      <c r="A29" t="s">
        <v>111</v>
      </c>
      <c r="B29" t="s">
        <v>305</v>
      </c>
      <c r="C29" t="s">
        <v>95</v>
      </c>
      <c r="D29" t="s">
        <v>306</v>
      </c>
      <c r="E29">
        <v>9</v>
      </c>
      <c r="F29" t="s">
        <v>58</v>
      </c>
      <c r="R29" t="str" cm="1">
        <f t="array" ref="R29">CONCATENATE("   .AddIndex(""",B29,""", ",CONCATENATE("EMyIndexType::",C29),", """,D29,""", ",ListePaare(E29:P29)," )")</f>
        <v xml:space="preserve">   .AddIndex("idx_Employees_Active", EMyIndexType::undefined, "access path to search / filter all active employees", { { 9, true } } )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69782-79A6-40F2-8363-80FD0F3CFB3A}">
  <sheetPr codeName="Tabelle2"/>
  <dimension ref="A1:Z21"/>
  <sheetViews>
    <sheetView workbookViewId="0">
      <selection activeCell="N19" sqref="N19"/>
    </sheetView>
  </sheetViews>
  <sheetFormatPr baseColWidth="10" defaultRowHeight="14.25" x14ac:dyDescent="0.45"/>
  <cols>
    <col min="2" max="2" width="24.9296875" customWidth="1"/>
    <col min="3" max="3" width="13.19921875" customWidth="1"/>
    <col min="4" max="13" width="3.59765625" customWidth="1"/>
    <col min="14" max="14" width="13.9296875" customWidth="1"/>
    <col min="15" max="24" width="3.59765625" customWidth="1"/>
    <col min="25" max="25" width="58.9296875" customWidth="1"/>
    <col min="26" max="26" width="132.6640625" customWidth="1"/>
  </cols>
  <sheetData>
    <row r="1" spans="1:26" x14ac:dyDescent="0.45">
      <c r="A1" t="s">
        <v>86</v>
      </c>
      <c r="B1" t="s">
        <v>87</v>
      </c>
      <c r="N1" t="s">
        <v>88</v>
      </c>
      <c r="Y1" t="s">
        <v>59</v>
      </c>
      <c r="Z1" t="s">
        <v>64</v>
      </c>
    </row>
    <row r="2" spans="1:26" x14ac:dyDescent="0.45">
      <c r="A2" t="s">
        <v>23</v>
      </c>
      <c r="B2" t="s">
        <v>89</v>
      </c>
      <c r="C2" t="s">
        <v>99</v>
      </c>
      <c r="D2">
        <v>1</v>
      </c>
      <c r="E2">
        <v>3</v>
      </c>
      <c r="F2">
        <v>5</v>
      </c>
      <c r="N2" t="s">
        <v>23</v>
      </c>
      <c r="O2">
        <v>1</v>
      </c>
      <c r="P2">
        <v>7</v>
      </c>
      <c r="Q2">
        <v>5</v>
      </c>
      <c r="Y2" t="s">
        <v>104</v>
      </c>
      <c r="Z2" t="str" cm="1">
        <f t="array" ref="Z2">IF(LängeListe(D2:M2)=LängeListe(O2:X2),CONCATENATE("   ",$Z$1,".FindTable(""",A2,""").AddReference(""",B2,""", ",CONCATENATE("EMyReferenceType::",C2),",  """,N2,""", """,Y2,""", ",PaarListe(D2:M2,O2:X2)," );"),"nein")</f>
        <v xml:space="preserve">   dictionary.FindTable("Berlin").AddReference("refBerlin", EMyReferenceType::assoziation,  "Berlin", "Tabelle mit den ursprünglichen Importdaten von Berlin", { {1,1}, {3,7}, {5,5} } );</v>
      </c>
    </row>
    <row r="4" spans="1:26" x14ac:dyDescent="0.45">
      <c r="A4" t="s">
        <v>23</v>
      </c>
      <c r="B4" t="s">
        <v>89</v>
      </c>
      <c r="C4" t="s">
        <v>99</v>
      </c>
      <c r="D4">
        <v>1</v>
      </c>
      <c r="E4">
        <v>3</v>
      </c>
      <c r="F4">
        <v>5</v>
      </c>
      <c r="N4" t="s">
        <v>23</v>
      </c>
      <c r="O4">
        <v>1</v>
      </c>
      <c r="P4">
        <v>7</v>
      </c>
      <c r="Q4">
        <v>5</v>
      </c>
      <c r="Z4" t="str" cm="1">
        <f t="array" ref="Z4">IF(LängeListe(D4:M4)=LängeListe(O4:X4),CONCATENATE("   ",$Z$1,".FindTable(""",A4,""").AddReference(""",B4,""", ",CONCATENATE("EMyReferenceType::",C4),",  """,N4,""", """,Y4,""", ",PaarListe(D4:M4,O4:X4)," );"),"nein")</f>
        <v xml:space="preserve">   dictionary.FindTable("Berlin").AddReference("refBerlin", EMyReferenceType::assoziation,  "Berlin", "", { {1,1}, {3,7}, {5,5} } );</v>
      </c>
    </row>
    <row r="9" spans="1:26" x14ac:dyDescent="0.45">
      <c r="A9" t="s">
        <v>105</v>
      </c>
      <c r="B9" t="s">
        <v>214</v>
      </c>
      <c r="C9" t="s">
        <v>101</v>
      </c>
      <c r="D9">
        <v>1</v>
      </c>
      <c r="N9" t="s">
        <v>117</v>
      </c>
      <c r="O9">
        <v>1</v>
      </c>
      <c r="Y9" t="s">
        <v>217</v>
      </c>
      <c r="Z9" t="str" cm="1">
        <f t="array" ref="Z9">IF(LängeListe(D9:M9)=LängeListe(O9:X9),CONCATENATE("   .AddReference(""",B9,""", ",CONCATENATE("EMyReferenceType::",C9),",  """,N9,""", """,Y9,""", ",PaarListe(D9:M9,O9:X9)," )"),"nein")</f>
        <v xml:space="preserve">   .AddReference("refAddress2Person", EMyReferenceType::komposition,  "Person", "part of relationship from a address to the person who own it", { {1,1} } )</v>
      </c>
    </row>
    <row r="10" spans="1:26" x14ac:dyDescent="0.45">
      <c r="A10" t="s">
        <v>105</v>
      </c>
      <c r="B10" t="s">
        <v>216</v>
      </c>
      <c r="C10" t="s">
        <v>98</v>
      </c>
      <c r="D10">
        <v>2</v>
      </c>
      <c r="N10" t="s">
        <v>106</v>
      </c>
      <c r="O10">
        <v>1</v>
      </c>
      <c r="Y10" t="s">
        <v>215</v>
      </c>
      <c r="Z10" t="str" cm="1">
        <f t="array" ref="Z10">IF(LängeListe(D10:M10)=LängeListe(O10:X10),CONCATENATE("   .AddReference(""",B10,""", ",CONCATENATE("EMyReferenceType::",C10),",  """,N10,""", """,Y10,""", ",PaarListe(D10:M10,O10:X10)," )"),"nein")</f>
        <v xml:space="preserve">   .AddReference("refAddress2AddressType", EMyReferenceType::range,  "AddressTypes", "range value to extent the relationship of a person to an address", { {2,1} } )</v>
      </c>
    </row>
    <row r="11" spans="1:26" x14ac:dyDescent="0.45">
      <c r="A11" t="s">
        <v>105</v>
      </c>
      <c r="B11" t="s">
        <v>218</v>
      </c>
      <c r="C11" t="s">
        <v>99</v>
      </c>
      <c r="D11">
        <v>7</v>
      </c>
      <c r="N11" t="s">
        <v>109</v>
      </c>
      <c r="O11">
        <v>1</v>
      </c>
      <c r="Y11" t="s">
        <v>256</v>
      </c>
      <c r="Z11" t="str" cm="1">
        <f t="array" ref="Z11">IF(LängeListe(D11:M11)=LängeListe(O11:X11),CONCATENATE("   .AddReference(""",B11,""", ",CONCATENATE("EMyReferenceType::",C11),",  """,N11,""", """,Y11,""", ",PaarListe(D11:M11,O11:X11)," )"),"nein")</f>
        <v xml:space="preserve">   .AddReference("refAddress2Countries", EMyReferenceType::assoziation,  "Countries", "key ID to the associated entity of Countries, where this address is located", { {7,1} } )</v>
      </c>
    </row>
    <row r="13" spans="1:26" x14ac:dyDescent="0.45">
      <c r="A13" t="s">
        <v>107</v>
      </c>
      <c r="B13" t="s">
        <v>253</v>
      </c>
      <c r="C13" t="s">
        <v>101</v>
      </c>
      <c r="D13">
        <v>1</v>
      </c>
      <c r="N13" t="s">
        <v>117</v>
      </c>
      <c r="O13">
        <v>1</v>
      </c>
      <c r="Y13" t="s">
        <v>257</v>
      </c>
      <c r="Z13" t="str" cm="1">
        <f t="array" ref="Z13">IF(LängeListe(D13:M13)=LängeListe(O13:X13),CONCATENATE("   .AddReference(""",B13,""", ",CONCATENATE("EMyReferenceType::",C13),",  """,N13,""", """,Y13,""", ",PaarListe(D13:M13,O13:X13)," )"),"nein")</f>
        <v xml:space="preserve">   .AddReference("refBanking2Person", EMyReferenceType::komposition,  "Person", "part of relationship from a banking account to the person who own it", { {1,1} } )</v>
      </c>
    </row>
    <row r="14" spans="1:26" x14ac:dyDescent="0.45">
      <c r="A14" t="s">
        <v>107</v>
      </c>
      <c r="B14" t="s">
        <v>254</v>
      </c>
      <c r="C14" t="s">
        <v>98</v>
      </c>
      <c r="D14">
        <v>2</v>
      </c>
      <c r="N14" t="s">
        <v>108</v>
      </c>
      <c r="O14">
        <v>1</v>
      </c>
      <c r="Y14" t="s">
        <v>258</v>
      </c>
      <c r="Z14" t="str" cm="1">
        <f t="array" ref="Z14">IF(LängeListe(D14:M14)=LängeListe(O14:X14),CONCATENATE("   .AddReference(""",B14,""", ",CONCATENATE("EMyReferenceType::",C14),",  """,N14,""", """,Y14,""", ",PaarListe(D14:M14,O14:X14)," )"),"nein")</f>
        <v xml:space="preserve">   .AddReference("refBanking2Type", EMyReferenceType::range,  "BankingTypes", "range value to extent the relationship of a person to an banking account", { {2,1} } )</v>
      </c>
    </row>
    <row r="15" spans="1:26" x14ac:dyDescent="0.45">
      <c r="A15" t="s">
        <v>107</v>
      </c>
      <c r="B15" t="s">
        <v>252</v>
      </c>
      <c r="C15" t="s">
        <v>99</v>
      </c>
      <c r="D15">
        <v>7</v>
      </c>
      <c r="N15" t="s">
        <v>109</v>
      </c>
      <c r="O15">
        <v>1</v>
      </c>
      <c r="Y15" t="s">
        <v>255</v>
      </c>
      <c r="Z15" t="str" cm="1">
        <f t="array" ref="Z15">IF(LängeListe(D15:M15)=LängeListe(O15:X15),CONCATENATE("   .AddReference(""",B15,""", ",CONCATENATE("EMyReferenceType::",C15),",  """,N15,""", """,Y15,""", ",PaarListe(D15:M15,O15:X15)," )"),"nein")</f>
        <v xml:space="preserve">   .AddReference("refBanking2Countries", EMyReferenceType::assoziation,  "Countries", "key ID to the associated entity of Countries, where bank who manage this account is located", { {7,1} } )</v>
      </c>
    </row>
    <row r="19" spans="1:26" x14ac:dyDescent="0.45">
      <c r="A19" t="s">
        <v>111</v>
      </c>
      <c r="B19" t="s">
        <v>282</v>
      </c>
      <c r="C19" t="s">
        <v>97</v>
      </c>
      <c r="D19">
        <v>1</v>
      </c>
      <c r="N19" t="s">
        <v>117</v>
      </c>
      <c r="O19">
        <v>1</v>
      </c>
      <c r="Y19" t="s">
        <v>283</v>
      </c>
      <c r="Z19" t="str" cm="1">
        <f t="array" ref="Z19">IF(LängeListe(D19:M19)=LängeListe(O19:X19),CONCATENATE("   .AddReference(""",B19,""", ",CONCATENATE("EMyReferenceType::",C19),",  """,N19,""", """,Y19,""", ",PaarListe(D19:M19,O19:X19)," )"),"nein")</f>
        <v xml:space="preserve">   .AddReference("refEmployees2Person", EMyReferenceType::generalization,  "Person", "generalization from an employee to a person (is-a relationship)", { {1,1} } )</v>
      </c>
    </row>
    <row r="20" spans="1:26" x14ac:dyDescent="0.45">
      <c r="A20" t="s">
        <v>111</v>
      </c>
      <c r="B20" t="s">
        <v>284</v>
      </c>
      <c r="C20" t="s">
        <v>98</v>
      </c>
      <c r="D20">
        <v>5</v>
      </c>
      <c r="N20" t="s">
        <v>116</v>
      </c>
      <c r="O20">
        <v>1</v>
      </c>
      <c r="Y20" t="s">
        <v>285</v>
      </c>
      <c r="Z20" t="str" cm="1">
        <f t="array" ref="Z20">IF(LängeListe(D20:M20)=LängeListe(O20:X20),CONCATENATE("   .AddReference(""",B20,""", ",CONCATENATE("EMyReferenceType::",C20),",  """,N20,""", """,Y20,""", ",PaarListe(D20:M20,O20:X20)," )"),"nein")</f>
        <v xml:space="preserve">   .AddReference("refEmployees2JobPositions", EMyReferenceType::range,  "JobPositions", "range value as domain for this attribute, possible jobpositions in company", { {5,1} } )</v>
      </c>
    </row>
    <row r="21" spans="1:26" x14ac:dyDescent="0.45">
      <c r="A21" t="s">
        <v>111</v>
      </c>
      <c r="B21" t="s">
        <v>286</v>
      </c>
      <c r="C21" t="s">
        <v>99</v>
      </c>
      <c r="D21">
        <v>7</v>
      </c>
      <c r="N21" t="s">
        <v>161</v>
      </c>
      <c r="O21">
        <v>1</v>
      </c>
      <c r="Y21" t="s">
        <v>287</v>
      </c>
      <c r="Z21" t="str" cm="1">
        <f t="array" ref="Z21">IF(LängeListe(D21:M21)=LängeListe(O21:X21),CONCATENATE("   .AddReference(""",B21,""", ",CONCATENATE("EMyReferenceType::",C21),",  """,N21,""", """,Y21,""", ",PaarListe(D21:M21,O21:X21)," )"),"nein")</f>
        <v xml:space="preserve">   .AddReference("refEmployees2Department", EMyReferenceType::assoziation,  "Department", "assoziations between an employee to the department where she/he work", { {7,1} } )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632B8-F862-416B-9C43-105A90211BAC}">
  <sheetPr codeName="Tabelle3"/>
  <dimension ref="A1:K30"/>
  <sheetViews>
    <sheetView zoomScale="115" zoomScaleNormal="115" workbookViewId="0">
      <selection activeCell="H5" sqref="H5"/>
    </sheetView>
  </sheetViews>
  <sheetFormatPr baseColWidth="10" defaultRowHeight="14.25" x14ac:dyDescent="0.45"/>
  <cols>
    <col min="1" max="1" width="11.9296875" bestFit="1" customWidth="1"/>
    <col min="2" max="2" width="14.73046875" customWidth="1"/>
    <col min="3" max="3" width="5.9296875" customWidth="1"/>
    <col min="4" max="4" width="6.6640625" customWidth="1"/>
    <col min="5" max="5" width="34.33203125" customWidth="1"/>
    <col min="6" max="6" width="12.46484375" customWidth="1"/>
    <col min="7" max="7" width="3.73046875" customWidth="1"/>
    <col min="8" max="8" width="32.59765625" customWidth="1"/>
    <col min="9" max="9" width="6.33203125" customWidth="1"/>
    <col min="10" max="10" width="39.1328125" customWidth="1"/>
    <col min="11" max="11" width="108.59765625" bestFit="1" customWidth="1"/>
  </cols>
  <sheetData>
    <row r="1" spans="1:11" x14ac:dyDescent="0.45">
      <c r="K1" t="s">
        <v>64</v>
      </c>
    </row>
    <row r="2" spans="1:11" x14ac:dyDescent="0.45">
      <c r="A2" s="1" t="s">
        <v>34</v>
      </c>
      <c r="B2" s="1" t="s">
        <v>35</v>
      </c>
      <c r="C2" s="1" t="s">
        <v>36</v>
      </c>
      <c r="D2" s="1" t="s">
        <v>37</v>
      </c>
      <c r="E2" s="1" t="s">
        <v>38</v>
      </c>
      <c r="F2" s="1" t="s">
        <v>90</v>
      </c>
      <c r="G2" s="1" t="s">
        <v>167</v>
      </c>
      <c r="H2" s="1" t="s">
        <v>212</v>
      </c>
      <c r="I2" s="1"/>
      <c r="J2" s="1" t="s">
        <v>59</v>
      </c>
    </row>
    <row r="3" spans="1:11" x14ac:dyDescent="0.45">
      <c r="A3" t="s">
        <v>32</v>
      </c>
      <c r="B3" t="s">
        <v>73</v>
      </c>
      <c r="C3" t="s">
        <v>57</v>
      </c>
      <c r="D3" t="s">
        <v>57</v>
      </c>
      <c r="E3" t="s">
        <v>33</v>
      </c>
      <c r="G3" t="s">
        <v>65</v>
      </c>
      <c r="H3" s="3" t="s">
        <v>206</v>
      </c>
      <c r="I3" t="s">
        <v>57</v>
      </c>
      <c r="J3" t="s">
        <v>60</v>
      </c>
      <c r="K3" t="str">
        <f>CONCATENATE("   ",$K$1,".AddDataType(""",A3,""", """,B3, """, ",C3,", ",D3, ", """,E3,""", """,F3,""", """,G3,""", """,H3,""", ",I3,", """,J3,"""",    " );")</f>
        <v xml:space="preserve">   dictionary.AddDataType("bigint", "BIGINT", false, false, "long long", "", "i", "0", false, "große Ganzzahl" );</v>
      </c>
    </row>
    <row r="4" spans="1:11" x14ac:dyDescent="0.45">
      <c r="A4" t="s">
        <v>27</v>
      </c>
      <c r="B4" t="s">
        <v>74</v>
      </c>
      <c r="C4" t="s">
        <v>57</v>
      </c>
      <c r="D4" t="s">
        <v>57</v>
      </c>
      <c r="E4" t="s">
        <v>27</v>
      </c>
      <c r="G4" t="s">
        <v>66</v>
      </c>
      <c r="H4" t="s">
        <v>57</v>
      </c>
      <c r="I4" t="s">
        <v>57</v>
      </c>
      <c r="K4" t="str">
        <f t="shared" ref="K4:K13" si="0">CONCATENATE("   ",$K$1,".AddDataType(""",A4,""", """,B4, """, ",C4,", ",D4, ", """,E4,""", """,F4,""", """,G4,""", """,H4,""", ",I4,", """,J4,"""",    " );")</f>
        <v xml:space="preserve">   dictionary.AddDataType("bool", "SMALLINT", false, false, "bool", "", "bo", "false", false, "" );</v>
      </c>
    </row>
    <row r="5" spans="1:11" x14ac:dyDescent="0.45">
      <c r="A5" t="s">
        <v>24</v>
      </c>
      <c r="B5" t="s">
        <v>75</v>
      </c>
      <c r="C5" t="s">
        <v>58</v>
      </c>
      <c r="D5" t="s">
        <v>57</v>
      </c>
      <c r="E5" t="s">
        <v>26</v>
      </c>
      <c r="F5" t="s">
        <v>204</v>
      </c>
      <c r="G5" t="s">
        <v>68</v>
      </c>
      <c r="H5" s="3" t="s">
        <v>207</v>
      </c>
      <c r="I5" t="s">
        <v>58</v>
      </c>
      <c r="J5" t="s">
        <v>63</v>
      </c>
      <c r="K5" t="str">
        <f t="shared" si="0"/>
        <v xml:space="preserve">   dictionary.AddDataType("char", "CHAR", true, false, "std::string", "&lt;string&gt;", "c", "' '", true, "Zeichenkette mit fester Länge" );</v>
      </c>
    </row>
    <row r="6" spans="1:11" x14ac:dyDescent="0.45">
      <c r="A6" t="s">
        <v>22</v>
      </c>
      <c r="B6" t="s">
        <v>76</v>
      </c>
      <c r="C6" t="s">
        <v>57</v>
      </c>
      <c r="D6" t="s">
        <v>57</v>
      </c>
      <c r="E6" t="s">
        <v>29</v>
      </c>
      <c r="F6" t="s">
        <v>203</v>
      </c>
      <c r="G6" t="s">
        <v>67</v>
      </c>
      <c r="H6" t="s">
        <v>208</v>
      </c>
      <c r="I6" t="s">
        <v>57</v>
      </c>
      <c r="K6" t="str">
        <f t="shared" si="0"/>
        <v xml:space="preserve">   dictionary.AddDataType("date", "DATE", false, false, "std::chrono::year_month_day", "&lt;chrono&gt;", "da", "std::chrono::system_clock::now()", false, "" );</v>
      </c>
    </row>
    <row r="7" spans="1:11" x14ac:dyDescent="0.45">
      <c r="A7" t="s">
        <v>30</v>
      </c>
      <c r="B7" t="s">
        <v>76</v>
      </c>
      <c r="C7" t="s">
        <v>57</v>
      </c>
      <c r="D7" t="s">
        <v>57</v>
      </c>
      <c r="E7" t="s">
        <v>31</v>
      </c>
      <c r="F7" t="s">
        <v>203</v>
      </c>
      <c r="G7" t="s">
        <v>69</v>
      </c>
      <c r="H7" t="s">
        <v>209</v>
      </c>
      <c r="I7" t="s">
        <v>57</v>
      </c>
      <c r="K7" t="str">
        <f t="shared" si="0"/>
        <v xml:space="preserve">   dictionary.AddDataType("datetime", "DATE", false, false, "std::chrono::system_clock::time_point&gt;", "&lt;chrono&gt;", "dt", "std::chrono::floor&lt;std::chrono::days&gt;(std::chrono::system_clock::now())", false, "" );</v>
      </c>
    </row>
    <row r="8" spans="1:11" x14ac:dyDescent="0.45">
      <c r="A8" t="s">
        <v>25</v>
      </c>
      <c r="B8" t="s">
        <v>77</v>
      </c>
      <c r="C8" t="s">
        <v>58</v>
      </c>
      <c r="D8" t="s">
        <v>58</v>
      </c>
      <c r="E8" t="s">
        <v>21</v>
      </c>
      <c r="G8" t="s">
        <v>70</v>
      </c>
      <c r="H8" t="s">
        <v>210</v>
      </c>
      <c r="I8" t="s">
        <v>58</v>
      </c>
      <c r="J8" t="s">
        <v>61</v>
      </c>
      <c r="K8" t="str">
        <f t="shared" si="0"/>
        <v xml:space="preserve">   dictionary.AddDataType("decimal", "DECIMAL", true, true, "double", "", "fl", "0.0", true, "binary coded decimal" );</v>
      </c>
    </row>
    <row r="9" spans="1:11" x14ac:dyDescent="0.45">
      <c r="A9" t="s">
        <v>21</v>
      </c>
      <c r="B9" t="s">
        <v>78</v>
      </c>
      <c r="C9" t="s">
        <v>57</v>
      </c>
      <c r="D9" t="s">
        <v>57</v>
      </c>
      <c r="E9" t="s">
        <v>21</v>
      </c>
      <c r="G9" t="s">
        <v>70</v>
      </c>
      <c r="H9" t="s">
        <v>210</v>
      </c>
      <c r="I9" t="s">
        <v>58</v>
      </c>
      <c r="K9" t="str">
        <f t="shared" si="0"/>
        <v xml:space="preserve">   dictionary.AddDataType("double", "FLOAT", false, false, "double", "", "fl", "0.0", true, "" );</v>
      </c>
    </row>
    <row r="10" spans="1:11" x14ac:dyDescent="0.45">
      <c r="A10" t="s">
        <v>20</v>
      </c>
      <c r="B10" t="s">
        <v>79</v>
      </c>
      <c r="C10" t="s">
        <v>57</v>
      </c>
      <c r="D10" t="s">
        <v>57</v>
      </c>
      <c r="E10" t="s">
        <v>28</v>
      </c>
      <c r="G10" t="s">
        <v>65</v>
      </c>
      <c r="H10" s="3" t="s">
        <v>206</v>
      </c>
      <c r="I10" t="s">
        <v>57</v>
      </c>
      <c r="K10" t="str">
        <f t="shared" si="0"/>
        <v xml:space="preserve">   dictionary.AddDataType("integer", "INT", false, false, "int", "", "i", "0", false, "" );</v>
      </c>
    </row>
    <row r="11" spans="1:11" x14ac:dyDescent="0.45">
      <c r="A11" t="s">
        <v>140</v>
      </c>
      <c r="B11" t="s">
        <v>74</v>
      </c>
      <c r="C11" t="s">
        <v>57</v>
      </c>
      <c r="D11" t="s">
        <v>57</v>
      </c>
      <c r="E11" t="s">
        <v>28</v>
      </c>
      <c r="G11" t="s">
        <v>65</v>
      </c>
      <c r="H11" s="3" t="s">
        <v>206</v>
      </c>
      <c r="I11" t="s">
        <v>57</v>
      </c>
      <c r="J11" t="s">
        <v>190</v>
      </c>
      <c r="K11" t="str">
        <f t="shared" si="0"/>
        <v xml:space="preserve">   dictionary.AddDataType("smallint", "SMALLINT", false, false, "int", "", "i", "0", false, "normalerweise als bool interpretierter SmallInt- Type" );</v>
      </c>
    </row>
    <row r="12" spans="1:11" x14ac:dyDescent="0.45">
      <c r="A12" t="s">
        <v>19</v>
      </c>
      <c r="B12" t="s">
        <v>80</v>
      </c>
      <c r="C12" t="s">
        <v>58</v>
      </c>
      <c r="D12" t="s">
        <v>57</v>
      </c>
      <c r="E12" t="s">
        <v>26</v>
      </c>
      <c r="F12" t="s">
        <v>204</v>
      </c>
      <c r="G12" t="s">
        <v>71</v>
      </c>
      <c r="H12" s="3" t="s">
        <v>211</v>
      </c>
      <c r="I12" t="s">
        <v>58</v>
      </c>
      <c r="J12" t="s">
        <v>62</v>
      </c>
      <c r="K12" t="str">
        <f t="shared" si="0"/>
        <v xml:space="preserve">   dictionary.AddDataType("varchar", "VARCHAR", true, false, "std::string", "&lt;string&gt;", "str", "\"\"", true, "Zeichenkette mit variabler Länge" );</v>
      </c>
    </row>
    <row r="13" spans="1:11" x14ac:dyDescent="0.45">
      <c r="A13" t="s">
        <v>81</v>
      </c>
      <c r="B13" t="s">
        <v>82</v>
      </c>
      <c r="C13" t="s">
        <v>57</v>
      </c>
      <c r="D13" t="s">
        <v>57</v>
      </c>
      <c r="E13" t="s">
        <v>26</v>
      </c>
      <c r="F13" t="s">
        <v>204</v>
      </c>
      <c r="G13" t="s">
        <v>71</v>
      </c>
      <c r="H13" s="3" t="s">
        <v>211</v>
      </c>
      <c r="I13" t="s">
        <v>58</v>
      </c>
      <c r="J13" t="s">
        <v>83</v>
      </c>
      <c r="K13" t="str">
        <f t="shared" si="0"/>
        <v xml:space="preserve">   dictionary.AddDataType("text", "VARCHAR(MAX)", false, false, "std::string", "&lt;string&gt;", "str", "\"\"", true, "Text, Zeichenkette mit maximaler Länge" );</v>
      </c>
    </row>
    <row r="17" spans="1:1" x14ac:dyDescent="0.45">
      <c r="A17" s="1" t="s">
        <v>91</v>
      </c>
    </row>
    <row r="18" spans="1:1" x14ac:dyDescent="0.45">
      <c r="A18" t="s">
        <v>95</v>
      </c>
    </row>
    <row r="19" spans="1:1" x14ac:dyDescent="0.45">
      <c r="A19" t="s">
        <v>205</v>
      </c>
    </row>
    <row r="20" spans="1:1" x14ac:dyDescent="0.45">
      <c r="A20" t="s">
        <v>92</v>
      </c>
    </row>
    <row r="21" spans="1:1" x14ac:dyDescent="0.45">
      <c r="A21" t="s">
        <v>93</v>
      </c>
    </row>
    <row r="22" spans="1:1" x14ac:dyDescent="0.45">
      <c r="A22" t="s">
        <v>94</v>
      </c>
    </row>
    <row r="24" spans="1:1" x14ac:dyDescent="0.45">
      <c r="A24" s="1" t="s">
        <v>96</v>
      </c>
    </row>
    <row r="25" spans="1:1" x14ac:dyDescent="0.45">
      <c r="A25" t="s">
        <v>95</v>
      </c>
    </row>
    <row r="26" spans="1:1" x14ac:dyDescent="0.45">
      <c r="A26" t="s">
        <v>97</v>
      </c>
    </row>
    <row r="27" spans="1:1" x14ac:dyDescent="0.45">
      <c r="A27" t="s">
        <v>98</v>
      </c>
    </row>
    <row r="28" spans="1:1" x14ac:dyDescent="0.45">
      <c r="A28" t="s">
        <v>99</v>
      </c>
    </row>
    <row r="29" spans="1:1" x14ac:dyDescent="0.45">
      <c r="A29" t="s">
        <v>100</v>
      </c>
    </row>
    <row r="30" spans="1:1" x14ac:dyDescent="0.45">
      <c r="A30" t="s">
        <v>101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Daten</vt:lpstr>
      <vt:lpstr>Indizes</vt:lpstr>
      <vt:lpstr>Beziehungen</vt:lpstr>
      <vt:lpstr>Typen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Volker Hillmann</dc:creator>
  <cp:lastModifiedBy>Volker Hillmann</cp:lastModifiedBy>
  <dcterms:created xsi:type="dcterms:W3CDTF">2024-01-26T14:19:43Z</dcterms:created>
  <dcterms:modified xsi:type="dcterms:W3CDTF">2024-02-09T21:40:27Z</dcterms:modified>
</cp:coreProperties>
</file>