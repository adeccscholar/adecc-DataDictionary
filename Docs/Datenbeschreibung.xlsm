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DieseArbeitsmappe" defaultThemeVersion="202300"/>
  <mc:AlternateContent xmlns:mc="http://schemas.openxmlformats.org/markup-compatibility/2006">
    <mc:Choice Requires="x15">
      <x15ac:absPath xmlns:x15ac="http://schemas.microsoft.com/office/spreadsheetml/2010/11/ac" url="D:\Projekte\GitHub\adecc-DataDictionary\Docs\"/>
    </mc:Choice>
  </mc:AlternateContent>
  <xr:revisionPtr revIDLastSave="0" documentId="13_ncr:1_{F3458858-A47B-4094-9D62-0A3D9D8A8418}" xr6:coauthVersionLast="47" xr6:coauthVersionMax="47" xr10:uidLastSave="{00000000-0000-0000-0000-000000000000}"/>
  <bookViews>
    <workbookView xWindow="-98" yWindow="-98" windowWidth="28996" windowHeight="15675" activeTab="5" xr2:uid="{963DEE91-9524-499F-B23D-4896DE233BEF}"/>
  </bookViews>
  <sheets>
    <sheet name="Metadata" sheetId="1" r:id="rId1"/>
    <sheet name="Indices" sheetId="4" r:id="rId2"/>
    <sheet name="Relationships" sheetId="3" r:id="rId3"/>
    <sheet name="Types" sheetId="2" r:id="rId4"/>
    <sheet name="RangeValues" sheetId="5" r:id="rId5"/>
    <sheet name="PostConditions" sheetId="7" r:id="rId6"/>
    <sheet name="Metadata old" sheetId="6"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2" i="7" l="1"/>
  <c r="F2" i="7"/>
  <c r="F9" i="7"/>
  <c r="F8" i="7"/>
  <c r="F7" i="7" s="1"/>
  <c r="F6" i="7" s="1"/>
  <c r="F5" i="7" s="1"/>
  <c r="F4" i="7" s="1"/>
  <c r="F3" i="7" s="1"/>
  <c r="P150" i="1"/>
  <c r="P108" i="1"/>
  <c r="P119" i="1"/>
  <c r="P126" i="1"/>
  <c r="P134" i="1"/>
  <c r="P141" i="1"/>
  <c r="P91" i="1"/>
  <c r="P100" i="1"/>
  <c r="P86" i="1"/>
  <c r="P75" i="1"/>
  <c r="P66" i="1"/>
  <c r="P54" i="1"/>
  <c r="P46" i="1"/>
  <c r="P36" i="1"/>
  <c r="P28" i="1"/>
  <c r="P19" i="1"/>
  <c r="P11" i="1"/>
  <c r="P3" i="6"/>
  <c r="P177" i="6"/>
  <c r="P176" i="6"/>
  <c r="P175" i="6"/>
  <c r="P174" i="6"/>
  <c r="P173" i="6"/>
  <c r="P172" i="6"/>
  <c r="P171" i="6"/>
  <c r="P169" i="6"/>
  <c r="P168" i="6"/>
  <c r="P167" i="6"/>
  <c r="P166" i="6"/>
  <c r="P165" i="6"/>
  <c r="P164" i="6"/>
  <c r="P163" i="6"/>
  <c r="P162" i="6"/>
  <c r="P160" i="6"/>
  <c r="P159" i="6"/>
  <c r="P158" i="6"/>
  <c r="P157" i="6"/>
  <c r="P156" i="6"/>
  <c r="P154" i="6"/>
  <c r="P153" i="6"/>
  <c r="P152" i="6"/>
  <c r="P151" i="6"/>
  <c r="P150" i="6"/>
  <c r="P149" i="6"/>
  <c r="P148" i="6"/>
  <c r="P146" i="6"/>
  <c r="P145" i="6"/>
  <c r="P144" i="6"/>
  <c r="P143" i="6"/>
  <c r="P142" i="6"/>
  <c r="P141" i="6"/>
  <c r="P139" i="6"/>
  <c r="P138" i="6"/>
  <c r="P137" i="6"/>
  <c r="P136" i="6"/>
  <c r="P135" i="6"/>
  <c r="P134" i="6"/>
  <c r="P133" i="6"/>
  <c r="P132" i="6"/>
  <c r="P131" i="6"/>
  <c r="P129" i="6"/>
  <c r="P128" i="6"/>
  <c r="P127" i="6"/>
  <c r="P126" i="6"/>
  <c r="P125" i="6"/>
  <c r="P124" i="6"/>
  <c r="P123" i="6"/>
  <c r="P121" i="6"/>
  <c r="P120" i="6"/>
  <c r="P119" i="6"/>
  <c r="P118" i="6"/>
  <c r="P117" i="6"/>
  <c r="P116" i="6"/>
  <c r="P115" i="6"/>
  <c r="P114" i="6"/>
  <c r="P112" i="6"/>
  <c r="P111" i="6"/>
  <c r="P110" i="6"/>
  <c r="P109" i="6"/>
  <c r="P107" i="6"/>
  <c r="P106" i="6"/>
  <c r="P105" i="6"/>
  <c r="P104" i="6"/>
  <c r="P103" i="6"/>
  <c r="P102" i="6"/>
  <c r="P101" i="6"/>
  <c r="P100" i="6"/>
  <c r="P99" i="6"/>
  <c r="P98" i="6"/>
  <c r="P96" i="6"/>
  <c r="P95" i="6"/>
  <c r="P94" i="6"/>
  <c r="P93" i="6"/>
  <c r="P92" i="6"/>
  <c r="P91" i="6"/>
  <c r="P90" i="6"/>
  <c r="P89" i="6"/>
  <c r="P87" i="6"/>
  <c r="P86" i="6"/>
  <c r="P85" i="6"/>
  <c r="P84" i="6"/>
  <c r="P83" i="6"/>
  <c r="P82" i="6"/>
  <c r="P81" i="6"/>
  <c r="P80" i="6"/>
  <c r="P79" i="6"/>
  <c r="P78" i="6"/>
  <c r="P77" i="6"/>
  <c r="P75" i="6"/>
  <c r="P74" i="6"/>
  <c r="P73" i="6"/>
  <c r="P72" i="6"/>
  <c r="P71" i="6"/>
  <c r="P70" i="6"/>
  <c r="P69" i="6"/>
  <c r="P67" i="6"/>
  <c r="P66" i="6"/>
  <c r="P65" i="6"/>
  <c r="P64" i="6"/>
  <c r="P63" i="6"/>
  <c r="P62" i="6"/>
  <c r="P61" i="6"/>
  <c r="P60" i="6"/>
  <c r="P59" i="6"/>
  <c r="P57" i="6"/>
  <c r="P56" i="6"/>
  <c r="P55" i="6"/>
  <c r="P54" i="6"/>
  <c r="P53" i="6"/>
  <c r="P52" i="6"/>
  <c r="P51" i="6"/>
  <c r="P49" i="6"/>
  <c r="P48" i="6"/>
  <c r="P47" i="6"/>
  <c r="P46" i="6"/>
  <c r="P45" i="6"/>
  <c r="P44" i="6"/>
  <c r="P43" i="6"/>
  <c r="P42" i="6"/>
  <c r="P40" i="6"/>
  <c r="P39" i="6"/>
  <c r="P38" i="6"/>
  <c r="P37" i="6"/>
  <c r="P36" i="6"/>
  <c r="P35" i="6"/>
  <c r="P34" i="6"/>
  <c r="P32" i="6"/>
  <c r="P31" i="6"/>
  <c r="P30" i="6"/>
  <c r="P29" i="6"/>
  <c r="P28" i="6"/>
  <c r="P27" i="6"/>
  <c r="P26" i="6"/>
  <c r="P25" i="6"/>
  <c r="P21" i="6"/>
  <c r="P20" i="6"/>
  <c r="P19" i="6"/>
  <c r="P18" i="6"/>
  <c r="P17" i="6"/>
  <c r="P16" i="6"/>
  <c r="P15" i="6"/>
  <c r="P14" i="6"/>
  <c r="P13" i="6"/>
  <c r="P12" i="6"/>
  <c r="P11" i="6"/>
  <c r="P10" i="6"/>
  <c r="P9" i="6"/>
  <c r="P8" i="6"/>
  <c r="P7" i="6"/>
  <c r="P6" i="6"/>
  <c r="P5" i="6"/>
  <c r="P4" i="6"/>
  <c r="P2" i="6"/>
  <c r="P117" i="1" a="1"/>
  <c r="P139" i="1" a="1"/>
  <c r="P156" i="1" a="1"/>
  <c r="P143" i="1" a="1"/>
  <c r="P144" i="1" a="1"/>
  <c r="P148" i="1" a="1"/>
  <c r="P145" i="1" a="1"/>
  <c r="P147" i="1" a="1"/>
  <c r="P146" i="1" a="1"/>
  <c r="P142" i="1" a="1"/>
  <c r="P136" i="1" a="1"/>
  <c r="P137" i="1" a="1"/>
  <c r="P138" i="1" a="1"/>
  <c r="P135" i="1" a="1"/>
  <c r="P128" i="1" a="1"/>
  <c r="P132" i="1" a="1"/>
  <c r="P129" i="1" a="1"/>
  <c r="P130" i="1" a="1"/>
  <c r="P131" i="1" a="1"/>
  <c r="P127" i="1" a="1"/>
  <c r="P121" i="1" a="1"/>
  <c r="P122" i="1" a="1"/>
  <c r="P123" i="1" a="1"/>
  <c r="P124" i="1" a="1"/>
  <c r="P120" i="1" a="1"/>
  <c r="P110" i="1" a="1"/>
  <c r="P111" i="1" a="1"/>
  <c r="P112" i="1" a="1"/>
  <c r="P113" i="1" a="1"/>
  <c r="P116" i="1" a="1"/>
  <c r="P114" i="1" a="1"/>
  <c r="P115" i="1" a="1"/>
  <c r="P109" i="1" a="1"/>
  <c r="P102" i="1" a="1"/>
  <c r="P103" i="1" a="1"/>
  <c r="P104" i="1" a="1"/>
  <c r="P106" i="1" a="1"/>
  <c r="P105" i="1" a="1"/>
  <c r="P101" i="1" a="1"/>
  <c r="P93" i="1" a="1"/>
  <c r="P98" i="1" a="1"/>
  <c r="P96" i="1" a="1"/>
  <c r="P94" i="1" a="1"/>
  <c r="P95" i="1" a="1"/>
  <c r="P97" i="1" a="1"/>
  <c r="P92" i="1" a="1"/>
  <c r="P88" i="1" a="1"/>
  <c r="P89" i="1" a="1"/>
  <c r="P87" i="1" a="1"/>
  <c r="P77" i="1" a="1"/>
  <c r="P83" i="1" a="1"/>
  <c r="P81" i="1" a="1"/>
  <c r="P84" i="1" a="1"/>
  <c r="P78" i="1" a="1"/>
  <c r="P82" i="1" a="1"/>
  <c r="P79" i="1" a="1"/>
  <c r="P80" i="1" a="1"/>
  <c r="P76" i="1" a="1"/>
  <c r="P68" i="1" a="1"/>
  <c r="P69" i="1" a="1"/>
  <c r="P70" i="1" a="1"/>
  <c r="P71" i="1" a="1"/>
  <c r="P73" i="1" a="1"/>
  <c r="P72" i="1" a="1"/>
  <c r="P67" i="1" a="1"/>
  <c r="P56" i="1" a="1"/>
  <c r="P64" i="1" a="1"/>
  <c r="P60" i="1" a="1"/>
  <c r="P57" i="1" a="1"/>
  <c r="P62" i="1" a="1"/>
  <c r="P63" i="1" a="1"/>
  <c r="P58" i="1" a="1"/>
  <c r="P61" i="1" a="1"/>
  <c r="P59" i="1" a="1"/>
  <c r="P55" i="1" a="1"/>
  <c r="P48" i="1" a="1"/>
  <c r="P51" i="1" a="1"/>
  <c r="P49" i="1" a="1"/>
  <c r="P52" i="1" a="1"/>
  <c r="P50" i="1" a="1"/>
  <c r="P47" i="1" a="1"/>
  <c r="P38" i="1" a="1"/>
  <c r="P44" i="1" a="1"/>
  <c r="P39" i="1" a="1"/>
  <c r="P40" i="1" a="1"/>
  <c r="P43" i="1" a="1"/>
  <c r="P42" i="1" a="1"/>
  <c r="P41" i="1" a="1"/>
  <c r="P37" i="1" a="1"/>
  <c r="P30" i="1" a="1"/>
  <c r="P34" i="1" a="1"/>
  <c r="P31" i="1" a="1"/>
  <c r="P32" i="1" a="1"/>
  <c r="P33" i="1" a="1"/>
  <c r="P29" i="1" a="1"/>
  <c r="P21" i="1" a="1"/>
  <c r="P25" i="1" a="1"/>
  <c r="P26" i="1" a="1"/>
  <c r="P22" i="1" a="1"/>
  <c r="P24" i="1" a="1"/>
  <c r="P23" i="1" a="1"/>
  <c r="P20" i="1" a="1"/>
  <c r="P13" i="1" a="1"/>
  <c r="P14" i="1" a="1"/>
  <c r="P16" i="1" a="1"/>
  <c r="P15" i="1" a="1"/>
  <c r="P17" i="1" a="1"/>
  <c r="P12" i="1" a="1"/>
  <c r="P4" i="1" a="1"/>
  <c r="P8" i="1" a="1"/>
  <c r="P5" i="1" a="1"/>
  <c r="P6" i="1" a="1"/>
  <c r="P9" i="1" a="1"/>
  <c r="P7" i="1" a="1"/>
  <c r="P3" i="1" a="1"/>
  <c r="P2" i="1" a="1"/>
  <c r="R39" i="4" a="1"/>
  <c r="R22" i="4" a="1"/>
  <c r="R19" i="4" a="1"/>
  <c r="R17" i="4" a="1"/>
  <c r="P153" i="1" a="1"/>
  <c r="P154" i="1" a="1"/>
  <c r="P151" i="1" a="1"/>
  <c r="P152" i="1" a="1"/>
  <c r="P155" i="1" a="1"/>
  <c r="R42" i="4" a="1"/>
  <c r="R41" i="4" a="1"/>
  <c r="K45" i="5" a="1"/>
  <c r="K53" i="5" a="1"/>
  <c r="K16" i="5" a="1"/>
  <c r="K22" i="5" a="1"/>
  <c r="K13" i="5" a="1"/>
  <c r="K30" i="5" a="1"/>
  <c r="K20" i="5" a="1"/>
  <c r="K14" i="5" a="1"/>
  <c r="K3" i="5" a="1"/>
  <c r="K4" i="5" a="1"/>
  <c r="K5" i="5" a="1"/>
  <c r="K6" i="5" a="1"/>
  <c r="K9" i="5" a="1"/>
  <c r="K10" i="5" a="1"/>
  <c r="K11" i="5" a="1"/>
  <c r="K8" i="5" a="1"/>
  <c r="K2" i="5" a="1"/>
  <c r="AC17" i="3" a="1"/>
  <c r="AC27" i="3" a="1"/>
  <c r="AC19" i="3" a="1"/>
  <c r="AC36" i="3" a="1"/>
  <c r="AC34" i="3" a="1"/>
  <c r="AC22" i="3" a="1"/>
  <c r="AC21" i="3" a="1"/>
  <c r="AC18" i="3" a="1"/>
  <c r="AC24" i="3" a="1"/>
  <c r="AC25" i="3" a="1"/>
  <c r="R42" i="4" l="1"/>
  <c r="R41" i="4"/>
  <c r="K45" i="5"/>
  <c r="K53" i="5"/>
  <c r="K16" i="5"/>
  <c r="K22" i="5"/>
  <c r="K13" i="5"/>
  <c r="K30" i="5"/>
  <c r="K20" i="5"/>
  <c r="K14" i="5"/>
  <c r="K3" i="5"/>
  <c r="K4" i="5"/>
  <c r="K5" i="5"/>
  <c r="K6" i="5"/>
  <c r="K9" i="5"/>
  <c r="K10" i="5"/>
  <c r="K11" i="5"/>
  <c r="K8" i="5"/>
  <c r="K2" i="5"/>
  <c r="P117" i="1"/>
  <c r="P139" i="1"/>
  <c r="P155" i="1"/>
  <c r="P154" i="1"/>
  <c r="P156" i="1"/>
  <c r="P153" i="1"/>
  <c r="P152" i="1"/>
  <c r="P151" i="1"/>
  <c r="P146" i="1"/>
  <c r="P147" i="1"/>
  <c r="P145" i="1"/>
  <c r="P148" i="1"/>
  <c r="P144" i="1"/>
  <c r="P143" i="1"/>
  <c r="P142" i="1"/>
  <c r="P138" i="1"/>
  <c r="P137" i="1"/>
  <c r="P136" i="1"/>
  <c r="P135" i="1"/>
  <c r="P131" i="1"/>
  <c r="P130" i="1"/>
  <c r="P129" i="1"/>
  <c r="P132" i="1"/>
  <c r="P128" i="1"/>
  <c r="P127" i="1"/>
  <c r="P124" i="1"/>
  <c r="P123" i="1"/>
  <c r="P122" i="1"/>
  <c r="P121" i="1"/>
  <c r="P120" i="1"/>
  <c r="P115" i="1"/>
  <c r="P114" i="1"/>
  <c r="P116" i="1"/>
  <c r="P113" i="1"/>
  <c r="P112" i="1"/>
  <c r="P111" i="1"/>
  <c r="P110" i="1"/>
  <c r="P109" i="1"/>
  <c r="P105" i="1"/>
  <c r="P106" i="1"/>
  <c r="P104" i="1"/>
  <c r="P103" i="1"/>
  <c r="P102" i="1"/>
  <c r="P101" i="1"/>
  <c r="P97" i="1"/>
  <c r="P95" i="1"/>
  <c r="P94" i="1"/>
  <c r="P96" i="1"/>
  <c r="P98" i="1"/>
  <c r="P93" i="1"/>
  <c r="P92" i="1"/>
  <c r="P89" i="1"/>
  <c r="P88" i="1"/>
  <c r="P87" i="1"/>
  <c r="P80" i="1"/>
  <c r="P79" i="1"/>
  <c r="P82" i="1"/>
  <c r="P78" i="1"/>
  <c r="P84" i="1"/>
  <c r="P81" i="1"/>
  <c r="P83" i="1"/>
  <c r="P77" i="1"/>
  <c r="P76" i="1"/>
  <c r="P72" i="1"/>
  <c r="P73" i="1"/>
  <c r="P71" i="1"/>
  <c r="P70" i="1"/>
  <c r="P69" i="1"/>
  <c r="P68" i="1"/>
  <c r="P67" i="1"/>
  <c r="P59" i="1"/>
  <c r="P61" i="1"/>
  <c r="P58" i="1"/>
  <c r="P63" i="1"/>
  <c r="P62" i="1"/>
  <c r="P57" i="1"/>
  <c r="P60" i="1"/>
  <c r="P64" i="1"/>
  <c r="P56" i="1"/>
  <c r="P55" i="1"/>
  <c r="P50" i="1"/>
  <c r="P52" i="1"/>
  <c r="P49" i="1"/>
  <c r="P51" i="1"/>
  <c r="P48" i="1"/>
  <c r="P47" i="1"/>
  <c r="P41" i="1"/>
  <c r="P42" i="1"/>
  <c r="P43" i="1"/>
  <c r="P40" i="1"/>
  <c r="P39" i="1"/>
  <c r="P44" i="1"/>
  <c r="P38" i="1"/>
  <c r="P37" i="1"/>
  <c r="P33" i="1"/>
  <c r="P32" i="1"/>
  <c r="P31" i="1"/>
  <c r="P34" i="1"/>
  <c r="P30" i="1"/>
  <c r="P29" i="1"/>
  <c r="P23" i="1"/>
  <c r="P24" i="1"/>
  <c r="P22" i="1"/>
  <c r="P26" i="1"/>
  <c r="P25" i="1"/>
  <c r="P21" i="1"/>
  <c r="P20" i="1"/>
  <c r="P17" i="1"/>
  <c r="P15" i="1"/>
  <c r="P16" i="1"/>
  <c r="P14" i="1"/>
  <c r="P13" i="1"/>
  <c r="P12" i="1"/>
  <c r="P7" i="1"/>
  <c r="P9" i="1"/>
  <c r="P6" i="1"/>
  <c r="P5" i="1"/>
  <c r="P8" i="1"/>
  <c r="P4" i="1"/>
  <c r="P3" i="1"/>
  <c r="P2" i="1"/>
  <c r="AC27" i="3"/>
  <c r="AC36" i="3"/>
  <c r="AC34" i="3"/>
  <c r="R19" i="4"/>
  <c r="AC22" i="3"/>
  <c r="AC21" i="3"/>
  <c r="AC25" i="3"/>
  <c r="AC24" i="3"/>
  <c r="R17" i="4"/>
  <c r="AC19" i="3"/>
  <c r="AC18" i="3"/>
  <c r="AC17" i="3"/>
  <c r="R39" i="4"/>
  <c r="R22" i="4"/>
  <c r="K52" i="5" a="1"/>
  <c r="K29" i="5" a="1"/>
  <c r="K19" i="5" a="1"/>
  <c r="K52" i="5" l="1"/>
  <c r="K29" i="5"/>
  <c r="K19" i="5"/>
  <c r="K4" i="2"/>
  <c r="K5" i="2"/>
  <c r="K6" i="2"/>
  <c r="K7" i="2"/>
  <c r="K8" i="2"/>
  <c r="K9" i="2"/>
  <c r="K10" i="2"/>
  <c r="K11" i="2"/>
  <c r="K12" i="2"/>
  <c r="K13" i="2"/>
  <c r="K14" i="2"/>
  <c r="K3" i="2"/>
  <c r="R10" i="4" a="1"/>
  <c r="R2" i="4" a="1"/>
  <c r="R27" i="4" a="1"/>
  <c r="R21" i="4" a="1"/>
  <c r="R13" i="4" a="1"/>
  <c r="R12" i="4" a="1"/>
  <c r="R31" i="4" a="1"/>
  <c r="R15" i="4" a="1"/>
  <c r="R8" i="4" a="1"/>
  <c r="R35" i="4" a="1"/>
  <c r="R36" i="4" a="1"/>
  <c r="R32" i="4" a="1"/>
  <c r="R34" i="4" a="1"/>
  <c r="R37" i="4" a="1"/>
  <c r="K51" i="5" a="1"/>
  <c r="K28" i="5" a="1"/>
  <c r="K18" i="5" a="1"/>
  <c r="K37" i="5" a="1"/>
  <c r="K32" i="5" a="1"/>
  <c r="AC15" i="3" a="1"/>
  <c r="AC2" i="3" a="1"/>
  <c r="AC13" i="3" a="1"/>
  <c r="AC11" i="3" a="1"/>
  <c r="AC10" i="3" a="1"/>
  <c r="AC14" i="3" a="1"/>
  <c r="AC31" i="3" a="1"/>
  <c r="AC32" i="3" a="1"/>
  <c r="AC29" i="3" a="1"/>
  <c r="AC9" i="3" a="1"/>
  <c r="AC4" i="3" a="1"/>
  <c r="AC30" i="3" a="1"/>
  <c r="K51" i="5" l="1"/>
  <c r="K28" i="5"/>
  <c r="K18" i="5"/>
  <c r="AC32" i="3"/>
  <c r="AC31" i="3"/>
  <c r="AC30" i="3"/>
  <c r="AC29" i="3"/>
  <c r="AC15" i="3"/>
  <c r="AC14" i="3"/>
  <c r="AC13" i="3"/>
  <c r="AC11" i="3"/>
  <c r="AC10" i="3"/>
  <c r="AC9" i="3"/>
  <c r="R13" i="4"/>
  <c r="R31" i="4"/>
  <c r="R32" i="4"/>
  <c r="R21" i="4"/>
  <c r="R27" i="4"/>
  <c r="K37" i="5"/>
  <c r="K32" i="5"/>
  <c r="R8" i="4"/>
  <c r="R10" i="4"/>
  <c r="R12" i="4"/>
  <c r="R15" i="4"/>
  <c r="R37" i="4"/>
  <c r="R36" i="4"/>
  <c r="R35" i="4"/>
  <c r="R34" i="4"/>
  <c r="AC4" i="3"/>
  <c r="AC2" i="3"/>
  <c r="R2" i="4"/>
  <c r="K50" i="5" a="1"/>
  <c r="K27" i="5" a="1"/>
  <c r="K17" i="5" a="1"/>
  <c r="K50" i="5" l="1"/>
  <c r="K27" i="5"/>
  <c r="K17" i="5"/>
  <c r="K49" i="5" a="1"/>
  <c r="K26" i="5" a="1"/>
  <c r="K49" i="5" l="1"/>
  <c r="K26" i="5"/>
  <c r="K48" i="5" a="1"/>
  <c r="K25" i="5" a="1"/>
  <c r="K48" i="5" l="1"/>
  <c r="K25" i="5"/>
  <c r="K47" i="5" a="1"/>
  <c r="K24" i="5" a="1"/>
  <c r="K47" i="5" l="1"/>
  <c r="K24" i="5"/>
  <c r="K46" i="5" a="1"/>
  <c r="K23" i="5" a="1"/>
  <c r="K46" i="5" l="1"/>
  <c r="K23"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<sst xmlns="http://schemas.openxmlformats.org/spreadsheetml/2006/main" count="2787" uniqueCount="528">
  <si>
    <t>State_ID</t>
  </si>
  <si>
    <t>District_ID</t>
  </si>
  <si>
    <t>Neighborhood_ID</t>
  </si>
  <si>
    <t>Street_ID</t>
  </si>
  <si>
    <t>State</t>
  </si>
  <si>
    <t>City</t>
  </si>
  <si>
    <t>District</t>
  </si>
  <si>
    <t>Neighborhood</t>
  </si>
  <si>
    <t>Street</t>
  </si>
  <si>
    <t>Postal_Code</t>
  </si>
  <si>
    <t>House_Number</t>
  </si>
  <si>
    <t>Address_Addendum</t>
  </si>
  <si>
    <t>Latitude</t>
  </si>
  <si>
    <t>Longitude</t>
  </si>
  <si>
    <t>Address_Date</t>
  </si>
  <si>
    <t>Street_Date</t>
  </si>
  <si>
    <t>Quality</t>
  </si>
  <si>
    <t>Address_Type</t>
  </si>
  <si>
    <t>HKO_ID</t>
  </si>
  <si>
    <t>varchar</t>
  </si>
  <si>
    <t>integer</t>
  </si>
  <si>
    <t>double</t>
  </si>
  <si>
    <t>date</t>
  </si>
  <si>
    <t>Berlin</t>
  </si>
  <si>
    <t>char</t>
  </si>
  <si>
    <t>decimal</t>
  </si>
  <si>
    <t>std::string</t>
  </si>
  <si>
    <t>bool</t>
  </si>
  <si>
    <t>int</t>
  </si>
  <si>
    <t>std::chrono::year_month_day</t>
  </si>
  <si>
    <t>datetime</t>
  </si>
  <si>
    <t>std::chrono::system_clock::time_point&gt;</t>
  </si>
  <si>
    <t>bigint</t>
  </si>
  <si>
    <t>long long</t>
  </si>
  <si>
    <t>Type</t>
  </si>
  <si>
    <t>DB</t>
  </si>
  <si>
    <t>Len</t>
  </si>
  <si>
    <t>Scale</t>
  </si>
  <si>
    <t>Source</t>
  </si>
  <si>
    <t>Land_ID</t>
  </si>
  <si>
    <t>Bezirk_ID</t>
  </si>
  <si>
    <t>Ortsteil_ID</t>
  </si>
  <si>
    <t>Strasse_ID</t>
  </si>
  <si>
    <t>Land</t>
  </si>
  <si>
    <t>Stadt</t>
  </si>
  <si>
    <t>Bezirk</t>
  </si>
  <si>
    <t>Ortsteil</t>
  </si>
  <si>
    <t>Strasse</t>
  </si>
  <si>
    <t>PLZ</t>
  </si>
  <si>
    <t>HNR</t>
  </si>
  <si>
    <t>ADZ</t>
  </si>
  <si>
    <t>Qualitaet</t>
  </si>
  <si>
    <t>Adr_Typ</t>
  </si>
  <si>
    <t>Adr_Datum</t>
  </si>
  <si>
    <t>Strasse_Datum</t>
  </si>
  <si>
    <t>Tabelle mit den Berliner Adresspunkten</t>
  </si>
  <si>
    <t>Identifikationsnummer (NUTS) für das Bundesland</t>
  </si>
  <si>
    <t>false</t>
  </si>
  <si>
    <t>true</t>
  </si>
  <si>
    <t>Comment</t>
  </si>
  <si>
    <t>dictionary</t>
  </si>
  <si>
    <t>i</t>
  </si>
  <si>
    <t>bo</t>
  </si>
  <si>
    <t>da</t>
  </si>
  <si>
    <t>c</t>
  </si>
  <si>
    <t>dt</t>
  </si>
  <si>
    <t>fl</t>
  </si>
  <si>
    <t>str</t>
  </si>
  <si>
    <t>;</t>
  </si>
  <si>
    <t>BIGINT</t>
  </si>
  <si>
    <t>SMALLINT</t>
  </si>
  <si>
    <t>CHAR</t>
  </si>
  <si>
    <t>DATE</t>
  </si>
  <si>
    <t>DECIMAL</t>
  </si>
  <si>
    <t>FLOAT</t>
  </si>
  <si>
    <t>INT</t>
  </si>
  <si>
    <t>VARCHAR</t>
  </si>
  <si>
    <t>text</t>
  </si>
  <si>
    <t>VARCHAR(MAX)</t>
  </si>
  <si>
    <t>dbo.Berlin_olddata</t>
  </si>
  <si>
    <t>myDataOld::Berlin</t>
  </si>
  <si>
    <t>Tabelle</t>
  </si>
  <si>
    <t>Name</t>
  </si>
  <si>
    <t>RefTabelle</t>
  </si>
  <si>
    <t>refBerlin</t>
  </si>
  <si>
    <t>Header</t>
  </si>
  <si>
    <t>Index</t>
  </si>
  <si>
    <t>unique</t>
  </si>
  <si>
    <t>clustered</t>
  </si>
  <si>
    <t>nonclustered</t>
  </si>
  <si>
    <t>undefined</t>
  </si>
  <si>
    <t>Reference</t>
  </si>
  <si>
    <t>generalization</t>
  </si>
  <si>
    <t>range</t>
  </si>
  <si>
    <t>assoziation</t>
  </si>
  <si>
    <t>aggregation</t>
  </si>
  <si>
    <t>komposition</t>
  </si>
  <si>
    <t>idXBerlinStrasse</t>
  </si>
  <si>
    <t>Testindex für die Tabelle</t>
  </si>
  <si>
    <t>Tabelle mit den ursprünglichen Importdaten von Berlin</t>
  </si>
  <si>
    <t>Address</t>
  </si>
  <si>
    <t>AddressTypes</t>
  </si>
  <si>
    <t>Banking</t>
  </si>
  <si>
    <t>BankingTypes</t>
  </si>
  <si>
    <t>Countries</t>
  </si>
  <si>
    <t>Departments</t>
  </si>
  <si>
    <t>Employees</t>
  </si>
  <si>
    <t>FamilyTypes</t>
  </si>
  <si>
    <t>FormOfAddress</t>
  </si>
  <si>
    <t>Internet</t>
  </si>
  <si>
    <t>InternetTypes</t>
  </si>
  <si>
    <t>JobPositions</t>
  </si>
  <si>
    <t>Person</t>
  </si>
  <si>
    <t>Phone</t>
  </si>
  <si>
    <t>dbo.Address</t>
  </si>
  <si>
    <t>dbo.AddressTypes</t>
  </si>
  <si>
    <t>dbo.Banking</t>
  </si>
  <si>
    <t>dbo.BankingTypes</t>
  </si>
  <si>
    <t>dbo.Countries</t>
  </si>
  <si>
    <t>dbo.Departments</t>
  </si>
  <si>
    <t>dbo.Employees</t>
  </si>
  <si>
    <t>dbo.FamilyTypes</t>
  </si>
  <si>
    <t>dbo.FormOfAddress</t>
  </si>
  <si>
    <t>dbo.Internet</t>
  </si>
  <si>
    <t>dbo.InternetTypes</t>
  </si>
  <si>
    <t>dbo.JobPositions</t>
  </si>
  <si>
    <t>dbo.Person</t>
  </si>
  <si>
    <t>dbo.Phone</t>
  </si>
  <si>
    <t>dbo.PhoneTypes</t>
  </si>
  <si>
    <t>Denotation</t>
  </si>
  <si>
    <t>Abbreviation</t>
  </si>
  <si>
    <t>Description</t>
  </si>
  <si>
    <t>Notes</t>
  </si>
  <si>
    <t>UrgentValue</t>
  </si>
  <si>
    <t>ID</t>
  </si>
  <si>
    <t>smallint</t>
  </si>
  <si>
    <t>AddressType</t>
  </si>
  <si>
    <t>StreetNumber</t>
  </si>
  <si>
    <t>Zipcode</t>
  </si>
  <si>
    <t>Country</t>
  </si>
  <si>
    <t>PhoneType</t>
  </si>
  <si>
    <t>AreaCode</t>
  </si>
  <si>
    <t>CallNumber</t>
  </si>
  <si>
    <t>PhonesTypes</t>
  </si>
  <si>
    <t>BankingType</t>
  </si>
  <si>
    <t>BankName</t>
  </si>
  <si>
    <t>IBAN</t>
  </si>
  <si>
    <t>BIC</t>
  </si>
  <si>
    <t>BankOwner</t>
  </si>
  <si>
    <t>CountryDialing</t>
  </si>
  <si>
    <t>ISO_Code</t>
  </si>
  <si>
    <t>PersonNumber</t>
  </si>
  <si>
    <t>Salery</t>
  </si>
  <si>
    <t>StartOfJob</t>
  </si>
  <si>
    <t>JobPosition</t>
  </si>
  <si>
    <t>JobSpec</t>
  </si>
  <si>
    <t>Department</t>
  </si>
  <si>
    <t>SocialNummer</t>
  </si>
  <si>
    <t>Active</t>
  </si>
  <si>
    <t>TypeSpec</t>
  </si>
  <si>
    <t>Salutation</t>
  </si>
  <si>
    <t>Valediction</t>
  </si>
  <si>
    <t>Prefix</t>
  </si>
  <si>
    <t>InternetType</t>
  </si>
  <si>
    <t>Adresse</t>
  </si>
  <si>
    <t>Firstname</t>
  </si>
  <si>
    <t>Birthday</t>
  </si>
  <si>
    <t>table</t>
  </si>
  <si>
    <t>System</t>
  </si>
  <si>
    <t>SQL</t>
  </si>
  <si>
    <t>WorkingTime</t>
  </si>
  <si>
    <t>dbo.WorkingTime</t>
  </si>
  <si>
    <t>StartingTime</t>
  </si>
  <si>
    <t>ClosingTime</t>
  </si>
  <si>
    <t xml:space="preserve">Processed </t>
  </si>
  <si>
    <t>FamilyStatus</t>
  </si>
  <si>
    <t>dbo.FamilyStatus</t>
  </si>
  <si>
    <t>Coupled</t>
  </si>
  <si>
    <t>NeedDate</t>
  </si>
  <si>
    <t>FamilyStatusSince</t>
  </si>
  <si>
    <t>&lt;chrono&gt;</t>
  </si>
  <si>
    <t>&lt;string&gt;</t>
  </si>
  <si>
    <t>key</t>
  </si>
  <si>
    <t>0</t>
  </si>
  <si>
    <t>' '</t>
  </si>
  <si>
    <t>std::chrono::system_clock::now()</t>
  </si>
  <si>
    <t>std::chrono::floor&lt;std::chrono::days&gt;(std::chrono::system_clock::now())</t>
  </si>
  <si>
    <t>0.0</t>
  </si>
  <si>
    <t>\"\"</t>
  </si>
  <si>
    <t>Init</t>
  </si>
  <si>
    <t>Zip code for the address</t>
  </si>
  <si>
    <t>refAddress2Person</t>
  </si>
  <si>
    <t>range value to extent the relationship of a person to an address</t>
  </si>
  <si>
    <t>refAddress2AddressType</t>
  </si>
  <si>
    <t>refAddress2Countries</t>
  </si>
  <si>
    <t>ID of the country for the address, key attribute from the \"Countries\" entity</t>
  </si>
  <si>
    <t>domain / range of values for address types, this is an extension of the relationship between persons and addresses.</t>
  </si>
  <si>
    <t>name of the street belonging to this address</t>
  </si>
  <si>
    <t>name of the city/county (possibly with district) for this address</t>
  </si>
  <si>
    <t>information on the addresses where a person lives, works or has any other relationship with them</t>
  </si>
  <si>
    <t>extension of the key by the address type to manage different addresses for one person</t>
  </si>
  <si>
    <t>house number with addition for this address</t>
  </si>
  <si>
    <t>unique description of an entry in the domain, display in selections, comboboxes, … (key canditate)</t>
  </si>
  <si>
    <t>non-representative abbreviation that can be used for a short advertisement for this address</t>
  </si>
  <si>
    <t>detailed description of these address types, what is associated with them. Self documentation, possible use as hint</t>
  </si>
  <si>
    <t>notes, with additional / free information for this AddressType, not used in application</t>
  </si>
  <si>
    <t>uk_AddressType_Denotation</t>
  </si>
  <si>
    <t>unique / representative denotation for an addresstye as key canditate</t>
  </si>
  <si>
    <t>idx_Address_City_Street</t>
  </si>
  <si>
    <t>access path to search for city / street combinations in addresses</t>
  </si>
  <si>
    <t>ID of the country for the banking entity, key attribute from the \"Countries\" entity</t>
  </si>
  <si>
    <t>informations about the account details provided by a person and used in a specific context</t>
  </si>
  <si>
    <t>extension of the account details key in order to be able to save several / different bank details in a standardized way</t>
  </si>
  <si>
    <t>name of the bank that manages this account (not necessarily required)</t>
  </si>
  <si>
    <t>IBAN number (account identification) for this bank account (required)</t>
  </si>
  <si>
    <t>BIC number of the bank that manages this account (not necessarily required for transactions inside europe)</t>
  </si>
  <si>
    <t>optionally the name of the owner of the bank details, if this differs from the assigned person</t>
  </si>
  <si>
    <t>domain / range of values for banking types, this is an extension of the relationship between persons and banking accounts.</t>
  </si>
  <si>
    <t>unique identification number for a record in this domain with banking types</t>
  </si>
  <si>
    <t>unique identification number for a record in this domain with address types</t>
  </si>
  <si>
    <t>boolean value that makes this entity of address type to a system value (cannot be changed as it is used directly by the program)</t>
  </si>
  <si>
    <t>boolean value that makes this entity of banking type to a system value (cannot be changed as it is used directly by the program)</t>
  </si>
  <si>
    <t>notes, with additional / free information for this type of banking, not used in application</t>
  </si>
  <si>
    <t>detailed description of these banking type,this is a self documentation, possible use as hint or to information in the programm</t>
  </si>
  <si>
    <t>non-representative abbreviation that can be used for a short advertisement for this banking type</t>
  </si>
  <si>
    <t>unique description of an banking type entity in the domain, used in selections, comboboxes, … (key canditate)</t>
  </si>
  <si>
    <t>idx_Banking_IBAN</t>
  </si>
  <si>
    <t>access path to search a specific IBAN account number in data</t>
  </si>
  <si>
    <t>refBanking2Countries</t>
  </si>
  <si>
    <t>refBanking2Person</t>
  </si>
  <si>
    <t>refBanking2Type</t>
  </si>
  <si>
    <t>key ID to the associated entity of Countries, where bank who manage this account is located</t>
  </si>
  <si>
    <t>key ID to the associated entity of Countries, where this address is located</t>
  </si>
  <si>
    <t>part of relationship from a banking account to the person who own it</t>
  </si>
  <si>
    <t>range value to extent the relationship of a person to an banking account</t>
  </si>
  <si>
    <t>uk_BankingTypes_Denotation</t>
  </si>
  <si>
    <t>unique / representative denotation for an banking type as key canditate for this entity</t>
  </si>
  <si>
    <t>domain / range of values for phone types, this is an extension of the relationship between persons and phone.</t>
  </si>
  <si>
    <t>unique identification number for a record in this domain with phone types</t>
  </si>
  <si>
    <t>unique description of a phone type entity in the domain, used in selections, comboboxes, … (key canditate)</t>
  </si>
  <si>
    <t>non-representative abbreviation that can be used for a short advertisement for this phone  type</t>
  </si>
  <si>
    <t>detailed description of these phone  type,this is a self documentation, possible use as hint or to information in the programm</t>
  </si>
  <si>
    <t>boolean value that makes this entity of phone type to a system value (cannot be changed as it is used directly by the program)</t>
  </si>
  <si>
    <t>boolean value that makes this entity of internet connection type to a system value (cannot be changed as it is used directly by the program)</t>
  </si>
  <si>
    <t>notes, with additional / free information for this type of internet connection, not used in application</t>
  </si>
  <si>
    <t>detailed description of these internet connection type,this is a self documentation, possible use as hint or to information in the programm</t>
  </si>
  <si>
    <t>non-representative abbreviation that can be used for a short advertisement for this internet connection type</t>
  </si>
  <si>
    <t>unique description of an internet connection type entity in the domain, used in selections, comboboxes, … (key canditate)</t>
  </si>
  <si>
    <t>unique identification number for a record in this domain with internet connection types</t>
  </si>
  <si>
    <t>domain / range of values for internet connection types, this is an extension of the relationship between persons and internet connections.</t>
  </si>
  <si>
    <t>unique identification number for a record in this domain with family types</t>
  </si>
  <si>
    <t>unique description of a family type entity in the domain, used in selections, comboboxes, … (key canditate)</t>
  </si>
  <si>
    <t>detailed description of these family type,this is a self documentation, possible use as hint or to information in the programm</t>
  </si>
  <si>
    <t>notes, with additional / free information for this type of family status, not used in application</t>
  </si>
  <si>
    <t>boolean value that makes this entity of family type to a system value (cannot be changed as it is used directly by the program)</t>
  </si>
  <si>
    <t>boolean value that makes this entity of form of address type to a system value (cannot be changed as it is used directly by the program)</t>
  </si>
  <si>
    <t>boolean value that makes this entity of country to a system value (cannot be changed as it is used directly by the program)</t>
  </si>
  <si>
    <t>refEmployees2Person</t>
  </si>
  <si>
    <t>generalization from an employee to a person (is-a relationship)</t>
  </si>
  <si>
    <t>refEmployees2JobPositions</t>
  </si>
  <si>
    <t>range value as domain for this attribute, possible jobpositions in company</t>
  </si>
  <si>
    <t>refEmployees2Department</t>
  </si>
  <si>
    <t>assoziations between an employee to the department where she/he work</t>
  </si>
  <si>
    <t>attribute as Foreign key from an attribute ID of the person entity to whom the address belongs</t>
  </si>
  <si>
    <t>attribute as foreign key from an attribute ID of a person entity to which these account details belong</t>
  </si>
  <si>
    <t>uk_Employees_PersonNumber</t>
  </si>
  <si>
    <t>idx_Employees_JobSpec</t>
  </si>
  <si>
    <t>access path to search for informations about job specifications</t>
  </si>
  <si>
    <t>uk_Employees_SocialNumber</t>
  </si>
  <si>
    <t>unique personal number of a employee in company (key canditate)</t>
  </si>
  <si>
    <t>extern unique number of an employee (key canditate)</t>
  </si>
  <si>
    <t>id of the department where the employee currently work</t>
  </si>
  <si>
    <t>current position / activity of the employee within the company</t>
  </si>
  <si>
    <t>starting date of the employee in the company (can be extended later for the start of the current position)</t>
  </si>
  <si>
    <t>salary / income that the employee currently receives</t>
  </si>
  <si>
    <t>unique HR number of the employee in the company, assigned by the HR department</t>
  </si>
  <si>
    <t>information about the employees in the company (generalization of a person)</t>
  </si>
  <si>
    <t>social insurance number of the employee</t>
  </si>
  <si>
    <t>boolean value indicating whether the person is active in the company</t>
  </si>
  <si>
    <t>idx_Employees_Active</t>
  </si>
  <si>
    <t>access path to search / filter all active employees</t>
  </si>
  <si>
    <t>Check</t>
  </si>
  <si>
    <t>unsigned</t>
  </si>
  <si>
    <t>unsigned int</t>
  </si>
  <si>
    <t>u</t>
  </si>
  <si>
    <t>&gt;= 0</t>
  </si>
  <si>
    <t>IN (0, 1)</t>
  </si>
  <si>
    <t>&gt;= 0.0</t>
  </si>
  <si>
    <t>specification of the job as free text to concretize this</t>
  </si>
  <si>
    <t>'Hauptadresse'</t>
  </si>
  <si>
    <t>'Lieferadresse'</t>
  </si>
  <si>
    <t>'Rechnungsadresse'</t>
  </si>
  <si>
    <t>'Urlaubsadresse'</t>
  </si>
  <si>
    <t>'HA'</t>
  </si>
  <si>
    <t>'Hauptadresse für die Anwendung'</t>
  </si>
  <si>
    <t>'Rechnungsadresse für die Anwendung'</t>
  </si>
  <si>
    <t>'RA'</t>
  </si>
  <si>
    <t>'LA'</t>
  </si>
  <si>
    <t>'UA'</t>
  </si>
  <si>
    <t>'Lieferadresse für die Trainingsanwendung'</t>
  </si>
  <si>
    <t>'eine Adresse, in der die Person im Urlaub erreichbar ist'</t>
  </si>
  <si>
    <t>PhoneTypes</t>
  </si>
  <si>
    <t>domain / range of values for family types, this is used in form of address to qualifify the person gender</t>
  </si>
  <si>
    <t>TaxClasses</t>
  </si>
  <si>
    <t>'Telefon'</t>
  </si>
  <si>
    <t>'Tel'</t>
  </si>
  <si>
    <t>'Fax'</t>
  </si>
  <si>
    <t>Fax'</t>
  </si>
  <si>
    <t>'Mobil'</t>
  </si>
  <si>
    <t>'Mbl'</t>
  </si>
  <si>
    <t>'Telefonnummer zu einer Person'</t>
  </si>
  <si>
    <t>'Faxnummer zu einer Person'</t>
  </si>
  <si>
    <t>'Mobiltelefonnummer zu einer Person'</t>
  </si>
  <si>
    <t>'Hauptkonto'</t>
  </si>
  <si>
    <t>'HK'</t>
  </si>
  <si>
    <t>'Hauptkonto für die Personen in der Anwendung'</t>
  </si>
  <si>
    <t>'Internet'</t>
  </si>
  <si>
    <t>'Email'</t>
  </si>
  <si>
    <t>'Skype'</t>
  </si>
  <si>
    <t>'HTTP'</t>
  </si>
  <si>
    <t>'Mail'</t>
  </si>
  <si>
    <t>'VoIP'</t>
  </si>
  <si>
    <t>'Die Homepage einer Person'</t>
  </si>
  <si>
    <t>'Email- Adresse einer Person'</t>
  </si>
  <si>
    <t>'Skype- Name einer Person'</t>
  </si>
  <si>
    <t>'VoIP- Nummer einer Person'</t>
  </si>
  <si>
    <t>'http://'</t>
  </si>
  <si>
    <t>'mailto:'</t>
  </si>
  <si>
    <t>'skype:'</t>
  </si>
  <si>
    <t>'phone:'</t>
  </si>
  <si>
    <t>'Mann'</t>
  </si>
  <si>
    <t>'Frau</t>
  </si>
  <si>
    <t>'Diverse'</t>
  </si>
  <si>
    <t>Non-Binär'</t>
  </si>
  <si>
    <t>'Firma'</t>
  </si>
  <si>
    <t>'Familie'</t>
  </si>
  <si>
    <t>'Verein'</t>
  </si>
  <si>
    <t>dbo.TaxClasses</t>
  </si>
  <si>
    <t>boolean value that makes this entity of tax classes to a system value (cannot be changed as it is used directly by the program)</t>
  </si>
  <si>
    <t>TaxClass</t>
  </si>
  <si>
    <t>Tax class currently held by the employee</t>
  </si>
  <si>
    <t>refEmployees2TaxClass</t>
  </si>
  <si>
    <t>range value as domain for the attribute TaxClass</t>
  </si>
  <si>
    <t>'I'</t>
  </si>
  <si>
    <t>'II'</t>
  </si>
  <si>
    <t>'III'</t>
  </si>
  <si>
    <t>'IV'</t>
  </si>
  <si>
    <t>'V'</t>
  </si>
  <si>
    <t>'VI'</t>
  </si>
  <si>
    <t>'Steuerklasse 1'</t>
  </si>
  <si>
    <t>'Steuerklasse 2'</t>
  </si>
  <si>
    <t>'Steuerklasse 3'</t>
  </si>
  <si>
    <t>'Steuerklasse 4'</t>
  </si>
  <si>
    <t>'Steuerklasse 5'</t>
  </si>
  <si>
    <t>'Ausland'</t>
  </si>
  <si>
    <t>'unbekannt'</t>
  </si>
  <si>
    <t>'-'</t>
  </si>
  <si>
    <t>'A'</t>
  </si>
  <si>
    <t>'Person wohnt im Ausland, Steuer individuell bestimmen '</t>
  </si>
  <si>
    <t>'Steuerklasse 6'</t>
  </si>
  <si>
    <t>'Diese Steuerklasse ist für Alleinerziehende mit mindestens einem Kind gedacht.'</t>
  </si>
  <si>
    <t>'Diese Klasse ist für verheiratete oder in einer eingetragenen Lebenspartnerschaft lebende Personen, wenn der Ehe- oder Lebenspartner in Steuerklasse V eingestuft ist oder keine Einkünfte hat.'</t>
  </si>
  <si>
    <t>'Dies ist die Standardsteuerklasse für verheiratete oder in einer eingetragenen Lebenspartnerschaft lebende Personen, wenn beide Partner ein ähnliches Einkommen haben.'</t>
  </si>
  <si>
    <t>'Diese Klasse wird für den Ehe- oder Lebenspartner verwendet, wenn der andere Partner in Steuerklasse III eingestuft ist.'</t>
  </si>
  <si>
    <t>'Steuerklasse noch unbekannt, unbedingt nachfragen, vorläufig als Steuerklasse 6 abrechnen'</t>
  </si>
  <si>
    <t>'Diese Klasse wird verwendet, wenn eine Person mehrere Jobs hat oder zusätzliche Einkünfte aus einer geringfügigen Beschäftigung hat.'</t>
  </si>
  <si>
    <t>'EV'</t>
  </si>
  <si>
    <t>IsNaturalPerson</t>
  </si>
  <si>
    <t>boolean indicator whether this entity is a natural person when true, otherwise ist a legal entity</t>
  </si>
  <si>
    <t>uk_FamilyTypes_Denotation</t>
  </si>
  <si>
    <t>unique / representative denotation for a family type (choosen gender) as key canditate for this entity</t>
  </si>
  <si>
    <t>uk_Departments_Denotation</t>
  </si>
  <si>
    <t>unique / representative denotation forthe department as key canditate for this entity</t>
  </si>
  <si>
    <t>uk_Countries_Denotation</t>
  </si>
  <si>
    <t>uk_Countries_ISOCode</t>
  </si>
  <si>
    <t>unique / representative official name of the country as key canditate for this entity</t>
  </si>
  <si>
    <t>unique / representative official iso code of the country as key canditate for this entity</t>
  </si>
  <si>
    <t>idx_Banking_BIC</t>
  </si>
  <si>
    <t>access path to search a specific BIC in data</t>
  </si>
  <si>
    <t>is-a</t>
  </si>
  <si>
    <t>residential address</t>
  </si>
  <si>
    <t>part of- relationship from a person to the residential addresses</t>
  </si>
  <si>
    <t>has values</t>
  </si>
  <si>
    <t>belongs to</t>
  </si>
  <si>
    <t>holds</t>
  </si>
  <si>
    <t>works in</t>
  </si>
  <si>
    <t>owns</t>
  </si>
  <si>
    <t>mHR::WorkingTime</t>
  </si>
  <si>
    <t>myHR::TaxClasses</t>
  </si>
  <si>
    <t>myHR::JobPositions</t>
  </si>
  <si>
    <t>myHR::Employees</t>
  </si>
  <si>
    <t>BIGINT is largest integer data type for SQL Server . It uses 8 bytes of storage.</t>
  </si>
  <si>
    <t>TINYINT</t>
  </si>
  <si>
    <t>boolean (true = 1, false = 2) in source will transformed to TINYINT. This is the smallest integer data type and only uses 1 byte of storage. this data type is an integer value from 0 to 255.</t>
  </si>
  <si>
    <t>datetime is the DATETIME data type which specifies a date and time with fractional seconds. Ist supports dates from January 1, 1753, through December 31, 9999. the time is based on 24-hour clock. For source code  this type will interpreted as std::chrono::system_clock::time_point&gt;</t>
  </si>
  <si>
    <t>CHAR is a fixed-sized character data type and will transformed to a std::string. Use this type when values are consistent in length. The max  size is 8,000, storing up to 8,000 ASCII characters.</t>
  </si>
  <si>
    <t>date is the DATE data type which is specifies a date in SQL Server.  DATE supports dates from 0001-01-01 through 9999-12-31. Ist will transformed to a std::chrono::year_month_day which is supported from C++20. DATE supports dates from 0001-01-01 through 9999-12-31.</t>
  </si>
  <si>
    <t>the INT data type is an the most used integer value type in SQL Server and  uses 4 bytes of storage.  it always stores positive and negative values. The type will translated to an int type of c++.</t>
  </si>
  <si>
    <t>the VARCHAR(MAX) data type stores variable-length character strings and is used to store very large, i.e. max length, character data. It can hold mostly as much as 2GB of ASCII character data. For c++ this datatype use std::string.</t>
  </si>
  <si>
    <t>the VARCHAR data type stores variable-length character strings and is used when there is variability in the size of the data. The type may hold up to 8,000 ASCII characters of data. For c++ this datatype use std::string.</t>
  </si>
  <si>
    <t>short int</t>
  </si>
  <si>
    <t>the SMALLINT data type is an integer value from -32,768 to 32,767 and uses 2 bytes of storage. In c++ is the short int type used to represent this data.</t>
  </si>
  <si>
    <t>The FLOAT data type is an approximate number with floating point data equal to ieee coded values in programming (this means not all values can be represented exactly).</t>
  </si>
  <si>
    <t>the DECIMAL data type is an exact number with a fixed precision and scale. precision is an integer representing the total number of digits and scale is also an integer value that represents the number of decimal places. It could be transfered to an bcd type, but we use double as representing type for source code.</t>
  </si>
  <si>
    <t>table with the countries and additional values for the countries. Used by others for assoziation.</t>
  </si>
  <si>
    <t>unique identification number for a record in the table Countries</t>
  </si>
  <si>
    <t>unique, official designation of the country, key candidate</t>
  </si>
  <si>
    <t>abbreviation of the country for the program</t>
  </si>
  <si>
    <t>unique, official international code (ISO) for the country in the communication</t>
  </si>
  <si>
    <t>text field for the description of the country. can be used by the program to provide additional information, for example in the status bar or a hint</t>
  </si>
  <si>
    <t>international country code for telephone for this country (not unique)</t>
  </si>
  <si>
    <t>notes, with additional / free information for this country, not used in application</t>
  </si>
  <si>
    <t>search pass for abbreviations of departments</t>
  </si>
  <si>
    <t>idx_Departments_Abbr</t>
  </si>
  <si>
    <t>informations about a person, base for different kinds of special persons in other areas of the company</t>
  </si>
  <si>
    <t>unique identification number for a entity of person</t>
  </si>
  <si>
    <t>family name of the natural person respectively the name for a legal entity</t>
  </si>
  <si>
    <t>first name of the natural person respectively a name extenstion for a legal entity</t>
  </si>
  <si>
    <t>form of address for this person. this attribute control the kind of a person too</t>
  </si>
  <si>
    <t>family status for the person</t>
  </si>
  <si>
    <t>the date from which the current family status applies.</t>
  </si>
  <si>
    <t>birthday of a natural person. This attribute is unused for legal entrities</t>
  </si>
  <si>
    <t>notes, with additional / free information for this tperson, not used in application</t>
  </si>
  <si>
    <t>idx_Person_Name_Firstname</t>
  </si>
  <si>
    <t>access path to search for name and / or firstname in a person</t>
  </si>
  <si>
    <t>refPhone2Person</t>
  </si>
  <si>
    <t>part of relationship from a phone number to the person who own it</t>
  </si>
  <si>
    <t>range value to extent the relationship of a person to a phone number</t>
  </si>
  <si>
    <t>key ID to the associated entity of Countries, where phone connection located</t>
  </si>
  <si>
    <t>refPhone2Type</t>
  </si>
  <si>
    <t>refPhone2Countries</t>
  </si>
  <si>
    <t>idx_Phone_Number</t>
  </si>
  <si>
    <t>access path to search a phone number</t>
  </si>
  <si>
    <t>refPerson2FamilyStatus</t>
  </si>
  <si>
    <t>refPerson2FormOfAddress</t>
  </si>
  <si>
    <t>range value to extent the relationship of a person to a form of address</t>
  </si>
  <si>
    <t>range value to extent the relationship of a person to a family status</t>
  </si>
  <si>
    <t>refInternet2Person</t>
  </si>
  <si>
    <t>refInternet2Type</t>
  </si>
  <si>
    <t>part of relationship from an internet connection to the person who own it</t>
  </si>
  <si>
    <t>range value to extent the relationship of a person to an internet connection</t>
  </si>
  <si>
    <t>idxInternet_Address</t>
  </si>
  <si>
    <t>access path to seach a address of internet connection</t>
  </si>
  <si>
    <t>refFormOfAddress2Type</t>
  </si>
  <si>
    <t>represent</t>
  </si>
  <si>
    <t>assoziation between a form of address and a familiy type which is represent</t>
  </si>
  <si>
    <t>refWorkTime2Employee</t>
  </si>
  <si>
    <t>worked</t>
  </si>
  <si>
    <t>part of relationship of work times to the employees</t>
  </si>
  <si>
    <t>1 : n</t>
  </si>
  <si>
    <t>myCorporate::FamilyStatus</t>
  </si>
  <si>
    <t>myCorporate::PhonesTypes</t>
  </si>
  <si>
    <t>myCorporate::Phone</t>
  </si>
  <si>
    <t>myCorporate::Person</t>
  </si>
  <si>
    <t>myCorporate::InternetTypes</t>
  </si>
  <si>
    <t>myCorporate::Internet</t>
  </si>
  <si>
    <t>myCorporate::FormOfAddress</t>
  </si>
  <si>
    <t>myCorporate::FamilyTypes</t>
  </si>
  <si>
    <t>myHR::Departments</t>
  </si>
  <si>
    <t>myCorporate::Countries</t>
  </si>
  <si>
    <t>myCorporate::Banking</t>
  </si>
  <si>
    <t>myCorporate::BankingTypes</t>
  </si>
  <si>
    <t>myCorporate::AddressTypes</t>
  </si>
  <si>
    <t>myCorporate::Address</t>
  </si>
  <si>
    <t>Officer</t>
  </si>
  <si>
    <t>refDepartments2Employee</t>
  </si>
  <si>
    <t>responsible</t>
  </si>
  <si>
    <t>assoziation between the department to employee who is the responsible officer for this</t>
  </si>
  <si>
    <t>unique identifications number of the department. primary key and used for assoziations</t>
  </si>
  <si>
    <t>used abbreviation of the department for list and such</t>
  </si>
  <si>
    <t>distinct name of the department in the company. used to identify this and use in application for select</t>
  </si>
  <si>
    <t>Table</t>
  </si>
  <si>
    <t>#</t>
  </si>
  <si>
    <t>db name</t>
  </si>
  <si>
    <t>src name</t>
  </si>
  <si>
    <t>type</t>
  </si>
  <si>
    <t>comment</t>
  </si>
  <si>
    <t>Compute</t>
  </si>
  <si>
    <t>ID of the country for the address, key attribute from the Countries entity</t>
  </si>
  <si>
    <t>ID of the country for the banking entity, key attribute from the Countries entity</t>
  </si>
  <si>
    <t>ProcessedAt</t>
  </si>
  <si>
    <t>Processed</t>
  </si>
  <si>
    <t>time at which this data record was settled and posted</t>
  </si>
  <si>
    <t>entity set with working hours performed and booked by employees</t>
  </si>
  <si>
    <t>attribute as foreign key from an attribute ID of a employee entity to who as worked these time</t>
  </si>
  <si>
    <t>date and time at which this work block started as timestamp</t>
  </si>
  <si>
    <t>Name + ', ' + FirstName</t>
  </si>
  <si>
    <t>calculated field for displaying the full name for use in the program\n for example, if a person is to be selected</t>
  </si>
  <si>
    <t>FirstName</t>
  </si>
  <si>
    <t>FullName</t>
  </si>
  <si>
    <t>'F'</t>
  </si>
  <si>
    <t>'M'</t>
  </si>
  <si>
    <t>'Fam'</t>
  </si>
  <si>
    <t>'FA'</t>
  </si>
  <si>
    <t>'non'</t>
  </si>
  <si>
    <t>'div'</t>
  </si>
  <si>
    <t>'Person mit männlichem Geschlecht'</t>
  </si>
  <si>
    <t>'Person mit weiblichen Geschlecht'</t>
  </si>
  <si>
    <t>'Eine Identität, die die Vielfalt der Geschlechteridentitäten umfasst und nicht in die traditionellen binären Kategorien männlich oder weiblich passt.'</t>
  </si>
  <si>
    <t>'Eine Identität außerhalb der traditionellen binären Geschlechtkategorien männlich und weiblich, die sich jenseits dieser Konzepte befindet.'</t>
  </si>
  <si>
    <t>'Eine rechtliche Einheit, die gegründet wird, um kommerzielle oder geschäftliche Aktivitäten auszuüben, die in der Regel einen oder mehrere Eigentümer haben.'</t>
  </si>
  <si>
    <t>'Eine rechtliche und organisatorische Struktur, die von einer Gruppe von Personen gegründet wurde, um gemeinsame Interessen oder Ziele zu verfolgen, oft auf gemeinnütziger Basis.'</t>
  </si>
  <si>
    <t>'Eine soziale Einheit, die aus Eltern und ihren Kindern besteht, die zusammenleben und sich normalerweise gegenseitig unterstützen und emotional miteinander verbunden sind.'</t>
  </si>
  <si>
    <t>'Gemeinschaft'</t>
  </si>
  <si>
    <t>'eLG'</t>
  </si>
  <si>
    <t>'Eine Form des Zusammenlebens von Menschen, die nicht notwendigerweise auf einer romantischen Beziehung basiert, sondern auf gemeinsamen Zielen, Werten oder Lebensweisen beruht, oft in einem gemeinsamen Haushalt.'</t>
  </si>
  <si>
    <t>unique / representative official denotation of the tax class as key canditate for this entity</t>
  </si>
  <si>
    <t>unique / representative official abbreviation of the tax class as key canditate for this entity</t>
  </si>
  <si>
    <t>uk_TaxClasses_Denotation</t>
  </si>
  <si>
    <t>uk_TaxClasses_Abbreviation</t>
  </si>
  <si>
    <t>tax class in germany to use it with employees (not a range, but very similar)</t>
  </si>
  <si>
    <t>unique abbreviation of a tax class entity in the domain, used in overviews and reports</t>
  </si>
  <si>
    <t>unique identification number for a record in this domain with tax class types, used in the programm to indentify this tax class, as selection in comboboxes and such</t>
  </si>
  <si>
    <t>Indicator whether this tax class applies to married couples or registered civil partnerships</t>
  </si>
  <si>
    <t>description for this tax class, used for the program</t>
  </si>
  <si>
    <t>unique identification number for a record in this domain with tax classes, used as key and attribute for relationships</t>
  </si>
  <si>
    <t>'Dies ist die Standardsteuerklasse für alleinstehende Personen ohne Kinder.'</t>
  </si>
  <si>
    <t xml:space="preserve">   DECLARE @retval VARCHAR(10);</t>
  </si>
  <si>
    <t xml:space="preserve">   SELECT @retval = CountryDialing</t>
  </si>
  <si>
    <t xml:space="preserve">   FROM dbo.Countries</t>
  </si>
  <si>
    <t xml:space="preserve">   WHERE ID = @id;</t>
  </si>
  <si>
    <t>BEGIN</t>
  </si>
  <si>
    <t xml:space="preserve">   RETURN @retval;</t>
  </si>
  <si>
    <t>AddPostConditions</t>
  </si>
  <si>
    <t>END</t>
  </si>
  <si>
    <t>AddCleanings</t>
  </si>
  <si>
    <t>DROP FUNCTION [dbo].[Country_Dialing]</t>
  </si>
  <si>
    <t>CREATE FUNCTION [dbo].[Country_Dialing] (@id AS INTEGER) RETURNS VARCHAR(10)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</si>
</sst>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b/>
      <sz val="11"/>
      <color theme="1"/>
      <name val="Aptos Narrow"/>
      <family val="2"/>
      <scheme val="minor"/>
    </font>
    <font>
      <sz val="9"/>
      <color theme="1"/>
      <name val="Courier New"/>
      <family val="3"/>
    </font>
    <font>
      <i/>
      <sz val="9"/>
      <color theme="1" tint="0.499984740745262"/>
      <name val="Aptos Narrow"/>
      <family val="2"/>
      <scheme val="minor"/>
    </font>
    <font>
      <sz val="8"/>
      <color theme="1"/>
      <name val="Courier New"/>
      <family val="3"/>
    </font>
    <font>
      <sz val="8"/>
      <color theme="1"/>
      <name val="Aptos Narrow"/>
      <family val="2"/>
      <scheme val="minor"/>
    </font>
    <font>
      <i/>
      <sz val="8"/>
      <color theme="1" tint="0.499984740745262"/>
      <name val="Courier New"/>
      <family val="3"/>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2" fillId="0" borderId="0" xfId="0" applyFont="1"/>
    <xf numFmtId="0" fontId="0" fillId="0" borderId="0" xfId="0" quotePrefix="1"/>
    <xf numFmtId="0" fontId="3" fillId="0" borderId="0" xfId="0" applyFont="1"/>
    <xf numFmtId="0" fontId="4" fillId="0" borderId="0" xfId="0" applyFont="1"/>
    <xf numFmtId="0" fontId="5" fillId="0" borderId="0" xfId="0" applyFont="1"/>
    <xf numFmtId="0" fontId="6" fillId="0" borderId="0" xfId="0" applyFont="1"/>
    <xf numFmtId="0" fontId="0" fillId="2" borderId="0" xfId="0" applyFill="1"/>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A6342-10A9-41AC-834A-635A572FA867}">
  <sheetPr codeName="Tabelle1"/>
  <dimension ref="A1:P156"/>
  <sheetViews>
    <sheetView workbookViewId="0">
      <pane xSplit="2" ySplit="1" topLeftCell="L91" activePane="bottomRight" state="frozen"/>
      <selection pane="topRight" activeCell="C1" sqref="C1"/>
      <selection pane="bottomLeft" activeCell="A2" sqref="A2"/>
      <selection pane="bottomRight" activeCell="P91" sqref="P91"/>
    </sheetView>
  </sheetViews>
  <sheetFormatPr baseColWidth="10" defaultRowHeight="14.25" x14ac:dyDescent="0.45"/>
  <cols>
    <col min="1" max="1" width="12.86328125" bestFit="1" customWidth="1"/>
    <col min="2" max="2" width="4.19921875" customWidth="1"/>
    <col min="3" max="3" width="20.06640625" customWidth="1"/>
    <col min="4" max="4" width="19.9296875" customWidth="1"/>
    <col min="5" max="5" width="9.265625" customWidth="1"/>
    <col min="6" max="6" width="4.6640625" customWidth="1"/>
    <col min="7" max="7" width="4.1328125" customWidth="1"/>
    <col min="8" max="8" width="8" customWidth="1"/>
    <col min="9" max="9" width="7.796875" customWidth="1"/>
    <col min="10" max="10" width="6.3984375" customWidth="1"/>
    <col min="11" max="13" width="14.6640625" customWidth="1"/>
    <col min="14" max="14" width="5.53125" customWidth="1"/>
    <col min="15" max="15" width="68.6640625" customWidth="1"/>
    <col min="16" max="16" width="118.3984375" customWidth="1"/>
  </cols>
  <sheetData>
    <row r="1" spans="1:16" x14ac:dyDescent="0.45">
      <c r="A1" s="1" t="s">
        <v>471</v>
      </c>
      <c r="B1" s="1" t="s">
        <v>472</v>
      </c>
      <c r="C1" s="1" t="s">
        <v>473</v>
      </c>
      <c r="D1" s="1" t="s">
        <v>474</v>
      </c>
      <c r="E1" s="1" t="s">
        <v>475</v>
      </c>
      <c r="K1" t="s">
        <v>281</v>
      </c>
      <c r="L1" t="s">
        <v>189</v>
      </c>
      <c r="M1" t="s">
        <v>477</v>
      </c>
      <c r="O1" s="1" t="s">
        <v>476</v>
      </c>
      <c r="P1" t="s">
        <v>60</v>
      </c>
    </row>
    <row r="2" spans="1:16" x14ac:dyDescent="0.45">
      <c r="A2" t="s">
        <v>100</v>
      </c>
      <c r="B2">
        <v>0</v>
      </c>
      <c r="C2" t="s">
        <v>114</v>
      </c>
      <c r="D2" t="s">
        <v>463</v>
      </c>
      <c r="E2" t="s">
        <v>167</v>
      </c>
      <c r="H2" t="s">
        <v>168</v>
      </c>
      <c r="I2" t="s">
        <v>169</v>
      </c>
      <c r="K2" s="4"/>
      <c r="L2" s="4"/>
      <c r="M2" s="4"/>
      <c r="O2" s="4" t="s">
        <v>199</v>
      </c>
      <c r="P2" s="2" t="str" cm="1">
        <f t="array" ref="P2">CONCATENATE("   ",$P$1,".AddTable(",QTFunc(A2),", ",CONCATENATE("EMyEntityType::",E2),", ",ExtrahiereTeil2(C2,"."),", ",ExtrahiereTeil1(C2,"."),", ",ExtrahiereTeil2(D2,"::"),", ",ExtrahiereTeil1(D2,"::"),", ",QTFunc(H2),", ",QTFunc(I2),", ",QTFunc(O2)," )")</f>
        <v xml:space="preserve">   dictionary.AddTable("Address", EMyEntityType::table, "Address", "dbo", "Address", "myCorporate", "System", "SQL", "information on the addresses where a person lives, works or has any other relationship with them" )</v>
      </c>
    </row>
    <row r="3" spans="1:16" x14ac:dyDescent="0.45">
      <c r="A3" t="s">
        <v>100</v>
      </c>
      <c r="B3">
        <v>1</v>
      </c>
      <c r="C3" t="s">
        <v>134</v>
      </c>
      <c r="D3" t="s">
        <v>134</v>
      </c>
      <c r="E3" t="s">
        <v>20</v>
      </c>
      <c r="F3">
        <v>0</v>
      </c>
      <c r="G3">
        <v>0</v>
      </c>
      <c r="H3" t="s">
        <v>58</v>
      </c>
      <c r="I3" t="s">
        <v>58</v>
      </c>
      <c r="J3" t="s">
        <v>57</v>
      </c>
      <c r="K3" s="4"/>
      <c r="L3" s="4"/>
      <c r="M3" s="4"/>
      <c r="O3" s="4" t="s">
        <v>263</v>
      </c>
      <c r="P3" s="2" t="str" cm="1">
        <f t="array" ref="P3">CONCATENATE("      .AddAttribute(",Fill(B3,3),", ",QTFunc(C3),", ",QTFunc(D3),", ",QTFunc(E3),", ",F3,", ",G3,", ",H3,", ",I3,", ",QTFunc(K3),", ",QTFunc(L3),", ",QTFunc(M3),", ",QTFunc(O3),   ")")</f>
        <v xml:space="preserve">      .AddAttribute(  1, "ID", "ID", "integer", 0, 0, true, true, "", "", "", "attribute as Foreign key from an attribute ID of the person entity to whom the address belongs")</v>
      </c>
    </row>
    <row r="4" spans="1:16" x14ac:dyDescent="0.45">
      <c r="A4" t="s">
        <v>100</v>
      </c>
      <c r="B4">
        <v>2</v>
      </c>
      <c r="C4" t="s">
        <v>136</v>
      </c>
      <c r="D4" t="s">
        <v>136</v>
      </c>
      <c r="E4" t="s">
        <v>20</v>
      </c>
      <c r="F4">
        <v>0</v>
      </c>
      <c r="G4">
        <v>0</v>
      </c>
      <c r="H4" t="s">
        <v>58</v>
      </c>
      <c r="I4" t="s">
        <v>58</v>
      </c>
      <c r="J4" t="s">
        <v>58</v>
      </c>
      <c r="K4" s="4"/>
      <c r="L4" s="4"/>
      <c r="M4" s="4"/>
      <c r="O4" s="4" t="s">
        <v>200</v>
      </c>
      <c r="P4" s="2" t="str" cm="1">
        <f t="array" ref="P4">CONCATENATE("      .AddAttribute(",Fill(B4,3),", ",QTFunc(C4),", ",QTFunc(D4),", ",QTFunc(E4),", ",F4,", ",G4,", ",H4,", ",I4,", ",QTFunc(K4),", ",QTFunc(L4),", ",QTFunc(M4),", ",QTFunc(O4),   ")")</f>
        <v xml:space="preserve">      .AddAttribute(  2, "AddressType", "AddressType", "integer", 0, 0, true, true, "", "", "", "extension of the key by the address type to manage different addresses for one person")</v>
      </c>
    </row>
    <row r="5" spans="1:16" x14ac:dyDescent="0.45">
      <c r="A5" t="s">
        <v>100</v>
      </c>
      <c r="B5">
        <v>3</v>
      </c>
      <c r="C5" t="s">
        <v>138</v>
      </c>
      <c r="D5" t="s">
        <v>138</v>
      </c>
      <c r="E5" t="s">
        <v>19</v>
      </c>
      <c r="F5">
        <v>10</v>
      </c>
      <c r="G5">
        <v>0</v>
      </c>
      <c r="H5" t="s">
        <v>58</v>
      </c>
      <c r="I5" t="s">
        <v>57</v>
      </c>
      <c r="J5" t="s">
        <v>57</v>
      </c>
      <c r="K5" s="4"/>
      <c r="L5" s="4"/>
      <c r="M5" s="4"/>
      <c r="O5" s="4" t="s">
        <v>190</v>
      </c>
      <c r="P5" s="2" t="str" cm="1">
        <f t="array" ref="P5">CONCATENATE("      .AddAttribute(",Fill(B5,3),", ",QTFunc(C5),", ",QTFunc(D5),", ",QTFunc(E5),", ",F5,", ",G5,", ",H5,", ",I5,", ",QTFunc(K5),", ",QTFunc(L5),", ",QTFunc(M5),", ",QTFunc(O5),   ")")</f>
        <v xml:space="preserve">      .AddAttribute(  3, "Zipcode", "Zipcode", "varchar", 10, 0, true, false, "", "", "", "Zip code for the address")</v>
      </c>
    </row>
    <row r="6" spans="1:16" x14ac:dyDescent="0.45">
      <c r="A6" t="s">
        <v>100</v>
      </c>
      <c r="B6">
        <v>4</v>
      </c>
      <c r="C6" t="s">
        <v>5</v>
      </c>
      <c r="D6" t="s">
        <v>5</v>
      </c>
      <c r="E6" t="s">
        <v>19</v>
      </c>
      <c r="F6">
        <v>50</v>
      </c>
      <c r="G6">
        <v>0</v>
      </c>
      <c r="H6" t="s">
        <v>58</v>
      </c>
      <c r="I6" t="s">
        <v>57</v>
      </c>
      <c r="J6" t="s">
        <v>57</v>
      </c>
      <c r="K6" s="4"/>
      <c r="L6" s="4"/>
      <c r="M6" s="4"/>
      <c r="O6" s="4" t="s">
        <v>198</v>
      </c>
      <c r="P6" s="2" t="str" cm="1">
        <f t="array" ref="P6">CONCATENATE("      .AddAttribute(",Fill(B6,3),", ",QTFunc(C6),", ",QTFunc(D6),", ",QTFunc(E6),", ",F6,", ",G6,", ",H6,", ",I6,", ",QTFunc(K6),", ",QTFunc(L6),", ",QTFunc(M6),", ",QTFunc(O6),   ")")</f>
        <v xml:space="preserve">      .AddAttribute(  4, "City", "City", "varchar", 50, 0, true, false, "", "", "", "name of the city/county (possibly with district) for this address")</v>
      </c>
    </row>
    <row r="7" spans="1:16" x14ac:dyDescent="0.45">
      <c r="A7" t="s">
        <v>100</v>
      </c>
      <c r="B7">
        <v>5</v>
      </c>
      <c r="C7" t="s">
        <v>8</v>
      </c>
      <c r="D7" t="s">
        <v>8</v>
      </c>
      <c r="E7" t="s">
        <v>19</v>
      </c>
      <c r="F7">
        <v>50</v>
      </c>
      <c r="G7">
        <v>0</v>
      </c>
      <c r="H7" t="s">
        <v>58</v>
      </c>
      <c r="I7" t="s">
        <v>57</v>
      </c>
      <c r="J7" t="s">
        <v>57</v>
      </c>
      <c r="K7" s="4"/>
      <c r="L7" s="4"/>
      <c r="M7" s="4"/>
      <c r="O7" s="4" t="s">
        <v>197</v>
      </c>
      <c r="P7" s="2" t="str" cm="1">
        <f t="array" ref="P7">CONCATENATE("      .AddAttribute(",Fill(B7,3),", ",QTFunc(C7),", ",QTFunc(D7),", ",QTFunc(E7),", ",F7,", ",G7,", ",H7,", ",I7,", ",QTFunc(K7),", ",QTFunc(L7),", ",QTFunc(M7),", ",QTFunc(O7),   ")")</f>
        <v xml:space="preserve">      .AddAttribute(  5, "Street", "Street", "varchar", 50, 0, true, false, "", "", "", "name of the street belonging to this address")</v>
      </c>
    </row>
    <row r="8" spans="1:16" x14ac:dyDescent="0.45">
      <c r="A8" t="s">
        <v>100</v>
      </c>
      <c r="B8">
        <v>6</v>
      </c>
      <c r="C8" t="s">
        <v>137</v>
      </c>
      <c r="D8" t="s">
        <v>137</v>
      </c>
      <c r="E8" t="s">
        <v>19</v>
      </c>
      <c r="F8">
        <v>10</v>
      </c>
      <c r="G8">
        <v>0</v>
      </c>
      <c r="H8" t="s">
        <v>57</v>
      </c>
      <c r="I8" t="s">
        <v>57</v>
      </c>
      <c r="J8" t="s">
        <v>57</v>
      </c>
      <c r="K8" s="4"/>
      <c r="L8" s="4"/>
      <c r="M8" s="4"/>
      <c r="O8" s="4" t="s">
        <v>201</v>
      </c>
      <c r="P8" s="2" t="str" cm="1">
        <f t="array" ref="P8">CONCATENATE("      .AddAttribute(",Fill(B8,3),", ",QTFunc(C8),", ",QTFunc(D8),", ",QTFunc(E8),", ",F8,", ",G8,", ",H8,", ",I8,", ",QTFunc(K8),", ",QTFunc(L8),", ",QTFunc(M8),", ",QTFunc(O8),   ")")</f>
        <v xml:space="preserve">      .AddAttribute(  6, "StreetNumber", "StreetNumber", "varchar", 10, 0, false, false, "", "", "", "house number with addition for this address")</v>
      </c>
    </row>
    <row r="9" spans="1:16" x14ac:dyDescent="0.45">
      <c r="A9" t="s">
        <v>100</v>
      </c>
      <c r="B9">
        <v>7</v>
      </c>
      <c r="C9" t="s">
        <v>139</v>
      </c>
      <c r="D9" t="s">
        <v>139</v>
      </c>
      <c r="E9" t="s">
        <v>20</v>
      </c>
      <c r="F9">
        <v>0</v>
      </c>
      <c r="G9">
        <v>0</v>
      </c>
      <c r="H9" t="s">
        <v>58</v>
      </c>
      <c r="I9" t="s">
        <v>57</v>
      </c>
      <c r="J9" t="s">
        <v>57</v>
      </c>
      <c r="K9" s="4"/>
      <c r="L9" s="4"/>
      <c r="M9" s="4"/>
      <c r="O9" s="4" t="s">
        <v>478</v>
      </c>
      <c r="P9" s="2" t="str" cm="1">
        <f t="array" ref="P9">CONCATENATE("      .AddAttribute(",Fill(B9,3),", ",QTFunc(C9),", ",QTFunc(D9),", ",QTFunc(E9),", ",F9,", ",G9,", ",H9,", ",I9,", ",QTFunc(K9),", ",QTFunc(L9),", ",QTFunc(M9),", ",QTFunc(O9),   ")")</f>
        <v xml:space="preserve">      .AddAttribute(  7, "Country", "Country", "integer", 0, 0, true, false, "", "", "", "ID of the country for the address, key attribute from the Countries entity")</v>
      </c>
    </row>
    <row r="10" spans="1:16" x14ac:dyDescent="0.45">
      <c r="K10" s="4"/>
      <c r="L10" s="4"/>
      <c r="M10" s="4"/>
      <c r="O10" s="4"/>
    </row>
    <row r="11" spans="1:16" x14ac:dyDescent="0.45">
      <c r="A11" t="s">
        <v>101</v>
      </c>
      <c r="B11">
        <v>0</v>
      </c>
      <c r="C11" t="s">
        <v>115</v>
      </c>
      <c r="D11" t="s">
        <v>462</v>
      </c>
      <c r="E11" t="s">
        <v>167</v>
      </c>
      <c r="H11" t="s">
        <v>168</v>
      </c>
      <c r="I11" t="s">
        <v>169</v>
      </c>
      <c r="K11" s="4"/>
      <c r="L11" s="4"/>
      <c r="M11" s="4"/>
      <c r="O11" s="4" t="s">
        <v>196</v>
      </c>
      <c r="P11" s="2" t="str">
        <f>CONCATENATE("   ",$P$1,".AddTable(","""",A11,""", ",CONCATENATE("EMyEntityType::",E11),", """,IF(ISERROR(FIND(".",C11)),"",RIGHT(C11, LEN(C11) - FIND(".",C11))),""", """,IF(ISERROR(FIND(".",C11)),"",LEFT(C11, FIND(".",C11)-1)),""", """,IF(ISERROR(FIND("::",D11)),"",RIGHT(D11, LEN(D11) - FIND("::",D11)-1)),""", """,IF(ISERROR(FIND("::",D11)),"",LEFT(D11, FIND("::",D11)-1)),""", """,H11,""", """,I11,""", """,O11,""")")</f>
        <v xml:space="preserve">   dictionary.AddTable("AddressTypes", EMyEntityType::table, "AddressTypes", "dbo", "AddressTypes", "myCorporate", "System", "SQL", "domain / range of values for address types, this is an extension of the relationship between persons and addresses.")</v>
      </c>
    </row>
    <row r="12" spans="1:16" x14ac:dyDescent="0.45">
      <c r="A12" t="s">
        <v>101</v>
      </c>
      <c r="B12">
        <v>1</v>
      </c>
      <c r="C12" t="s">
        <v>134</v>
      </c>
      <c r="D12" t="s">
        <v>134</v>
      </c>
      <c r="E12" t="s">
        <v>20</v>
      </c>
      <c r="F12">
        <v>0</v>
      </c>
      <c r="G12">
        <v>0</v>
      </c>
      <c r="H12" t="s">
        <v>58</v>
      </c>
      <c r="I12" t="s">
        <v>58</v>
      </c>
      <c r="J12" t="s">
        <v>57</v>
      </c>
      <c r="K12" s="4"/>
      <c r="L12" s="4"/>
      <c r="M12" s="4"/>
      <c r="O12" s="4" t="s">
        <v>219</v>
      </c>
      <c r="P12" s="2" t="str" cm="1">
        <f t="array" ref="P12">CONCATENATE("      .AddAttribute(",Fill(B12,3),", ",QTFunc(C12),", ",QTFunc(D12),", ",QTFunc(E12),", ",F12,", ",G12,", ",H12,", ",I12,", ",QTFunc(K12),", ",QTFunc(L12),", ",QTFunc(M12),", ",QTFunc(O12),   ")")</f>
        <v xml:space="preserve">      .AddAttribute(  1, "ID", "ID", "integer", 0, 0, true, true, "", "", "", "unique identification number for a record in this domain with address types")</v>
      </c>
    </row>
    <row r="13" spans="1:16" x14ac:dyDescent="0.45">
      <c r="A13" t="s">
        <v>101</v>
      </c>
      <c r="B13">
        <v>2</v>
      </c>
      <c r="C13" t="s">
        <v>129</v>
      </c>
      <c r="D13" t="s">
        <v>129</v>
      </c>
      <c r="E13" t="s">
        <v>19</v>
      </c>
      <c r="F13">
        <v>50</v>
      </c>
      <c r="G13">
        <v>0</v>
      </c>
      <c r="H13" t="s">
        <v>58</v>
      </c>
      <c r="I13" t="s">
        <v>57</v>
      </c>
      <c r="J13" t="s">
        <v>58</v>
      </c>
      <c r="K13" s="4"/>
      <c r="L13" s="4"/>
      <c r="M13" s="4"/>
      <c r="O13" s="4" t="s">
        <v>202</v>
      </c>
      <c r="P13" s="2" t="str" cm="1">
        <f t="array" ref="P13">CONCATENATE("      .AddAttribute(",Fill(B13,3),", ",QTFunc(C13),", ",QTFunc(D13),", ",QTFunc(E13),", ",F13,", ",G13,", ",H13,", ",I13,", ",QTFunc(K13),", ",QTFunc(L13),", ",QTFunc(M13),", ",QTFunc(O13),   ")")</f>
        <v xml:space="preserve">      .AddAttribute(  2, "Denotation", "Denotation", "varchar", 50, 0, true, false, "", "", "", "unique description of an entry in the domain, display in selections, comboboxes, … (key canditate)")</v>
      </c>
    </row>
    <row r="14" spans="1:16" x14ac:dyDescent="0.45">
      <c r="A14" t="s">
        <v>101</v>
      </c>
      <c r="B14">
        <v>3</v>
      </c>
      <c r="C14" t="s">
        <v>130</v>
      </c>
      <c r="D14" t="s">
        <v>130</v>
      </c>
      <c r="E14" t="s">
        <v>19</v>
      </c>
      <c r="F14">
        <v>10</v>
      </c>
      <c r="G14">
        <v>0</v>
      </c>
      <c r="H14" t="s">
        <v>57</v>
      </c>
      <c r="I14" t="s">
        <v>57</v>
      </c>
      <c r="J14" t="s">
        <v>57</v>
      </c>
      <c r="K14" s="4"/>
      <c r="L14" s="4"/>
      <c r="M14" s="4"/>
      <c r="O14" s="4" t="s">
        <v>203</v>
      </c>
      <c r="P14" s="2" t="str" cm="1">
        <f t="array" ref="P14">CONCATENATE("      .AddAttribute(",Fill(B14,3),", ",QTFunc(C14),", ",QTFunc(D14),", ",QTFunc(E14),", ",F14,", ",G14,", ",H14,", ",I14,", ",QTFunc(K14),", ",QTFunc(L14),", ",QTFunc(M14),", ",QTFunc(O14),   ")")</f>
        <v xml:space="preserve">      .AddAttribute(  3, "Abbreviation", "Abbreviation", "varchar", 10, 0, false, false, "", "", "", "non-representative abbreviation that can be used for a short advertisement for this address")</v>
      </c>
    </row>
    <row r="15" spans="1:16" x14ac:dyDescent="0.45">
      <c r="A15" t="s">
        <v>101</v>
      </c>
      <c r="B15">
        <v>4</v>
      </c>
      <c r="C15" t="s">
        <v>131</v>
      </c>
      <c r="D15" t="s">
        <v>131</v>
      </c>
      <c r="E15" t="s">
        <v>77</v>
      </c>
      <c r="F15">
        <v>0</v>
      </c>
      <c r="G15">
        <v>0</v>
      </c>
      <c r="H15" t="s">
        <v>57</v>
      </c>
      <c r="I15" t="s">
        <v>57</v>
      </c>
      <c r="J15" t="s">
        <v>57</v>
      </c>
      <c r="K15" s="4"/>
      <c r="L15" s="4"/>
      <c r="M15" s="4"/>
      <c r="O15" s="4" t="s">
        <v>204</v>
      </c>
      <c r="P15" s="2" t="str" cm="1">
        <f t="array" ref="P15">CONCATENATE("      .AddAttribute(",Fill(B15,3),", ",QTFunc(C15),", ",QTFunc(D15),", ",QTFunc(E15),", ",F15,", ",G15,", ",H15,", ",I15,", ",QTFunc(K15),", ",QTFunc(L15),", ",QTFunc(M15),", ",QTFunc(O15),   ")")</f>
        <v xml:space="preserve">      .AddAttribute(  4, "Description", "Description", "text", 0, 0, false, false, "", "", "", "detailed description of these address types, what is associated with them. Self documentation, possible use as hint")</v>
      </c>
    </row>
    <row r="16" spans="1:16" x14ac:dyDescent="0.45">
      <c r="A16" t="s">
        <v>101</v>
      </c>
      <c r="B16">
        <v>5</v>
      </c>
      <c r="C16" t="s">
        <v>132</v>
      </c>
      <c r="D16" t="s">
        <v>132</v>
      </c>
      <c r="E16" t="s">
        <v>77</v>
      </c>
      <c r="F16">
        <v>0</v>
      </c>
      <c r="G16">
        <v>0</v>
      </c>
      <c r="H16" t="s">
        <v>57</v>
      </c>
      <c r="I16" t="s">
        <v>57</v>
      </c>
      <c r="J16" t="s">
        <v>57</v>
      </c>
      <c r="K16" s="4"/>
      <c r="L16" s="4"/>
      <c r="M16" s="4"/>
      <c r="O16" s="4" t="s">
        <v>205</v>
      </c>
      <c r="P16" s="2" t="str" cm="1">
        <f t="array" ref="P16">CONCATENATE("      .AddAttribute(",Fill(B16,3),", ",QTFunc(C16),", ",QTFunc(D16),", ",QTFunc(E16),", ",F16,", ",G16,", ",H16,", ",I16,", ",QTFunc(K16),", ",QTFunc(L16),", ",QTFunc(M16),", ",QTFunc(O16),   ")")</f>
        <v xml:space="preserve">      .AddAttribute(  5, "Notes", "Notes", "text", 0, 0, false, false, "", "", "", "notes, with additional / free information for this AddressType, not used in application")</v>
      </c>
    </row>
    <row r="17" spans="1:16" x14ac:dyDescent="0.45">
      <c r="A17" t="s">
        <v>101</v>
      </c>
      <c r="B17">
        <v>6</v>
      </c>
      <c r="C17" t="s">
        <v>133</v>
      </c>
      <c r="D17" t="s">
        <v>133</v>
      </c>
      <c r="E17" t="s">
        <v>27</v>
      </c>
      <c r="F17">
        <v>0</v>
      </c>
      <c r="G17">
        <v>0</v>
      </c>
      <c r="H17" t="s">
        <v>57</v>
      </c>
      <c r="I17" t="s">
        <v>57</v>
      </c>
      <c r="J17" t="s">
        <v>57</v>
      </c>
      <c r="K17" s="4"/>
      <c r="L17" s="4"/>
      <c r="M17" s="4"/>
      <c r="O17" s="4" t="s">
        <v>220</v>
      </c>
      <c r="P17" s="2" t="str" cm="1">
        <f t="array" ref="P17">CONCATENATE("      .AddAttribute(",Fill(B17,3),", ",QTFunc(C17),", ",QTFunc(D17),", ",QTFunc(E17),", ",F17,", ",G17,", ",H17,", ",I17,", ",QTFunc(K17),", ",QTFunc(L17),", ",QTFunc(M17),", ",QTFunc(O17),   ")")</f>
        <v xml:space="preserve">      .AddAttribute(  6, "UrgentValue", "UrgentValue", "bool", 0, 0, false, false, "", "", "", "boolean value that makes this entity of address type to a system value (cannot be changed as it is used directly by the program)")</v>
      </c>
    </row>
    <row r="18" spans="1:16" x14ac:dyDescent="0.45">
      <c r="K18" s="4"/>
      <c r="L18" s="4"/>
      <c r="M18" s="4"/>
      <c r="O18" s="4"/>
    </row>
    <row r="19" spans="1:16" x14ac:dyDescent="0.45">
      <c r="A19" t="s">
        <v>102</v>
      </c>
      <c r="B19">
        <v>0</v>
      </c>
      <c r="C19" t="s">
        <v>116</v>
      </c>
      <c r="D19" t="s">
        <v>460</v>
      </c>
      <c r="E19" t="s">
        <v>167</v>
      </c>
      <c r="H19" t="s">
        <v>168</v>
      </c>
      <c r="I19" t="s">
        <v>169</v>
      </c>
      <c r="K19" s="4"/>
      <c r="L19" s="4"/>
      <c r="M19" s="4"/>
      <c r="O19" s="4" t="s">
        <v>211</v>
      </c>
      <c r="P19" s="2" t="str">
        <f>CONCATENATE("   ",$P$1,".AddTable(","""",A19,""", ",CONCATENATE("EMyEntityType::",E19),", """,IF(ISERROR(FIND(".",C19)),"",RIGHT(C19, LEN(C19) - FIND(".",C19))),""", """,IF(ISERROR(FIND(".",C19)),"",LEFT(C19, FIND(".",C19)-1)),""", """,IF(ISERROR(FIND("::",D19)),"",RIGHT(D19, LEN(D19) - FIND("::",D19)-1)),""", """,IF(ISERROR(FIND("::",D19)),"",LEFT(D19, FIND("::",D19)-1)),""", """,H19,""", """,I19,""", """,O19,""")")</f>
        <v xml:space="preserve">   dictionary.AddTable("Banking", EMyEntityType::table, "Banking", "dbo", "Banking", "myCorporate", "System", "SQL", "informations about the account details provided by a person and used in a specific context")</v>
      </c>
    </row>
    <row r="20" spans="1:16" x14ac:dyDescent="0.45">
      <c r="A20" t="s">
        <v>102</v>
      </c>
      <c r="B20">
        <v>1</v>
      </c>
      <c r="C20" t="s">
        <v>134</v>
      </c>
      <c r="D20" t="s">
        <v>134</v>
      </c>
      <c r="E20" t="s">
        <v>20</v>
      </c>
      <c r="F20">
        <v>0</v>
      </c>
      <c r="G20">
        <v>0</v>
      </c>
      <c r="H20" t="s">
        <v>58</v>
      </c>
      <c r="I20" t="s">
        <v>58</v>
      </c>
      <c r="J20" t="s">
        <v>57</v>
      </c>
      <c r="K20" s="4"/>
      <c r="L20" s="4"/>
      <c r="M20" s="4"/>
      <c r="O20" s="4" t="s">
        <v>264</v>
      </c>
      <c r="P20" s="2" t="str" cm="1">
        <f t="array" ref="P20">CONCATENATE("      .AddAttribute(",Fill(B20,3),", ",QTFunc(C20),", ",QTFunc(D20),", ",QTFunc(E20),", ",F20,", ",G20,", ",H20,", ",I20,", ",QTFunc(K20),", ",QTFunc(L20),", ",QTFunc(M20),", ",QTFunc(O20),   ")")</f>
        <v xml:space="preserve">      .AddAttribute(  1, "ID", "ID", "integer", 0, 0, true, true, "", "", "", "attribute as foreign key from an attribute ID of a person entity to which these account details belong")</v>
      </c>
    </row>
    <row r="21" spans="1:16" x14ac:dyDescent="0.45">
      <c r="A21" t="s">
        <v>102</v>
      </c>
      <c r="B21">
        <v>2</v>
      </c>
      <c r="C21" t="s">
        <v>144</v>
      </c>
      <c r="D21" t="s">
        <v>144</v>
      </c>
      <c r="E21" t="s">
        <v>20</v>
      </c>
      <c r="F21">
        <v>0</v>
      </c>
      <c r="G21">
        <v>0</v>
      </c>
      <c r="H21" t="s">
        <v>58</v>
      </c>
      <c r="I21" t="s">
        <v>58</v>
      </c>
      <c r="J21" t="s">
        <v>57</v>
      </c>
      <c r="K21" s="4"/>
      <c r="L21" s="4"/>
      <c r="M21" s="4"/>
      <c r="O21" s="4" t="s">
        <v>212</v>
      </c>
      <c r="P21" s="2" t="str" cm="1">
        <f t="array" ref="P21">CONCATENATE("      .AddAttribute(",Fill(B21,3),", ",QTFunc(C21),", ",QTFunc(D21),", ",QTFunc(E21),", ",F21,", ",G21,", ",H21,", ",I21,", ",QTFunc(K21),", ",QTFunc(L21),", ",QTFunc(M21),", ",QTFunc(O21),   ")")</f>
        <v xml:space="preserve">      .AddAttribute(  2, "BankingType", "BankingType", "integer", 0, 0, true, true, "", "", "", "extension of the account details key in order to be able to save several / different bank details in a standardized way")</v>
      </c>
    </row>
    <row r="22" spans="1:16" x14ac:dyDescent="0.45">
      <c r="A22" t="s">
        <v>102</v>
      </c>
      <c r="B22">
        <v>3</v>
      </c>
      <c r="C22" t="s">
        <v>145</v>
      </c>
      <c r="D22" t="s">
        <v>145</v>
      </c>
      <c r="E22" t="s">
        <v>19</v>
      </c>
      <c r="F22">
        <v>50</v>
      </c>
      <c r="G22">
        <v>0</v>
      </c>
      <c r="H22" t="s">
        <v>57</v>
      </c>
      <c r="I22" t="s">
        <v>57</v>
      </c>
      <c r="J22" t="s">
        <v>57</v>
      </c>
      <c r="K22" s="4"/>
      <c r="L22" s="4"/>
      <c r="M22" s="4"/>
      <c r="O22" s="4" t="s">
        <v>213</v>
      </c>
      <c r="P22" s="2" t="str" cm="1">
        <f t="array" ref="P22">CONCATENATE("      .AddAttribute(",Fill(B22,3),", ",QTFunc(C22),", ",QTFunc(D22),", ",QTFunc(E22),", ",F22,", ",G22,", ",H22,", ",I22,", ",QTFunc(K22),", ",QTFunc(L22),", ",QTFunc(M22),", ",QTFunc(O22),   ")")</f>
        <v xml:space="preserve">      .AddAttribute(  3, "BankName", "BankName", "varchar", 50, 0, false, false, "", "", "", "name of the bank that manages this account (not necessarily required)")</v>
      </c>
    </row>
    <row r="23" spans="1:16" x14ac:dyDescent="0.45">
      <c r="A23" t="s">
        <v>102</v>
      </c>
      <c r="B23">
        <v>4</v>
      </c>
      <c r="C23" t="s">
        <v>146</v>
      </c>
      <c r="D23" t="s">
        <v>146</v>
      </c>
      <c r="E23" t="s">
        <v>19</v>
      </c>
      <c r="F23">
        <v>33</v>
      </c>
      <c r="G23">
        <v>0</v>
      </c>
      <c r="H23" t="s">
        <v>58</v>
      </c>
      <c r="I23" t="s">
        <v>57</v>
      </c>
      <c r="J23" t="s">
        <v>57</v>
      </c>
      <c r="K23" s="4"/>
      <c r="L23" s="4"/>
      <c r="M23" s="4"/>
      <c r="O23" s="4" t="s">
        <v>214</v>
      </c>
      <c r="P23" s="2" t="str" cm="1">
        <f t="array" ref="P23">CONCATENATE("      .AddAttribute(",Fill(B23,3),", ",QTFunc(C23),", ",QTFunc(D23),", ",QTFunc(E23),", ",F23,", ",G23,", ",H23,", ",I23,", ",QTFunc(K23),", ",QTFunc(L23),", ",QTFunc(M23),", ",QTFunc(O23),   ")")</f>
        <v xml:space="preserve">      .AddAttribute(  4, "IBAN", "IBAN", "varchar", 33, 0, true, false, "", "", "", "IBAN number (account identification) for this bank account (required)")</v>
      </c>
    </row>
    <row r="24" spans="1:16" x14ac:dyDescent="0.45">
      <c r="A24" t="s">
        <v>102</v>
      </c>
      <c r="B24">
        <v>5</v>
      </c>
      <c r="C24" t="s">
        <v>147</v>
      </c>
      <c r="D24" t="s">
        <v>147</v>
      </c>
      <c r="E24" t="s">
        <v>19</v>
      </c>
      <c r="F24">
        <v>12</v>
      </c>
      <c r="G24">
        <v>0</v>
      </c>
      <c r="H24" t="s">
        <v>57</v>
      </c>
      <c r="I24" t="s">
        <v>57</v>
      </c>
      <c r="J24" t="s">
        <v>57</v>
      </c>
      <c r="K24" s="4"/>
      <c r="L24" s="4"/>
      <c r="M24" s="4"/>
      <c r="O24" s="4" t="s">
        <v>215</v>
      </c>
      <c r="P24" s="2" t="str" cm="1">
        <f t="array" ref="P24">CONCATENATE("      .AddAttribute(",Fill(B24,3),", ",QTFunc(C24),", ",QTFunc(D24),", ",QTFunc(E24),", ",F24,", ",G24,", ",H24,", ",I24,", ",QTFunc(K24),", ",QTFunc(L24),", ",QTFunc(M24),", ",QTFunc(O24),   ")")</f>
        <v xml:space="preserve">      .AddAttribute(  5, "BIC", "BIC", "varchar", 12, 0, false, false, "", "", "", "BIC number of the bank that manages this account (not necessarily required for transactions inside europe)")</v>
      </c>
    </row>
    <row r="25" spans="1:16" x14ac:dyDescent="0.45">
      <c r="A25" t="s">
        <v>102</v>
      </c>
      <c r="B25">
        <v>6</v>
      </c>
      <c r="C25" t="s">
        <v>148</v>
      </c>
      <c r="D25" t="s">
        <v>148</v>
      </c>
      <c r="E25" t="s">
        <v>19</v>
      </c>
      <c r="F25">
        <v>27</v>
      </c>
      <c r="G25">
        <v>0</v>
      </c>
      <c r="H25" t="s">
        <v>57</v>
      </c>
      <c r="I25" t="s">
        <v>57</v>
      </c>
      <c r="J25" t="s">
        <v>57</v>
      </c>
      <c r="K25" s="4"/>
      <c r="L25" s="4"/>
      <c r="M25" s="4"/>
      <c r="O25" s="4" t="s">
        <v>216</v>
      </c>
      <c r="P25" s="2" t="str" cm="1">
        <f t="array" ref="P25">CONCATENATE("      .AddAttribute(",Fill(B25,3),", ",QTFunc(C25),", ",QTFunc(D25),", ",QTFunc(E25),", ",F25,", ",G25,", ",H25,", ",I25,", ",QTFunc(K25),", ",QTFunc(L25),", ",QTFunc(M25),", ",QTFunc(O25),   ")")</f>
        <v xml:space="preserve">      .AddAttribute(  6, "BankOwner", "BankOwner", "varchar", 27, 0, false, false, "", "", "", "optionally the name of the owner of the bank details, if this differs from the assigned person")</v>
      </c>
    </row>
    <row r="26" spans="1:16" x14ac:dyDescent="0.45">
      <c r="A26" t="s">
        <v>102</v>
      </c>
      <c r="B26">
        <v>7</v>
      </c>
      <c r="C26" t="s">
        <v>139</v>
      </c>
      <c r="D26" t="s">
        <v>139</v>
      </c>
      <c r="E26" t="s">
        <v>20</v>
      </c>
      <c r="F26">
        <v>0</v>
      </c>
      <c r="G26">
        <v>0</v>
      </c>
      <c r="H26" t="s">
        <v>57</v>
      </c>
      <c r="I26" t="s">
        <v>57</v>
      </c>
      <c r="J26" t="s">
        <v>57</v>
      </c>
      <c r="K26" s="4"/>
      <c r="L26" s="4"/>
      <c r="M26" s="4"/>
      <c r="O26" s="4" t="s">
        <v>479</v>
      </c>
      <c r="P26" s="2" t="str" cm="1">
        <f t="array" ref="P26">CONCATENATE("      .AddAttribute(",Fill(B26,3),", ",QTFunc(C26),", ",QTFunc(D26),", ",QTFunc(E26),", ",F26,", ",G26,", ",H26,", ",I26,", ",QTFunc(K26),", ",QTFunc(L26),", ",QTFunc(M26),", ",QTFunc(O26),   ")")</f>
        <v xml:space="preserve">      .AddAttribute(  7, "Country", "Country", "integer", 0, 0, false, false, "", "", "", "ID of the country for the banking entity, key attribute from the Countries entity")</v>
      </c>
    </row>
    <row r="27" spans="1:16" x14ac:dyDescent="0.45">
      <c r="K27" s="4"/>
      <c r="L27" s="4"/>
      <c r="M27" s="4"/>
      <c r="O27" s="4"/>
    </row>
    <row r="28" spans="1:16" x14ac:dyDescent="0.45">
      <c r="A28" t="s">
        <v>103</v>
      </c>
      <c r="B28">
        <v>0</v>
      </c>
      <c r="C28" t="s">
        <v>117</v>
      </c>
      <c r="D28" t="s">
        <v>461</v>
      </c>
      <c r="E28" t="s">
        <v>167</v>
      </c>
      <c r="H28" t="s">
        <v>168</v>
      </c>
      <c r="I28" t="s">
        <v>169</v>
      </c>
      <c r="K28" s="4"/>
      <c r="L28" s="4"/>
      <c r="M28" s="4"/>
      <c r="O28" s="4" t="s">
        <v>217</v>
      </c>
      <c r="P28" s="2" t="str">
        <f>CONCATENATE("   ",$P$1,".AddTable(","""",A28,""", ",CONCATENATE("EMyEntityType::",E28),", """,IF(ISERROR(FIND(".",C28)),"",RIGHT(C28, LEN(C28) - FIND(".",C28))),""", """,IF(ISERROR(FIND(".",C28)),"",LEFT(C28, FIND(".",C28)-1)),""", """,IF(ISERROR(FIND("::",D28)),"",RIGHT(D28, LEN(D28) - FIND("::",D28)-1)),""", """,IF(ISERROR(FIND("::",D28)),"",LEFT(D28, FIND("::",D28)-1)),""", """,H28,""", """,I28,""", """,O28,""")")</f>
        <v xml:space="preserve">   dictionary.AddTable("BankingTypes", EMyEntityType::table, "BankingTypes", "dbo", "BankingTypes", "myCorporate", "System", "SQL", "domain / range of values for banking types, this is an extension of the relationship between persons and banking accounts.")</v>
      </c>
    </row>
    <row r="29" spans="1:16" x14ac:dyDescent="0.45">
      <c r="A29" t="s">
        <v>103</v>
      </c>
      <c r="B29">
        <v>1</v>
      </c>
      <c r="C29" t="s">
        <v>134</v>
      </c>
      <c r="D29" t="s">
        <v>134</v>
      </c>
      <c r="E29" t="s">
        <v>20</v>
      </c>
      <c r="F29">
        <v>0</v>
      </c>
      <c r="G29">
        <v>0</v>
      </c>
      <c r="H29" t="s">
        <v>58</v>
      </c>
      <c r="I29" t="s">
        <v>58</v>
      </c>
      <c r="J29" t="s">
        <v>57</v>
      </c>
      <c r="K29" s="4"/>
      <c r="L29" s="4"/>
      <c r="M29" s="4"/>
      <c r="O29" s="4" t="s">
        <v>218</v>
      </c>
      <c r="P29" s="2" t="str" cm="1">
        <f t="array" ref="P29">CONCATENATE("      .AddAttribute(",Fill(B29,3),", ",QTFunc(C29),", ",QTFunc(D29),", ",QTFunc(E29),", ",F29,", ",G29,", ",H29,", ",I29,", ",QTFunc(K29),", ",QTFunc(L29),", ",QTFunc(M29),", ",QTFunc(O29),   ")")</f>
        <v xml:space="preserve">      .AddAttribute(  1, "ID", "ID", "integer", 0, 0, true, true, "", "", "", "unique identification number for a record in this domain with banking types")</v>
      </c>
    </row>
    <row r="30" spans="1:16" x14ac:dyDescent="0.45">
      <c r="A30" t="s">
        <v>103</v>
      </c>
      <c r="B30">
        <v>2</v>
      </c>
      <c r="C30" t="s">
        <v>129</v>
      </c>
      <c r="D30" t="s">
        <v>129</v>
      </c>
      <c r="E30" t="s">
        <v>19</v>
      </c>
      <c r="F30">
        <v>50</v>
      </c>
      <c r="G30">
        <v>0</v>
      </c>
      <c r="H30" t="s">
        <v>58</v>
      </c>
      <c r="I30" t="s">
        <v>57</v>
      </c>
      <c r="J30" t="s">
        <v>58</v>
      </c>
      <c r="K30" s="4"/>
      <c r="L30" s="4"/>
      <c r="M30" s="4"/>
      <c r="O30" s="4" t="s">
        <v>225</v>
      </c>
      <c r="P30" s="2" t="str" cm="1">
        <f t="array" ref="P30">CONCATENATE("      .AddAttribute(",Fill(B30,3),", ",QTFunc(C30),", ",QTFunc(D30),", ",QTFunc(E30),", ",F30,", ",G30,", ",H30,", ",I30,", ",QTFunc(K30),", ",QTFunc(L30),", ",QTFunc(M30),", ",QTFunc(O30),   ")")</f>
        <v xml:space="preserve">      .AddAttribute(  2, "Denotation", "Denotation", "varchar", 50, 0, true, false, "", "", "", "unique description of an banking type entity in the domain, used in selections, comboboxes, … (key canditate)")</v>
      </c>
    </row>
    <row r="31" spans="1:16" x14ac:dyDescent="0.45">
      <c r="A31" t="s">
        <v>103</v>
      </c>
      <c r="B31">
        <v>3</v>
      </c>
      <c r="C31" t="s">
        <v>130</v>
      </c>
      <c r="D31" t="s">
        <v>130</v>
      </c>
      <c r="E31" t="s">
        <v>19</v>
      </c>
      <c r="F31">
        <v>10</v>
      </c>
      <c r="G31">
        <v>0</v>
      </c>
      <c r="H31" t="s">
        <v>57</v>
      </c>
      <c r="I31" t="s">
        <v>57</v>
      </c>
      <c r="J31" t="s">
        <v>57</v>
      </c>
      <c r="K31" s="4"/>
      <c r="L31" s="4"/>
      <c r="M31" s="4"/>
      <c r="O31" s="4" t="s">
        <v>224</v>
      </c>
      <c r="P31" s="2" t="str" cm="1">
        <f t="array" ref="P31">CONCATENATE("      .AddAttribute(",Fill(B31,3),", ",QTFunc(C31),", ",QTFunc(D31),", ",QTFunc(E31),", ",F31,", ",G31,", ",H31,", ",I31,", ",QTFunc(K31),", ",QTFunc(L31),", ",QTFunc(M31),", ",QTFunc(O31),   ")")</f>
        <v xml:space="preserve">      .AddAttribute(  3, "Abbreviation", "Abbreviation", "varchar", 10, 0, false, false, "", "", "", "non-representative abbreviation that can be used for a short advertisement for this banking type")</v>
      </c>
    </row>
    <row r="32" spans="1:16" x14ac:dyDescent="0.45">
      <c r="A32" t="s">
        <v>103</v>
      </c>
      <c r="B32">
        <v>4</v>
      </c>
      <c r="C32" t="s">
        <v>131</v>
      </c>
      <c r="D32" t="s">
        <v>131</v>
      </c>
      <c r="E32" t="s">
        <v>77</v>
      </c>
      <c r="F32">
        <v>0</v>
      </c>
      <c r="G32">
        <v>0</v>
      </c>
      <c r="H32" t="s">
        <v>57</v>
      </c>
      <c r="I32" t="s">
        <v>57</v>
      </c>
      <c r="J32" t="s">
        <v>57</v>
      </c>
      <c r="K32" s="4"/>
      <c r="L32" s="4"/>
      <c r="M32" s="4"/>
      <c r="O32" s="4" t="s">
        <v>223</v>
      </c>
      <c r="P32" s="2" t="str" cm="1">
        <f t="array" ref="P32">CONCATENATE("      .AddAttribute(",Fill(B32,3),", ",QTFunc(C32),", ",QTFunc(D32),", ",QTFunc(E32),", ",F32,", ",G32,", ",H32,", ",I32,", ",QTFunc(K32),", ",QTFunc(L32),", ",QTFunc(M32),", ",QTFunc(O32),   ")")</f>
        <v xml:space="preserve">      .AddAttribute(  4, "Description", "Description", "text", 0, 0, false, false, "", "", "", "detailed description of these banking type,this is a self documentation, possible use as hint or to information in the programm")</v>
      </c>
    </row>
    <row r="33" spans="1:16" x14ac:dyDescent="0.45">
      <c r="A33" t="s">
        <v>103</v>
      </c>
      <c r="B33">
        <v>5</v>
      </c>
      <c r="C33" t="s">
        <v>132</v>
      </c>
      <c r="D33" t="s">
        <v>132</v>
      </c>
      <c r="E33" t="s">
        <v>77</v>
      </c>
      <c r="F33">
        <v>0</v>
      </c>
      <c r="G33">
        <v>0</v>
      </c>
      <c r="H33" t="s">
        <v>57</v>
      </c>
      <c r="I33" t="s">
        <v>57</v>
      </c>
      <c r="J33" t="s">
        <v>57</v>
      </c>
      <c r="K33" s="4"/>
      <c r="L33" s="4"/>
      <c r="M33" s="4"/>
      <c r="O33" s="4" t="s">
        <v>222</v>
      </c>
      <c r="P33" s="2" t="str" cm="1">
        <f t="array" ref="P33">CONCATENATE("      .AddAttribute(",Fill(B33,3),", ",QTFunc(C33),", ",QTFunc(D33),", ",QTFunc(E33),", ",F33,", ",G33,", ",H33,", ",I33,", ",QTFunc(K33),", ",QTFunc(L33),", ",QTFunc(M33),", ",QTFunc(O33),   ")")</f>
        <v xml:space="preserve">      .AddAttribute(  5, "Notes", "Notes", "text", 0, 0, false, false, "", "", "", "notes, with additional / free information for this type of banking, not used in application")</v>
      </c>
    </row>
    <row r="34" spans="1:16" x14ac:dyDescent="0.45">
      <c r="A34" t="s">
        <v>103</v>
      </c>
      <c r="B34">
        <v>6</v>
      </c>
      <c r="C34" t="s">
        <v>133</v>
      </c>
      <c r="D34" t="s">
        <v>133</v>
      </c>
      <c r="E34" t="s">
        <v>27</v>
      </c>
      <c r="F34">
        <v>0</v>
      </c>
      <c r="G34">
        <v>0</v>
      </c>
      <c r="H34" t="s">
        <v>57</v>
      </c>
      <c r="I34" t="s">
        <v>57</v>
      </c>
      <c r="J34" t="s">
        <v>57</v>
      </c>
      <c r="K34" s="4"/>
      <c r="L34" s="4"/>
      <c r="M34" s="4"/>
      <c r="O34" s="4" t="s">
        <v>221</v>
      </c>
      <c r="P34" s="2" t="str" cm="1">
        <f t="array" ref="P34">CONCATENATE("      .AddAttribute(",Fill(B34,3),", ",QTFunc(C34),", ",QTFunc(D34),", ",QTFunc(E34),", ",F34,", ",G34,", ",H34,", ",I34,", ",QTFunc(K34),", ",QTFunc(L34),", ",QTFunc(M34),", ",QTFunc(O34),   ")")</f>
        <v xml:space="preserve">      .AddAttribute(  6, "UrgentValue", "UrgentValue", "bool", 0, 0, false, false, "", "", "", "boolean value that makes this entity of banking type to a system value (cannot be changed as it is used directly by the program)")</v>
      </c>
    </row>
    <row r="35" spans="1:16" x14ac:dyDescent="0.45">
      <c r="K35" s="4"/>
      <c r="L35" s="4"/>
      <c r="M35" s="4"/>
      <c r="O35" s="4"/>
    </row>
    <row r="36" spans="1:16" x14ac:dyDescent="0.45">
      <c r="A36" t="s">
        <v>104</v>
      </c>
      <c r="B36">
        <v>0</v>
      </c>
      <c r="C36" t="s">
        <v>118</v>
      </c>
      <c r="D36" t="s">
        <v>459</v>
      </c>
      <c r="E36" t="s">
        <v>167</v>
      </c>
      <c r="H36" t="s">
        <v>168</v>
      </c>
      <c r="I36" t="s">
        <v>169</v>
      </c>
      <c r="K36" s="4"/>
      <c r="L36" s="4"/>
      <c r="M36" s="4"/>
      <c r="O36" s="4" t="s">
        <v>404</v>
      </c>
      <c r="P36" s="2" t="str">
        <f>CONCATENATE("   ",$P$1,".AddTable(","""",A36,""", ",CONCATENATE("EMyEntityType::",E36),", """,IF(ISERROR(FIND(".",C36)),"",RIGHT(C36, LEN(C36) - FIND(".",C36))),""", """,IF(ISERROR(FIND(".",C36)),"",LEFT(C36, FIND(".",C36)-1)),""", """,IF(ISERROR(FIND("::",D36)),"",RIGHT(D36, LEN(D36) - FIND("::",D36)-1)),""", """,IF(ISERROR(FIND("::",D36)),"",LEFT(D36, FIND("::",D36)-1)),""", """,H36,""", """,I36,""", """,O36,""")")</f>
        <v xml:space="preserve">   dictionary.AddTable("Countries", EMyEntityType::table, "Countries", "dbo", "Countries", "myCorporate", "System", "SQL", "table with the countries and additional values for the countries. Used by others for assoziation.")</v>
      </c>
    </row>
    <row r="37" spans="1:16" x14ac:dyDescent="0.45">
      <c r="A37" t="s">
        <v>104</v>
      </c>
      <c r="B37">
        <v>1</v>
      </c>
      <c r="C37" t="s">
        <v>134</v>
      </c>
      <c r="D37" t="s">
        <v>134</v>
      </c>
      <c r="E37" t="s">
        <v>20</v>
      </c>
      <c r="F37">
        <v>0</v>
      </c>
      <c r="G37">
        <v>0</v>
      </c>
      <c r="H37" t="s">
        <v>58</v>
      </c>
      <c r="I37" t="s">
        <v>58</v>
      </c>
      <c r="J37" t="s">
        <v>57</v>
      </c>
      <c r="K37" s="4"/>
      <c r="L37" s="4"/>
      <c r="M37" s="4"/>
      <c r="O37" s="4" t="s">
        <v>405</v>
      </c>
      <c r="P37" s="2" t="str" cm="1">
        <f t="array" ref="P37">CONCATENATE("      .AddAttribute(",Fill(B37,3),", ",QTFunc(C37),", ",QTFunc(D37),", ",QTFunc(E37),", ",F37,", ",G37,", ",H37,", ",I37,", ",QTFunc(K37),", ",QTFunc(L37),", ",QTFunc(M37),", ",QTFunc(O37),   ")")</f>
        <v xml:space="preserve">      .AddAttribute(  1, "ID", "ID", "integer", 0, 0, true, true, "", "", "", "unique identification number for a record in the table Countries")</v>
      </c>
    </row>
    <row r="38" spans="1:16" x14ac:dyDescent="0.45">
      <c r="A38" t="s">
        <v>104</v>
      </c>
      <c r="B38">
        <v>2</v>
      </c>
      <c r="C38" t="s">
        <v>129</v>
      </c>
      <c r="D38" t="s">
        <v>129</v>
      </c>
      <c r="E38" t="s">
        <v>19</v>
      </c>
      <c r="F38">
        <v>50</v>
      </c>
      <c r="G38">
        <v>0</v>
      </c>
      <c r="H38" t="s">
        <v>58</v>
      </c>
      <c r="I38" t="s">
        <v>57</v>
      </c>
      <c r="J38" t="s">
        <v>58</v>
      </c>
      <c r="K38" s="4"/>
      <c r="L38" s="4"/>
      <c r="M38" s="4"/>
      <c r="O38" s="4" t="s">
        <v>406</v>
      </c>
      <c r="P38" s="2" t="str" cm="1">
        <f t="array" ref="P38">CONCATENATE("      .AddAttribute(",Fill(B38,3),", ",QTFunc(C38),", ",QTFunc(D38),", ",QTFunc(E38),", ",F38,", ",G38,", ",H38,", ",I38,", ",QTFunc(K38),", ",QTFunc(L38),", ",QTFunc(M38),", ",QTFunc(O38),   ")")</f>
        <v xml:space="preserve">      .AddAttribute(  2, "Denotation", "Denotation", "varchar", 50, 0, true, false, "", "", "", "unique, official designation of the country, key candidate")</v>
      </c>
    </row>
    <row r="39" spans="1:16" x14ac:dyDescent="0.45">
      <c r="A39" t="s">
        <v>104</v>
      </c>
      <c r="B39">
        <v>3</v>
      </c>
      <c r="C39" t="s">
        <v>130</v>
      </c>
      <c r="D39" t="s">
        <v>130</v>
      </c>
      <c r="E39" t="s">
        <v>19</v>
      </c>
      <c r="F39">
        <v>10</v>
      </c>
      <c r="G39">
        <v>0</v>
      </c>
      <c r="H39" t="s">
        <v>57</v>
      </c>
      <c r="I39" t="s">
        <v>57</v>
      </c>
      <c r="J39" t="s">
        <v>57</v>
      </c>
      <c r="K39" s="4"/>
      <c r="L39" s="4"/>
      <c r="M39" s="4"/>
      <c r="O39" s="4" t="s">
        <v>407</v>
      </c>
      <c r="P39" s="2" t="str" cm="1">
        <f t="array" ref="P39">CONCATENATE("      .AddAttribute(",Fill(B39,3),", ",QTFunc(C39),", ",QTFunc(D39),", ",QTFunc(E39),", ",F39,", ",G39,", ",H39,", ",I39,", ",QTFunc(K39),", ",QTFunc(L39),", ",QTFunc(M39),", ",QTFunc(O39),   ")")</f>
        <v xml:space="preserve">      .AddAttribute(  3, "Abbreviation", "Abbreviation", "varchar", 10, 0, false, false, "", "", "", "abbreviation of the country for the program")</v>
      </c>
    </row>
    <row r="40" spans="1:16" x14ac:dyDescent="0.45">
      <c r="A40" t="s">
        <v>104</v>
      </c>
      <c r="B40">
        <v>4</v>
      </c>
      <c r="C40" t="s">
        <v>131</v>
      </c>
      <c r="D40" t="s">
        <v>131</v>
      </c>
      <c r="E40" t="s">
        <v>77</v>
      </c>
      <c r="F40">
        <v>0</v>
      </c>
      <c r="G40">
        <v>0</v>
      </c>
      <c r="H40" t="s">
        <v>57</v>
      </c>
      <c r="I40" t="s">
        <v>57</v>
      </c>
      <c r="J40" t="s">
        <v>57</v>
      </c>
      <c r="K40" s="4"/>
      <c r="L40" s="4"/>
      <c r="M40" s="4"/>
      <c r="O40" s="4" t="s">
        <v>409</v>
      </c>
      <c r="P40" s="2" t="str" cm="1">
        <f t="array" ref="P40">CONCATENATE("      .AddAttribute(",Fill(B40,3),", ",QTFunc(C40),", ",QTFunc(D40),", ",QTFunc(E40),", ",F40,", ",G40,", ",H40,", ",I40,", ",QTFunc(K40),", ",QTFunc(L40),", ",QTFunc(M40),", ",QTFunc(O40),   ")")</f>
        <v xml:space="preserve">      .AddAttribute(  4, "Description", "Description", "text", 0, 0, false, false, "", "", "", "text field for the description of the country. can be used by the program to provide additional information, for example in the status bar or a hint")</v>
      </c>
    </row>
    <row r="41" spans="1:16" x14ac:dyDescent="0.45">
      <c r="A41" t="s">
        <v>104</v>
      </c>
      <c r="B41">
        <v>5</v>
      </c>
      <c r="C41" t="s">
        <v>149</v>
      </c>
      <c r="D41" t="s">
        <v>149</v>
      </c>
      <c r="E41" t="s">
        <v>19</v>
      </c>
      <c r="F41">
        <v>10</v>
      </c>
      <c r="G41">
        <v>0</v>
      </c>
      <c r="H41" t="s">
        <v>57</v>
      </c>
      <c r="I41" t="s">
        <v>57</v>
      </c>
      <c r="J41" t="s">
        <v>57</v>
      </c>
      <c r="K41" s="4"/>
      <c r="L41" s="4"/>
      <c r="M41" s="4"/>
      <c r="O41" s="4" t="s">
        <v>410</v>
      </c>
      <c r="P41" s="2" t="str" cm="1">
        <f t="array" ref="P41">CONCATENATE("      .AddAttribute(",Fill(B41,3),", ",QTFunc(C41),", ",QTFunc(D41),", ",QTFunc(E41),", ",F41,", ",G41,", ",H41,", ",I41,", ",QTFunc(K41),", ",QTFunc(L41),", ",QTFunc(M41),", ",QTFunc(O41),   ")")</f>
        <v xml:space="preserve">      .AddAttribute(  5, "CountryDialing", "CountryDialing", "varchar", 10, 0, false, false, "", "", "", "international country code for telephone for this country (not unique)")</v>
      </c>
    </row>
    <row r="42" spans="1:16" x14ac:dyDescent="0.45">
      <c r="A42" t="s">
        <v>104</v>
      </c>
      <c r="B42">
        <v>6</v>
      </c>
      <c r="C42" t="s">
        <v>150</v>
      </c>
      <c r="D42" t="s">
        <v>150</v>
      </c>
      <c r="E42" t="s">
        <v>19</v>
      </c>
      <c r="F42">
        <v>5</v>
      </c>
      <c r="G42">
        <v>0</v>
      </c>
      <c r="H42" t="s">
        <v>57</v>
      </c>
      <c r="I42" t="s">
        <v>57</v>
      </c>
      <c r="J42" t="s">
        <v>57</v>
      </c>
      <c r="K42" s="4"/>
      <c r="L42" s="4"/>
      <c r="M42" s="4"/>
      <c r="O42" s="4" t="s">
        <v>408</v>
      </c>
      <c r="P42" s="2" t="str" cm="1">
        <f t="array" ref="P42">CONCATENATE("      .AddAttribute(",Fill(B42,3),", ",QTFunc(C42),", ",QTFunc(D42),", ",QTFunc(E42),", ",F42,", ",G42,", ",H42,", ",I42,", ",QTFunc(K42),", ",QTFunc(L42),", ",QTFunc(M42),", ",QTFunc(O42),   ")")</f>
        <v xml:space="preserve">      .AddAttribute(  6, "ISO_Code", "ISO_Code", "varchar", 5, 0, false, false, "", "", "", "unique, official international code (ISO) for the country in the communication")</v>
      </c>
    </row>
    <row r="43" spans="1:16" x14ac:dyDescent="0.45">
      <c r="A43" t="s">
        <v>104</v>
      </c>
      <c r="B43">
        <v>7</v>
      </c>
      <c r="C43" t="s">
        <v>132</v>
      </c>
      <c r="D43" t="s">
        <v>132</v>
      </c>
      <c r="E43" t="s">
        <v>77</v>
      </c>
      <c r="F43">
        <v>0</v>
      </c>
      <c r="G43">
        <v>0</v>
      </c>
      <c r="H43" t="s">
        <v>57</v>
      </c>
      <c r="I43" t="s">
        <v>57</v>
      </c>
      <c r="J43" t="s">
        <v>57</v>
      </c>
      <c r="K43" s="4"/>
      <c r="L43" s="4"/>
      <c r="M43" s="4"/>
      <c r="O43" s="4" t="s">
        <v>411</v>
      </c>
      <c r="P43" s="2" t="str" cm="1">
        <f t="array" ref="P43">CONCATENATE("      .AddAttribute(",Fill(B43,3),", ",QTFunc(C43),", ",QTFunc(D43),", ",QTFunc(E43),", ",F43,", ",G43,", ",H43,", ",I43,", ",QTFunc(K43),", ",QTFunc(L43),", ",QTFunc(M43),", ",QTFunc(O43),   ")")</f>
        <v xml:space="preserve">      .AddAttribute(  7, "Notes", "Notes", "text", 0, 0, false, false, "", "", "", "notes, with additional / free information for this country, not used in application")</v>
      </c>
    </row>
    <row r="44" spans="1:16" x14ac:dyDescent="0.45">
      <c r="A44" t="s">
        <v>104</v>
      </c>
      <c r="B44">
        <v>8</v>
      </c>
      <c r="C44" t="s">
        <v>133</v>
      </c>
      <c r="D44" t="s">
        <v>133</v>
      </c>
      <c r="E44" t="s">
        <v>27</v>
      </c>
      <c r="F44">
        <v>0</v>
      </c>
      <c r="G44">
        <v>0</v>
      </c>
      <c r="H44" t="s">
        <v>57</v>
      </c>
      <c r="I44" t="s">
        <v>57</v>
      </c>
      <c r="J44" t="s">
        <v>57</v>
      </c>
      <c r="K44" s="4"/>
      <c r="L44" s="4"/>
      <c r="M44" s="4"/>
      <c r="O44" s="4" t="s">
        <v>256</v>
      </c>
      <c r="P44" s="2" t="str" cm="1">
        <f t="array" ref="P44">CONCATENATE("      .AddAttribute(",Fill(B44,3),", ",QTFunc(C44),", ",QTFunc(D44),", ",QTFunc(E44),", ",F44,", ",G44,", ",H44,", ",I44,", ",QTFunc(K44),", ",QTFunc(L44),", ",QTFunc(M44),", ",QTFunc(O44),   ")")</f>
        <v xml:space="preserve">      .AddAttribute(  8, "UrgentValue", "UrgentValue", "bool", 0, 0, false, false, "", "", "", "boolean value that makes this entity of country to a system value (cannot be changed as it is used directly by the program)")</v>
      </c>
    </row>
    <row r="45" spans="1:16" x14ac:dyDescent="0.45">
      <c r="K45" s="4"/>
      <c r="L45" s="4"/>
      <c r="M45" s="4"/>
      <c r="O45" s="4"/>
    </row>
    <row r="46" spans="1:16" x14ac:dyDescent="0.45">
      <c r="A46" t="s">
        <v>105</v>
      </c>
      <c r="B46">
        <v>0</v>
      </c>
      <c r="C46" t="s">
        <v>119</v>
      </c>
      <c r="D46" t="s">
        <v>458</v>
      </c>
      <c r="E46" t="s">
        <v>167</v>
      </c>
      <c r="H46" t="s">
        <v>168</v>
      </c>
      <c r="I46" t="s">
        <v>169</v>
      </c>
      <c r="K46" s="4"/>
      <c r="L46" s="4"/>
      <c r="M46" s="4"/>
      <c r="O46" s="4"/>
      <c r="P46" s="2" t="str">
        <f>CONCATENATE("   ",$P$1,".AddTable(","""",A46,""", ",CONCATENATE("EMyEntityType::",E46),", """,IF(ISERROR(FIND(".",C46)),"",RIGHT(C46, LEN(C46) - FIND(".",C46))),""", """,IF(ISERROR(FIND(".",C46)),"",LEFT(C46, FIND(".",C46)-1)),""", """,IF(ISERROR(FIND("::",D46)),"",RIGHT(D46, LEN(D46) - FIND("::",D46)-1)),""", """,IF(ISERROR(FIND("::",D46)),"",LEFT(D46, FIND("::",D46)-1)),""", """,H46,""", """,I46,""", """,O46,""")")</f>
        <v xml:space="preserve">   dictionary.AddTable("Departments", EMyEntityType::table, "Departments", "dbo", "Departments", "myHR", "System", "SQL", "")</v>
      </c>
    </row>
    <row r="47" spans="1:16" x14ac:dyDescent="0.45">
      <c r="A47" t="s">
        <v>105</v>
      </c>
      <c r="B47">
        <v>1</v>
      </c>
      <c r="C47" t="s">
        <v>134</v>
      </c>
      <c r="D47" t="s">
        <v>134</v>
      </c>
      <c r="E47" t="s">
        <v>20</v>
      </c>
      <c r="F47">
        <v>0</v>
      </c>
      <c r="G47">
        <v>0</v>
      </c>
      <c r="H47" t="s">
        <v>58</v>
      </c>
      <c r="I47" t="s">
        <v>58</v>
      </c>
      <c r="J47" t="s">
        <v>57</v>
      </c>
      <c r="K47" s="4"/>
      <c r="L47" s="4"/>
      <c r="M47" s="4"/>
      <c r="O47" s="4" t="s">
        <v>468</v>
      </c>
      <c r="P47" s="2" t="str" cm="1">
        <f t="array" ref="P47">CONCATENATE("      .AddAttribute(",Fill(B47,3),", ",QTFunc(C47),", ",QTFunc(D47),", ",QTFunc(E47),", ",F47,", ",G47,", ",H47,", ",I47,", ",QTFunc(K47),", ",QTFunc(L47),", ",QTFunc(M47),", ",QTFunc(O47),   ")")</f>
        <v xml:space="preserve">      .AddAttribute(  1, "ID", "ID", "integer", 0, 0, true, true, "", "", "", "unique identifications number of the department. primary key and used for assoziations")</v>
      </c>
    </row>
    <row r="48" spans="1:16" x14ac:dyDescent="0.45">
      <c r="A48" t="s">
        <v>105</v>
      </c>
      <c r="B48">
        <v>2</v>
      </c>
      <c r="C48" t="s">
        <v>129</v>
      </c>
      <c r="D48" t="s">
        <v>129</v>
      </c>
      <c r="E48" t="s">
        <v>19</v>
      </c>
      <c r="F48">
        <v>50</v>
      </c>
      <c r="G48">
        <v>0</v>
      </c>
      <c r="H48" t="s">
        <v>58</v>
      </c>
      <c r="I48" t="s">
        <v>57</v>
      </c>
      <c r="J48" t="s">
        <v>58</v>
      </c>
      <c r="K48" s="4"/>
      <c r="L48" s="4"/>
      <c r="M48" s="4"/>
      <c r="O48" s="4" t="s">
        <v>470</v>
      </c>
      <c r="P48" s="2" t="str" cm="1">
        <f t="array" ref="P48">CONCATENATE("      .AddAttribute(",Fill(B48,3),", ",QTFunc(C48),", ",QTFunc(D48),", ",QTFunc(E48),", ",F48,", ",G48,", ",H48,", ",I48,", ",QTFunc(K48),", ",QTFunc(L48),", ",QTFunc(M48),", ",QTFunc(O48),   ")")</f>
        <v xml:space="preserve">      .AddAttribute(  2, "Denotation", "Denotation", "varchar", 50, 0, true, false, "", "", "", "distinct name of the department in the company. used to identify this and use in application for select")</v>
      </c>
    </row>
    <row r="49" spans="1:16" x14ac:dyDescent="0.45">
      <c r="A49" t="s">
        <v>105</v>
      </c>
      <c r="B49">
        <v>3</v>
      </c>
      <c r="C49" t="s">
        <v>130</v>
      </c>
      <c r="D49" t="s">
        <v>130</v>
      </c>
      <c r="E49" t="s">
        <v>19</v>
      </c>
      <c r="F49">
        <v>10</v>
      </c>
      <c r="G49">
        <v>0</v>
      </c>
      <c r="H49" t="s">
        <v>57</v>
      </c>
      <c r="I49" t="s">
        <v>57</v>
      </c>
      <c r="J49" t="s">
        <v>57</v>
      </c>
      <c r="K49" s="4"/>
      <c r="L49" s="4"/>
      <c r="M49" s="4"/>
      <c r="O49" s="4" t="s">
        <v>469</v>
      </c>
      <c r="P49" s="2" t="str" cm="1">
        <f t="array" ref="P49">CONCATENATE("      .AddAttribute(",Fill(B49,3),", ",QTFunc(C49),", ",QTFunc(D49),", ",QTFunc(E49),", ",F49,", ",G49,", ",H49,", ",I49,", ",QTFunc(K49),", ",QTFunc(L49),", ",QTFunc(M49),", ",QTFunc(O49),   ")")</f>
        <v xml:space="preserve">      .AddAttribute(  3, "Abbreviation", "Abbreviation", "varchar", 10, 0, false, false, "", "", "", "used abbreviation of the department for list and such")</v>
      </c>
    </row>
    <row r="50" spans="1:16" x14ac:dyDescent="0.45">
      <c r="A50" t="s">
        <v>105</v>
      </c>
      <c r="B50">
        <v>4</v>
      </c>
      <c r="C50" t="s">
        <v>131</v>
      </c>
      <c r="D50" t="s">
        <v>131</v>
      </c>
      <c r="E50" t="s">
        <v>77</v>
      </c>
      <c r="F50">
        <v>0</v>
      </c>
      <c r="G50">
        <v>0</v>
      </c>
      <c r="H50" t="s">
        <v>57</v>
      </c>
      <c r="I50" t="s">
        <v>57</v>
      </c>
      <c r="J50" t="s">
        <v>57</v>
      </c>
      <c r="K50" s="4"/>
      <c r="L50" s="4"/>
      <c r="M50" s="4"/>
      <c r="O50" s="4"/>
      <c r="P50" s="2" t="str" cm="1">
        <f t="array" ref="P50">CONCATENATE("      .AddAttribute(",Fill(B50,3),", ",QTFunc(C50),", ",QTFunc(D50),", ",QTFunc(E50),", ",F50,", ",G50,", ",H50,", ",I50,", ",QTFunc(K50),", ",QTFunc(L50),", ",QTFunc(M50),", ",QTFunc(O50),   ")")</f>
        <v xml:space="preserve">      .AddAttribute(  4, "Description", "Description", "text", 0, 0, false, false, "", "", "", "")</v>
      </c>
    </row>
    <row r="51" spans="1:16" x14ac:dyDescent="0.45">
      <c r="A51" t="s">
        <v>105</v>
      </c>
      <c r="B51">
        <v>5</v>
      </c>
      <c r="C51" t="s">
        <v>464</v>
      </c>
      <c r="D51" t="s">
        <v>464</v>
      </c>
      <c r="E51" t="s">
        <v>20</v>
      </c>
      <c r="F51">
        <v>0</v>
      </c>
      <c r="G51">
        <v>0</v>
      </c>
      <c r="H51" t="s">
        <v>57</v>
      </c>
      <c r="I51" t="s">
        <v>57</v>
      </c>
      <c r="J51" t="s">
        <v>57</v>
      </c>
      <c r="K51" s="4"/>
      <c r="L51" s="4"/>
      <c r="M51" s="4"/>
      <c r="O51" s="4"/>
      <c r="P51" s="2" t="str" cm="1">
        <f t="array" ref="P51">CONCATENATE("      .AddAttribute(",Fill(B51,3),", ",QTFunc(C51),", ",QTFunc(D51),", ",QTFunc(E51),", ",F51,", ",G51,", ",H51,", ",I51,", ",QTFunc(K51),", ",QTFunc(L51),", ",QTFunc(M51),", ",QTFunc(O51),   ")")</f>
        <v xml:space="preserve">      .AddAttribute(  5, "Officer", "Officer", "integer", 0, 0, false, false, "", "", "", "")</v>
      </c>
    </row>
    <row r="52" spans="1:16" x14ac:dyDescent="0.45">
      <c r="A52" t="s">
        <v>105</v>
      </c>
      <c r="B52">
        <v>6</v>
      </c>
      <c r="C52" t="s">
        <v>132</v>
      </c>
      <c r="D52" t="s">
        <v>132</v>
      </c>
      <c r="E52" t="s">
        <v>77</v>
      </c>
      <c r="F52">
        <v>0</v>
      </c>
      <c r="G52">
        <v>0</v>
      </c>
      <c r="H52" t="s">
        <v>57</v>
      </c>
      <c r="I52" t="s">
        <v>57</v>
      </c>
      <c r="J52" t="s">
        <v>57</v>
      </c>
      <c r="K52" s="4"/>
      <c r="L52" s="4"/>
      <c r="M52" s="4"/>
      <c r="O52" s="4"/>
      <c r="P52" s="2" t="str" cm="1">
        <f t="array" ref="P52">CONCATENATE("      .AddAttribute(",Fill(B52,3),", ",QTFunc(C52),", ",QTFunc(D52),", ",QTFunc(E52),", ",F52,", ",G52,", ",H52,", ",I52,", ",QTFunc(K52),", ",QTFunc(L52),", ",QTFunc(M52),", ",QTFunc(O52),   ")")</f>
        <v xml:space="preserve">      .AddAttribute(  6, "Notes", "Notes", "text", 0, 0, false, false, "", "", "", "")</v>
      </c>
    </row>
    <row r="53" spans="1:16" x14ac:dyDescent="0.45">
      <c r="K53" s="4"/>
      <c r="L53" s="4"/>
      <c r="M53" s="4"/>
      <c r="O53" s="4"/>
    </row>
    <row r="54" spans="1:16" x14ac:dyDescent="0.45">
      <c r="A54" t="s">
        <v>106</v>
      </c>
      <c r="B54">
        <v>0</v>
      </c>
      <c r="C54" t="s">
        <v>120</v>
      </c>
      <c r="D54" t="s">
        <v>390</v>
      </c>
      <c r="E54" t="s">
        <v>167</v>
      </c>
      <c r="H54" t="s">
        <v>168</v>
      </c>
      <c r="I54" t="s">
        <v>169</v>
      </c>
      <c r="K54" s="4"/>
      <c r="L54" s="4"/>
      <c r="M54" s="4"/>
      <c r="O54" s="4" t="s">
        <v>276</v>
      </c>
      <c r="P54" s="2" t="str">
        <f>CONCATENATE("   ",$P$1,".AddTable(","""",A54,""", ",CONCATENATE("EMyEntityType::",E54),", """,IF(ISERROR(FIND(".",C54)),"",RIGHT(C54, LEN(C54) - FIND(".",C54))),""", """,IF(ISERROR(FIND(".",C54)),"",LEFT(C54, FIND(".",C54)-1)),""", """,IF(ISERROR(FIND("::",D54)),"",RIGHT(D54, LEN(D54) - FIND("::",D54)-1)),""", """,IF(ISERROR(FIND("::",D54)),"",LEFT(D54, FIND("::",D54)-1)),""", """,H54,""", """,I54,""", """,O54,""")")</f>
        <v xml:space="preserve">   dictionary.AddTable("Employees", EMyEntityType::table, "Employees", "dbo", "Employees", "myHR", "System", "SQL", "information about the employees in the company (generalization of a person)")</v>
      </c>
    </row>
    <row r="55" spans="1:16" x14ac:dyDescent="0.45">
      <c r="A55" t="s">
        <v>106</v>
      </c>
      <c r="B55">
        <v>1</v>
      </c>
      <c r="C55" t="s">
        <v>134</v>
      </c>
      <c r="D55" t="s">
        <v>134</v>
      </c>
      <c r="E55" t="s">
        <v>20</v>
      </c>
      <c r="F55">
        <v>0</v>
      </c>
      <c r="G55">
        <v>0</v>
      </c>
      <c r="H55" t="s">
        <v>58</v>
      </c>
      <c r="I55" t="s">
        <v>58</v>
      </c>
      <c r="J55" t="s">
        <v>57</v>
      </c>
      <c r="K55" s="4"/>
      <c r="L55" s="4"/>
      <c r="M55" s="4"/>
      <c r="O55" s="4" t="s">
        <v>264</v>
      </c>
      <c r="P55" s="2" t="str" cm="1">
        <f t="array" ref="P55">CONCATENATE("      .AddAttribute(",Fill(B55,3),", ",QTFunc(C55),", ",QTFunc(D55),", ",QTFunc(E55),", ",F55,", ",G55,", ",H55,", ",I55,", ",QTFunc(K55),", ",QTFunc(L55),", ",QTFunc(M55),", ",QTFunc(O55),   ")")</f>
        <v xml:space="preserve">      .AddAttribute(  1, "ID", "ID", "integer", 0, 0, true, true, "", "", "", "attribute as foreign key from an attribute ID of a person entity to which these account details belong")</v>
      </c>
    </row>
    <row r="56" spans="1:16" x14ac:dyDescent="0.45">
      <c r="A56" t="s">
        <v>106</v>
      </c>
      <c r="B56">
        <v>2</v>
      </c>
      <c r="C56" t="s">
        <v>151</v>
      </c>
      <c r="D56" t="s">
        <v>151</v>
      </c>
      <c r="E56" t="s">
        <v>19</v>
      </c>
      <c r="F56">
        <v>15</v>
      </c>
      <c r="G56">
        <v>0</v>
      </c>
      <c r="H56" t="s">
        <v>58</v>
      </c>
      <c r="I56" t="s">
        <v>57</v>
      </c>
      <c r="J56" t="s">
        <v>58</v>
      </c>
      <c r="K56" s="4"/>
      <c r="L56" s="4"/>
      <c r="M56" s="4"/>
      <c r="O56" s="4" t="s">
        <v>275</v>
      </c>
      <c r="P56" s="2" t="str" cm="1">
        <f t="array" ref="P56">CONCATENATE("      .AddAttribute(",Fill(B56,3),", ",QTFunc(C56),", ",QTFunc(D56),", ",QTFunc(E56),", ",F56,", ",G56,", ",H56,", ",I56,", ",QTFunc(K56),", ",QTFunc(L56),", ",QTFunc(M56),", ",QTFunc(O56),   ")")</f>
        <v xml:space="preserve">      .AddAttribute(  2, "PersonNumber", "PersonNumber", "varchar", 15, 0, true, false, "", "", "", "unique HR number of the employee in the company, assigned by the HR department")</v>
      </c>
    </row>
    <row r="57" spans="1:16" x14ac:dyDescent="0.45">
      <c r="A57" t="s">
        <v>106</v>
      </c>
      <c r="B57">
        <v>3</v>
      </c>
      <c r="C57" t="s">
        <v>152</v>
      </c>
      <c r="D57" t="s">
        <v>152</v>
      </c>
      <c r="E57" t="s">
        <v>25</v>
      </c>
      <c r="F57">
        <v>10</v>
      </c>
      <c r="G57">
        <v>2</v>
      </c>
      <c r="H57" t="s">
        <v>57</v>
      </c>
      <c r="I57" t="s">
        <v>57</v>
      </c>
      <c r="J57" t="s">
        <v>57</v>
      </c>
      <c r="K57" s="4" t="s">
        <v>287</v>
      </c>
      <c r="L57" s="4"/>
      <c r="M57" s="4"/>
      <c r="O57" s="4" t="s">
        <v>274</v>
      </c>
      <c r="P57" s="2" t="str" cm="1">
        <f t="array" ref="P57">CONCATENATE("      .AddAttribute(",Fill(B57,3),", ",QTFunc(C57),", ",QTFunc(D57),", ",QTFunc(E57),", ",F57,", ",G57,", ",H57,", ",I57,", ",QTFunc(K57),", ",QTFunc(L57),", ",QTFunc(M57),", ",QTFunc(O57),   ")")</f>
        <v xml:space="preserve">      .AddAttribute(  3, "Salery", "Salery", "decimal", 10, 2, false, false, "&gt;= 0.0", "", "", "salary / income that the employee currently receives")</v>
      </c>
    </row>
    <row r="58" spans="1:16" x14ac:dyDescent="0.45">
      <c r="A58" t="s">
        <v>106</v>
      </c>
      <c r="B58">
        <v>4</v>
      </c>
      <c r="C58" t="s">
        <v>339</v>
      </c>
      <c r="D58" t="s">
        <v>339</v>
      </c>
      <c r="E58" t="s">
        <v>20</v>
      </c>
      <c r="F58">
        <v>0</v>
      </c>
      <c r="G58">
        <v>0</v>
      </c>
      <c r="H58" t="s">
        <v>58</v>
      </c>
      <c r="I58" t="s">
        <v>57</v>
      </c>
      <c r="J58" t="s">
        <v>57</v>
      </c>
      <c r="K58" s="4"/>
      <c r="L58" s="4"/>
      <c r="M58" s="4"/>
      <c r="O58" s="4" t="s">
        <v>340</v>
      </c>
      <c r="P58" s="2" t="str" cm="1">
        <f t="array" ref="P58">CONCATENATE("      .AddAttribute(",Fill(B58,3),", ",QTFunc(C58),", ",QTFunc(D58),", ",QTFunc(E58),", ",F58,", ",G58,", ",H58,", ",I58,", ",QTFunc(K58),", ",QTFunc(L58),", ",QTFunc(M58),", ",QTFunc(O58),   ")")</f>
        <v xml:space="preserve">      .AddAttribute(  4, "TaxClass", "TaxClass", "integer", 0, 0, true, false, "", "", "", "Tax class currently held by the employee")</v>
      </c>
    </row>
    <row r="59" spans="1:16" x14ac:dyDescent="0.45">
      <c r="A59" t="s">
        <v>106</v>
      </c>
      <c r="B59">
        <v>5</v>
      </c>
      <c r="C59" t="s">
        <v>153</v>
      </c>
      <c r="D59" t="s">
        <v>153</v>
      </c>
      <c r="E59" t="s">
        <v>22</v>
      </c>
      <c r="F59">
        <v>0</v>
      </c>
      <c r="G59">
        <v>0</v>
      </c>
      <c r="H59" t="s">
        <v>58</v>
      </c>
      <c r="I59" t="s">
        <v>57</v>
      </c>
      <c r="J59" t="s">
        <v>57</v>
      </c>
      <c r="K59" s="4"/>
      <c r="L59" s="4"/>
      <c r="M59" s="4"/>
      <c r="O59" s="4" t="s">
        <v>273</v>
      </c>
      <c r="P59" s="2" t="str" cm="1">
        <f t="array" ref="P59">CONCATENATE("      .AddAttribute(",Fill(B59,3),", ",QTFunc(C59),", ",QTFunc(D59),", ",QTFunc(E59),", ",F59,", ",G59,", ",H59,", ",I59,", ",QTFunc(K59),", ",QTFunc(L59),", ",QTFunc(M59),", ",QTFunc(O59),   ")")</f>
        <v xml:space="preserve">      .AddAttribute(  5, "StartOfJob", "StartOfJob", "date", 0, 0, true, false, "", "", "", "starting date of the employee in the company (can be extended later for the start of the current position)")</v>
      </c>
    </row>
    <row r="60" spans="1:16" x14ac:dyDescent="0.45">
      <c r="A60" t="s">
        <v>106</v>
      </c>
      <c r="B60">
        <v>6</v>
      </c>
      <c r="C60" t="s">
        <v>154</v>
      </c>
      <c r="D60" t="s">
        <v>154</v>
      </c>
      <c r="E60" t="s">
        <v>20</v>
      </c>
      <c r="F60">
        <v>0</v>
      </c>
      <c r="G60">
        <v>0</v>
      </c>
      <c r="H60" t="s">
        <v>57</v>
      </c>
      <c r="I60" t="s">
        <v>57</v>
      </c>
      <c r="J60" t="s">
        <v>57</v>
      </c>
      <c r="K60" s="4"/>
      <c r="L60" s="4"/>
      <c r="M60" s="4"/>
      <c r="O60" s="4" t="s">
        <v>272</v>
      </c>
      <c r="P60" s="2" t="str" cm="1">
        <f t="array" ref="P60">CONCATENATE("      .AddAttribute(",Fill(B60,3),", ",QTFunc(C60),", ",QTFunc(D60),", ",QTFunc(E60),", ",F60,", ",G60,", ",H60,", ",I60,", ",QTFunc(K60),", ",QTFunc(L60),", ",QTFunc(M60),", ",QTFunc(O60),   ")")</f>
        <v xml:space="preserve">      .AddAttribute(  6, "JobPosition", "JobPosition", "integer", 0, 0, false, false, "", "", "", "current position / activity of the employee within the company")</v>
      </c>
    </row>
    <row r="61" spans="1:16" x14ac:dyDescent="0.45">
      <c r="A61" t="s">
        <v>106</v>
      </c>
      <c r="B61">
        <v>7</v>
      </c>
      <c r="C61" t="s">
        <v>155</v>
      </c>
      <c r="D61" t="s">
        <v>155</v>
      </c>
      <c r="E61" t="s">
        <v>19</v>
      </c>
      <c r="F61">
        <v>100</v>
      </c>
      <c r="G61">
        <v>0</v>
      </c>
      <c r="H61" t="s">
        <v>57</v>
      </c>
      <c r="I61" t="s">
        <v>57</v>
      </c>
      <c r="J61" t="s">
        <v>57</v>
      </c>
      <c r="K61" s="4"/>
      <c r="L61" s="4"/>
      <c r="M61" s="4"/>
      <c r="O61" s="4" t="s">
        <v>288</v>
      </c>
      <c r="P61" s="2" t="str" cm="1">
        <f t="array" ref="P61">CONCATENATE("      .AddAttribute(",Fill(B61,3),", ",QTFunc(C61),", ",QTFunc(D61),", ",QTFunc(E61),", ",F61,", ",G61,", ",H61,", ",I61,", ",QTFunc(K61),", ",QTFunc(L61),", ",QTFunc(M61),", ",QTFunc(O61),   ")")</f>
        <v xml:space="preserve">      .AddAttribute(  7, "JobSpec", "JobSpec", "varchar", 100, 0, false, false, "", "", "", "specification of the job as free text to concretize this")</v>
      </c>
    </row>
    <row r="62" spans="1:16" x14ac:dyDescent="0.45">
      <c r="A62" t="s">
        <v>106</v>
      </c>
      <c r="B62">
        <v>8</v>
      </c>
      <c r="C62" t="s">
        <v>156</v>
      </c>
      <c r="D62" t="s">
        <v>156</v>
      </c>
      <c r="E62" t="s">
        <v>20</v>
      </c>
      <c r="F62">
        <v>0</v>
      </c>
      <c r="G62">
        <v>0</v>
      </c>
      <c r="H62" t="s">
        <v>58</v>
      </c>
      <c r="I62" t="s">
        <v>57</v>
      </c>
      <c r="J62" t="s">
        <v>57</v>
      </c>
      <c r="K62" s="4"/>
      <c r="L62" s="4"/>
      <c r="M62" s="4"/>
      <c r="O62" s="4" t="s">
        <v>271</v>
      </c>
      <c r="P62" s="2" t="str" cm="1">
        <f t="array" ref="P62">CONCATENATE("      .AddAttribute(",Fill(B62,3),", ",QTFunc(C62),", ",QTFunc(D62),", ",QTFunc(E62),", ",F62,", ",G62,", ",H62,", ",I62,", ",QTFunc(K62),", ",QTFunc(L62),", ",QTFunc(M62),", ",QTFunc(O62),   ")")</f>
        <v xml:space="preserve">      .AddAttribute(  8, "Department", "Department", "integer", 0, 0, true, false, "", "", "", "id of the department where the employee currently work")</v>
      </c>
    </row>
    <row r="63" spans="1:16" x14ac:dyDescent="0.45">
      <c r="A63" t="s">
        <v>106</v>
      </c>
      <c r="B63">
        <v>9</v>
      </c>
      <c r="C63" t="s">
        <v>157</v>
      </c>
      <c r="D63" t="s">
        <v>157</v>
      </c>
      <c r="E63" t="s">
        <v>19</v>
      </c>
      <c r="F63">
        <v>20</v>
      </c>
      <c r="G63">
        <v>0</v>
      </c>
      <c r="H63" t="s">
        <v>58</v>
      </c>
      <c r="I63" t="s">
        <v>57</v>
      </c>
      <c r="J63" t="s">
        <v>58</v>
      </c>
      <c r="K63" s="4"/>
      <c r="L63" s="4"/>
      <c r="M63" s="4"/>
      <c r="O63" s="4" t="s">
        <v>277</v>
      </c>
      <c r="P63" s="2" t="str" cm="1">
        <f t="array" ref="P63">CONCATENATE("      .AddAttribute(",Fill(B63,3),", ",QTFunc(C63),", ",QTFunc(D63),", ",QTFunc(E63),", ",F63,", ",G63,", ",H63,", ",I63,", ",QTFunc(K63),", ",QTFunc(L63),", ",QTFunc(M63),", ",QTFunc(O63),   ")")</f>
        <v xml:space="preserve">      .AddAttribute(  9, "SocialNummer", "SocialNummer", "varchar", 20, 0, true, false, "", "", "", "social insurance number of the employee")</v>
      </c>
    </row>
    <row r="64" spans="1:16" x14ac:dyDescent="0.45">
      <c r="A64" t="s">
        <v>106</v>
      </c>
      <c r="B64">
        <v>10</v>
      </c>
      <c r="C64" t="s">
        <v>158</v>
      </c>
      <c r="D64" t="s">
        <v>158</v>
      </c>
      <c r="E64" t="s">
        <v>27</v>
      </c>
      <c r="F64">
        <v>0</v>
      </c>
      <c r="G64">
        <v>0</v>
      </c>
      <c r="H64" t="s">
        <v>57</v>
      </c>
      <c r="I64" t="s">
        <v>57</v>
      </c>
      <c r="J64" t="s">
        <v>57</v>
      </c>
      <c r="K64" s="4"/>
      <c r="L64" s="4"/>
      <c r="M64" s="4"/>
      <c r="O64" s="4" t="s">
        <v>278</v>
      </c>
      <c r="P64" s="2" t="str" cm="1">
        <f t="array" ref="P64">CONCATENATE("      .AddAttribute(",Fill(B64,3),", ",QTFunc(C64),", ",QTFunc(D64),", ",QTFunc(E64),", ",F64,", ",G64,", ",H64,", ",I64,", ",QTFunc(K64),", ",QTFunc(L64),", ",QTFunc(M64),", ",QTFunc(O64),   ")")</f>
        <v xml:space="preserve">      .AddAttribute( 10, "Active", "Active", "bool", 0, 0, false, false, "", "", "", "boolean value indicating whether the person is active in the company")</v>
      </c>
    </row>
    <row r="65" spans="1:16" x14ac:dyDescent="0.45">
      <c r="K65" s="4"/>
      <c r="L65" s="4"/>
      <c r="M65" s="4"/>
      <c r="O65" s="4"/>
    </row>
    <row r="66" spans="1:16" x14ac:dyDescent="0.45">
      <c r="A66" t="s">
        <v>107</v>
      </c>
      <c r="B66">
        <v>0</v>
      </c>
      <c r="C66" t="s">
        <v>121</v>
      </c>
      <c r="D66" t="s">
        <v>457</v>
      </c>
      <c r="E66" t="s">
        <v>167</v>
      </c>
      <c r="H66" t="s">
        <v>168</v>
      </c>
      <c r="I66" t="s">
        <v>169</v>
      </c>
      <c r="K66" s="4"/>
      <c r="L66" s="4"/>
      <c r="M66" s="4"/>
      <c r="O66" s="4" t="s">
        <v>302</v>
      </c>
      <c r="P66" s="2" t="str">
        <f>CONCATENATE("   ",$P$1,".AddTable(","""",A66,""", ",CONCATENATE("EMyEntityType::",E66),", """,IF(ISERROR(FIND(".",C66)),"",RIGHT(C66, LEN(C66) - FIND(".",C66))),""", """,IF(ISERROR(FIND(".",C66)),"",LEFT(C66, FIND(".",C66)-1)),""", """,IF(ISERROR(FIND("::",D66)),"",RIGHT(D66, LEN(D66) - FIND("::",D66)-1)),""", """,IF(ISERROR(FIND("::",D66)),"",LEFT(D66, FIND("::",D66)-1)),""", """,H66,""", """,I66,""", """,O66,""")")</f>
        <v xml:space="preserve">   dictionary.AddTable("FamilyTypes", EMyEntityType::table, "FamilyTypes", "dbo", "FamilyTypes", "myCorporate", "System", "SQL", "domain / range of values for family types, this is used in form of address to qualifify the person gender")</v>
      </c>
    </row>
    <row r="67" spans="1:16" x14ac:dyDescent="0.45">
      <c r="A67" t="s">
        <v>107</v>
      </c>
      <c r="B67">
        <v>1</v>
      </c>
      <c r="C67" t="s">
        <v>134</v>
      </c>
      <c r="D67" t="s">
        <v>134</v>
      </c>
      <c r="E67" t="s">
        <v>20</v>
      </c>
      <c r="F67">
        <v>0</v>
      </c>
      <c r="G67">
        <v>0</v>
      </c>
      <c r="H67" t="s">
        <v>58</v>
      </c>
      <c r="I67" t="s">
        <v>58</v>
      </c>
      <c r="J67" t="s">
        <v>57</v>
      </c>
      <c r="K67" s="4"/>
      <c r="L67" s="4"/>
      <c r="M67" s="4"/>
      <c r="O67" s="4" t="s">
        <v>250</v>
      </c>
      <c r="P67" s="2" t="str" cm="1">
        <f t="array" ref="P67">CONCATENATE("      .AddAttribute(",Fill(B67,3),", ",QTFunc(C67),", ",QTFunc(D67),", ",QTFunc(E67),", ",F67,", ",G67,", ",H67,", ",I67,", ",QTFunc(K67),", ",QTFunc(L67),", ",QTFunc(M67),", ",QTFunc(O67),   ")")</f>
        <v xml:space="preserve">      .AddAttribute(  1, "ID", "ID", "integer", 0, 0, true, true, "", "", "", "unique identification number for a record in this domain with family types")</v>
      </c>
    </row>
    <row r="68" spans="1:16" x14ac:dyDescent="0.45">
      <c r="A68" t="s">
        <v>107</v>
      </c>
      <c r="B68">
        <v>2</v>
      </c>
      <c r="C68" t="s">
        <v>129</v>
      </c>
      <c r="D68" t="s">
        <v>129</v>
      </c>
      <c r="E68" t="s">
        <v>19</v>
      </c>
      <c r="F68">
        <v>50</v>
      </c>
      <c r="G68">
        <v>0</v>
      </c>
      <c r="H68" t="s">
        <v>58</v>
      </c>
      <c r="I68" t="s">
        <v>57</v>
      </c>
      <c r="J68" t="s">
        <v>58</v>
      </c>
      <c r="K68" s="4"/>
      <c r="L68" s="4"/>
      <c r="M68" s="4"/>
      <c r="O68" s="4" t="s">
        <v>251</v>
      </c>
      <c r="P68" s="2" t="str" cm="1">
        <f t="array" ref="P68">CONCATENATE("      .AddAttribute(",Fill(B68,3),", ",QTFunc(C68),", ",QTFunc(D68),", ",QTFunc(E68),", ",F68,", ",G68,", ",H68,", ",I68,", ",QTFunc(K68),", ",QTFunc(L68),", ",QTFunc(M68),", ",QTFunc(O68),   ")")</f>
        <v xml:space="preserve">      .AddAttribute(  2, "Denotation", "Denotation", "varchar", 50, 0, true, false, "", "", "", "unique description of a family type entity in the domain, used in selections, comboboxes, … (key canditate)")</v>
      </c>
    </row>
    <row r="69" spans="1:16" x14ac:dyDescent="0.45">
      <c r="A69" t="s">
        <v>107</v>
      </c>
      <c r="B69">
        <v>3</v>
      </c>
      <c r="C69" t="s">
        <v>130</v>
      </c>
      <c r="D69" t="s">
        <v>130</v>
      </c>
      <c r="E69" t="s">
        <v>19</v>
      </c>
      <c r="F69">
        <v>10</v>
      </c>
      <c r="G69">
        <v>0</v>
      </c>
      <c r="H69" t="s">
        <v>57</v>
      </c>
      <c r="I69" t="s">
        <v>57</v>
      </c>
      <c r="J69" t="s">
        <v>57</v>
      </c>
      <c r="K69" s="4"/>
      <c r="L69" s="4"/>
      <c r="M69" s="4"/>
      <c r="O69" s="4" t="s">
        <v>224</v>
      </c>
      <c r="P69" s="2" t="str" cm="1">
        <f t="array" ref="P69">CONCATENATE("      .AddAttribute(",Fill(B69,3),", ",QTFunc(C69),", ",QTFunc(D69),", ",QTFunc(E69),", ",F69,", ",G69,", ",H69,", ",I69,", ",QTFunc(K69),", ",QTFunc(L69),", ",QTFunc(M69),", ",QTFunc(O69),   ")")</f>
        <v xml:space="preserve">      .AddAttribute(  3, "Abbreviation", "Abbreviation", "varchar", 10, 0, false, false, "", "", "", "non-representative abbreviation that can be used for a short advertisement for this banking type")</v>
      </c>
    </row>
    <row r="70" spans="1:16" x14ac:dyDescent="0.45">
      <c r="A70" t="s">
        <v>107</v>
      </c>
      <c r="B70">
        <v>4</v>
      </c>
      <c r="C70" t="s">
        <v>367</v>
      </c>
      <c r="D70" t="s">
        <v>367</v>
      </c>
      <c r="E70" t="s">
        <v>27</v>
      </c>
      <c r="F70">
        <v>0</v>
      </c>
      <c r="G70">
        <v>0</v>
      </c>
      <c r="H70" t="s">
        <v>57</v>
      </c>
      <c r="I70" t="s">
        <v>57</v>
      </c>
      <c r="J70" t="s">
        <v>57</v>
      </c>
      <c r="K70" s="4"/>
      <c r="L70" s="4"/>
      <c r="M70" s="4"/>
      <c r="O70" s="4" t="s">
        <v>368</v>
      </c>
      <c r="P70" s="2" t="str" cm="1">
        <f t="array" ref="P70">CONCATENATE("      .AddAttribute(",Fill(B70,3),", ",QTFunc(C70),", ",QTFunc(D70),", ",QTFunc(E70),", ",F70,", ",G70,", ",H70,", ",I70,", ",QTFunc(K70),", ",QTFunc(L70),", ",QTFunc(M70),", ",QTFunc(O70),   ")")</f>
        <v xml:space="preserve">      .AddAttribute(  4, "IsNaturalPerson", "IsNaturalPerson", "bool", 0, 0, false, false, "", "", "", "boolean indicator whether this entity is a natural person when true, otherwise ist a legal entity")</v>
      </c>
    </row>
    <row r="71" spans="1:16" x14ac:dyDescent="0.45">
      <c r="A71" t="s">
        <v>107</v>
      </c>
      <c r="B71">
        <v>5</v>
      </c>
      <c r="C71" t="s">
        <v>131</v>
      </c>
      <c r="D71" t="s">
        <v>131</v>
      </c>
      <c r="E71" t="s">
        <v>77</v>
      </c>
      <c r="F71">
        <v>0</v>
      </c>
      <c r="G71">
        <v>0</v>
      </c>
      <c r="H71" t="s">
        <v>57</v>
      </c>
      <c r="I71" t="s">
        <v>57</v>
      </c>
      <c r="J71" t="s">
        <v>57</v>
      </c>
      <c r="K71" s="4"/>
      <c r="L71" s="4"/>
      <c r="M71" s="4"/>
      <c r="O71" s="4" t="s">
        <v>252</v>
      </c>
      <c r="P71" s="2" t="str" cm="1">
        <f t="array" ref="P71">CONCATENATE("      .AddAttribute(",Fill(B71,3),", ",QTFunc(C71),", ",QTFunc(D71),", ",QTFunc(E71),", ",F71,", ",G71,", ",H71,", ",I71,", ",QTFunc(K71),", ",QTFunc(L71),", ",QTFunc(M71),", ",QTFunc(O71),   ")")</f>
        <v xml:space="preserve">      .AddAttribute(  5, "Description", "Description", "text", 0, 0, false, false, "", "", "", "detailed description of these family type,this is a self documentation, possible use as hint or to information in the programm")</v>
      </c>
    </row>
    <row r="72" spans="1:16" x14ac:dyDescent="0.45">
      <c r="A72" t="s">
        <v>107</v>
      </c>
      <c r="B72">
        <v>6</v>
      </c>
      <c r="C72" t="s">
        <v>132</v>
      </c>
      <c r="D72" t="s">
        <v>132</v>
      </c>
      <c r="E72" t="s">
        <v>77</v>
      </c>
      <c r="F72">
        <v>0</v>
      </c>
      <c r="G72">
        <v>0</v>
      </c>
      <c r="H72" t="s">
        <v>57</v>
      </c>
      <c r="I72" t="s">
        <v>57</v>
      </c>
      <c r="J72" t="s">
        <v>57</v>
      </c>
      <c r="K72" s="4"/>
      <c r="L72" s="4"/>
      <c r="M72" s="4"/>
      <c r="O72" s="4" t="s">
        <v>253</v>
      </c>
      <c r="P72" s="2" t="str" cm="1">
        <f t="array" ref="P72">CONCATENATE("      .AddAttribute(",Fill(B72,3),", ",QTFunc(C72),", ",QTFunc(D72),", ",QTFunc(E72),", ",F72,", ",G72,", ",H72,", ",I72,", ",QTFunc(K72),", ",QTFunc(L72),", ",QTFunc(M72),", ",QTFunc(O72),   ")")</f>
        <v xml:space="preserve">      .AddAttribute(  6, "Notes", "Notes", "text", 0, 0, false, false, "", "", "", "notes, with additional / free information for this type of family status, not used in application")</v>
      </c>
    </row>
    <row r="73" spans="1:16" x14ac:dyDescent="0.45">
      <c r="A73" t="s">
        <v>107</v>
      </c>
      <c r="B73">
        <v>7</v>
      </c>
      <c r="C73" t="s">
        <v>133</v>
      </c>
      <c r="D73" t="s">
        <v>133</v>
      </c>
      <c r="E73" t="s">
        <v>27</v>
      </c>
      <c r="F73">
        <v>0</v>
      </c>
      <c r="G73">
        <v>0</v>
      </c>
      <c r="H73" t="s">
        <v>57</v>
      </c>
      <c r="I73" t="s">
        <v>57</v>
      </c>
      <c r="J73" t="s">
        <v>57</v>
      </c>
      <c r="K73" s="4"/>
      <c r="L73" s="4"/>
      <c r="M73" s="4"/>
      <c r="O73" s="4" t="s">
        <v>254</v>
      </c>
      <c r="P73" s="2" t="str" cm="1">
        <f t="array" ref="P73">CONCATENATE("      .AddAttribute(",Fill(B73,3),", ",QTFunc(C73),", ",QTFunc(D73),", ",QTFunc(E73),", ",F73,", ",G73,", ",H73,", ",I73,", ",QTFunc(K73),", ",QTFunc(L73),", ",QTFunc(M73),", ",QTFunc(O73),   ")")</f>
        <v xml:space="preserve">      .AddAttribute(  7, "UrgentValue", "UrgentValue", "bool", 0, 0, false, false, "", "", "", "boolean value that makes this entity of family type to a system value (cannot be changed as it is used directly by the program)")</v>
      </c>
    </row>
    <row r="74" spans="1:16" x14ac:dyDescent="0.45">
      <c r="K74" s="4"/>
      <c r="L74" s="4"/>
      <c r="M74" s="4"/>
      <c r="O74" s="4"/>
    </row>
    <row r="75" spans="1:16" x14ac:dyDescent="0.45">
      <c r="A75" t="s">
        <v>108</v>
      </c>
      <c r="B75">
        <v>0</v>
      </c>
      <c r="C75" t="s">
        <v>122</v>
      </c>
      <c r="D75" t="s">
        <v>456</v>
      </c>
      <c r="E75" t="s">
        <v>167</v>
      </c>
      <c r="H75" t="s">
        <v>168</v>
      </c>
      <c r="I75" t="s">
        <v>169</v>
      </c>
      <c r="K75" s="4"/>
      <c r="L75" s="4"/>
      <c r="M75" s="4"/>
      <c r="O75" s="4"/>
      <c r="P75" s="2" t="str">
        <f>CONCATENATE("   ",$P$1,".AddTable(","""",A75,""", ",CONCATENATE("EMyEntityType::",E75),", """,IF(ISERROR(FIND(".",C75)),"",RIGHT(C75, LEN(C75) - FIND(".",C75))),""", """,IF(ISERROR(FIND(".",C75)),"",LEFT(C75, FIND(".",C75)-1)),""", """,IF(ISERROR(FIND("::",D75)),"",RIGHT(D75, LEN(D75) - FIND("::",D75)-1)),""", """,IF(ISERROR(FIND("::",D75)),"",LEFT(D75, FIND("::",D75)-1)),""", """,H75,""", """,I75,""", """,O75,""")")</f>
        <v xml:space="preserve">   dictionary.AddTable("FormOfAddress", EMyEntityType::table, "FormOfAddress", "dbo", "FormOfAddress", "myCorporate", "System", "SQL", "")</v>
      </c>
    </row>
    <row r="76" spans="1:16" x14ac:dyDescent="0.45">
      <c r="A76" t="s">
        <v>108</v>
      </c>
      <c r="B76">
        <v>1</v>
      </c>
      <c r="C76" t="s">
        <v>134</v>
      </c>
      <c r="D76" t="s">
        <v>134</v>
      </c>
      <c r="E76" t="s">
        <v>20</v>
      </c>
      <c r="F76">
        <v>0</v>
      </c>
      <c r="G76">
        <v>0</v>
      </c>
      <c r="H76" t="s">
        <v>58</v>
      </c>
      <c r="I76" t="s">
        <v>58</v>
      </c>
      <c r="J76" t="s">
        <v>57</v>
      </c>
      <c r="K76" s="4"/>
      <c r="L76" s="4"/>
      <c r="M76" s="4"/>
      <c r="O76" s="4"/>
      <c r="P76" s="2" t="str" cm="1">
        <f t="array" ref="P76">CONCATENATE("      .AddAttribute(",Fill(B76,3),", ",QTFunc(C76),", ",QTFunc(D76),", ",QTFunc(E76),", ",F76,", ",G76,", ",H76,", ",I76,", ",QTFunc(K76),", ",QTFunc(L76),", ",QTFunc(M76),", ",QTFunc(O76),   ")")</f>
        <v xml:space="preserve">      .AddAttribute(  1, "ID", "ID", "integer", 0, 0, true, true, "", "", "", "")</v>
      </c>
    </row>
    <row r="77" spans="1:16" x14ac:dyDescent="0.45">
      <c r="A77" t="s">
        <v>108</v>
      </c>
      <c r="B77">
        <v>2</v>
      </c>
      <c r="C77" t="s">
        <v>129</v>
      </c>
      <c r="D77" t="s">
        <v>129</v>
      </c>
      <c r="E77" t="s">
        <v>19</v>
      </c>
      <c r="F77">
        <v>50</v>
      </c>
      <c r="G77">
        <v>0</v>
      </c>
      <c r="H77" t="s">
        <v>58</v>
      </c>
      <c r="I77" t="s">
        <v>57</v>
      </c>
      <c r="J77" t="s">
        <v>58</v>
      </c>
      <c r="K77" s="4"/>
      <c r="L77" s="4"/>
      <c r="M77" s="4"/>
      <c r="O77" s="4"/>
      <c r="P77" s="2" t="str" cm="1">
        <f t="array" ref="P77">CONCATENATE("      .AddAttribute(",Fill(B77,3),", ",QTFunc(C77),", ",QTFunc(D77),", ",QTFunc(E77),", ",F77,", ",G77,", ",H77,", ",I77,", ",QTFunc(K77),", ",QTFunc(L77),", ",QTFunc(M77),", ",QTFunc(O77),   ")")</f>
        <v xml:space="preserve">      .AddAttribute(  2, "Denotation", "Denotation", "varchar", 50, 0, true, false, "", "", "", "")</v>
      </c>
    </row>
    <row r="78" spans="1:16" x14ac:dyDescent="0.45">
      <c r="A78" t="s">
        <v>108</v>
      </c>
      <c r="B78">
        <v>3</v>
      </c>
      <c r="C78" t="s">
        <v>130</v>
      </c>
      <c r="D78" t="s">
        <v>130</v>
      </c>
      <c r="E78" t="s">
        <v>19</v>
      </c>
      <c r="F78">
        <v>10</v>
      </c>
      <c r="G78">
        <v>0</v>
      </c>
      <c r="H78" t="s">
        <v>57</v>
      </c>
      <c r="I78" t="s">
        <v>57</v>
      </c>
      <c r="J78" t="s">
        <v>57</v>
      </c>
      <c r="K78" s="4"/>
      <c r="L78" s="4"/>
      <c r="M78" s="4"/>
      <c r="O78" s="4"/>
      <c r="P78" s="2" t="str" cm="1">
        <f t="array" ref="P78">CONCATENATE("      .AddAttribute(",Fill(B78,3),", ",QTFunc(C78),", ",QTFunc(D78),", ",QTFunc(E78),", ",F78,", ",G78,", ",H78,", ",I78,", ",QTFunc(K78),", ",QTFunc(L78),", ",QTFunc(M78),", ",QTFunc(O78),   ")")</f>
        <v xml:space="preserve">      .AddAttribute(  3, "Abbreviation", "Abbreviation", "varchar", 10, 0, false, false, "", "", "", "")</v>
      </c>
    </row>
    <row r="79" spans="1:16" x14ac:dyDescent="0.45">
      <c r="A79" t="s">
        <v>108</v>
      </c>
      <c r="B79">
        <v>4</v>
      </c>
      <c r="C79" t="s">
        <v>131</v>
      </c>
      <c r="D79" t="s">
        <v>131</v>
      </c>
      <c r="E79" t="s">
        <v>77</v>
      </c>
      <c r="F79">
        <v>0</v>
      </c>
      <c r="G79">
        <v>0</v>
      </c>
      <c r="H79" t="s">
        <v>57</v>
      </c>
      <c r="I79" t="s">
        <v>57</v>
      </c>
      <c r="J79" t="s">
        <v>57</v>
      </c>
      <c r="K79" s="4"/>
      <c r="L79" s="4"/>
      <c r="M79" s="4"/>
      <c r="O79" s="4"/>
      <c r="P79" s="2" t="str" cm="1">
        <f t="array" ref="P79">CONCATENATE("      .AddAttribute(",Fill(B79,3),", ",QTFunc(C79),", ",QTFunc(D79),", ",QTFunc(E79),", ",F79,", ",G79,", ",H79,", ",I79,", ",QTFunc(K79),", ",QTFunc(L79),", ",QTFunc(M79),", ",QTFunc(O79),   ")")</f>
        <v xml:space="preserve">      .AddAttribute(  4, "Description", "Description", "text", 0, 0, false, false, "", "", "", "")</v>
      </c>
    </row>
    <row r="80" spans="1:16" x14ac:dyDescent="0.45">
      <c r="A80" t="s">
        <v>108</v>
      </c>
      <c r="B80">
        <v>5</v>
      </c>
      <c r="C80" t="s">
        <v>159</v>
      </c>
      <c r="D80" t="s">
        <v>159</v>
      </c>
      <c r="E80" t="s">
        <v>20</v>
      </c>
      <c r="F80">
        <v>0</v>
      </c>
      <c r="G80">
        <v>0</v>
      </c>
      <c r="H80" t="s">
        <v>57</v>
      </c>
      <c r="I80" t="s">
        <v>57</v>
      </c>
      <c r="J80" t="s">
        <v>57</v>
      </c>
      <c r="K80" s="4"/>
      <c r="L80" s="4"/>
      <c r="M80" s="4"/>
      <c r="O80" s="4"/>
      <c r="P80" s="2" t="str" cm="1">
        <f t="array" ref="P80">CONCATENATE("      .AddAttribute(",Fill(B80,3),", ",QTFunc(C80),", ",QTFunc(D80),", ",QTFunc(E80),", ",F80,", ",G80,", ",H80,", ",I80,", ",QTFunc(K80),", ",QTFunc(L80),", ",QTFunc(M80),", ",QTFunc(O80),   ")")</f>
        <v xml:space="preserve">      .AddAttribute(  5, "TypeSpec", "TypeSpec", "integer", 0, 0, false, false, "", "", "", "")</v>
      </c>
    </row>
    <row r="81" spans="1:16" x14ac:dyDescent="0.45">
      <c r="A81" t="s">
        <v>108</v>
      </c>
      <c r="B81">
        <v>6</v>
      </c>
      <c r="C81" t="s">
        <v>160</v>
      </c>
      <c r="D81" t="s">
        <v>160</v>
      </c>
      <c r="E81" t="s">
        <v>19</v>
      </c>
      <c r="F81">
        <v>50</v>
      </c>
      <c r="G81">
        <v>0</v>
      </c>
      <c r="H81" t="s">
        <v>57</v>
      </c>
      <c r="I81" t="s">
        <v>57</v>
      </c>
      <c r="J81" t="s">
        <v>57</v>
      </c>
      <c r="K81" s="4"/>
      <c r="L81" s="4"/>
      <c r="M81" s="4"/>
      <c r="O81" s="4"/>
      <c r="P81" s="2" t="str" cm="1">
        <f t="array" ref="P81">CONCATENATE("      .AddAttribute(",Fill(B81,3),", ",QTFunc(C81),", ",QTFunc(D81),", ",QTFunc(E81),", ",F81,", ",G81,", ",H81,", ",I81,", ",QTFunc(K81),", ",QTFunc(L81),", ",QTFunc(M81),", ",QTFunc(O81),   ")")</f>
        <v xml:space="preserve">      .AddAttribute(  6, "Salutation", "Salutation", "varchar", 50, 0, false, false, "", "", "", "")</v>
      </c>
    </row>
    <row r="82" spans="1:16" x14ac:dyDescent="0.45">
      <c r="A82" t="s">
        <v>108</v>
      </c>
      <c r="B82">
        <v>7</v>
      </c>
      <c r="C82" t="s">
        <v>161</v>
      </c>
      <c r="D82" t="s">
        <v>161</v>
      </c>
      <c r="E82" t="s">
        <v>19</v>
      </c>
      <c r="F82">
        <v>50</v>
      </c>
      <c r="G82">
        <v>0</v>
      </c>
      <c r="H82" t="s">
        <v>57</v>
      </c>
      <c r="I82" t="s">
        <v>57</v>
      </c>
      <c r="J82" t="s">
        <v>57</v>
      </c>
      <c r="K82" s="4"/>
      <c r="L82" s="4"/>
      <c r="M82" s="4"/>
      <c r="O82" s="4"/>
      <c r="P82" s="2" t="str" cm="1">
        <f t="array" ref="P82">CONCATENATE("      .AddAttribute(",Fill(B82,3),", ",QTFunc(C82),", ",QTFunc(D82),", ",QTFunc(E82),", ",F82,", ",G82,", ",H82,", ",I82,", ",QTFunc(K82),", ",QTFunc(L82),", ",QTFunc(M82),", ",QTFunc(O82),   ")")</f>
        <v xml:space="preserve">      .AddAttribute(  7, "Valediction", "Valediction", "varchar", 50, 0, false, false, "", "", "", "")</v>
      </c>
    </row>
    <row r="83" spans="1:16" x14ac:dyDescent="0.45">
      <c r="A83" t="s">
        <v>108</v>
      </c>
      <c r="B83">
        <v>8</v>
      </c>
      <c r="C83" t="s">
        <v>132</v>
      </c>
      <c r="D83" t="s">
        <v>132</v>
      </c>
      <c r="E83" t="s">
        <v>77</v>
      </c>
      <c r="F83">
        <v>0</v>
      </c>
      <c r="G83">
        <v>0</v>
      </c>
      <c r="H83" t="s">
        <v>57</v>
      </c>
      <c r="I83" t="s">
        <v>57</v>
      </c>
      <c r="J83" t="s">
        <v>57</v>
      </c>
      <c r="K83" s="4"/>
      <c r="L83" s="4"/>
      <c r="M83" s="4"/>
      <c r="O83" s="4"/>
      <c r="P83" s="2" t="str" cm="1">
        <f t="array" ref="P83">CONCATENATE("      .AddAttribute(",Fill(B83,3),", ",QTFunc(C83),", ",QTFunc(D83),", ",QTFunc(E83),", ",F83,", ",G83,", ",H83,", ",I83,", ",QTFunc(K83),", ",QTFunc(L83),", ",QTFunc(M83),", ",QTFunc(O83),   ")")</f>
        <v xml:space="preserve">      .AddAttribute(  8, "Notes", "Notes", "text", 0, 0, false, false, "", "", "", "")</v>
      </c>
    </row>
    <row r="84" spans="1:16" x14ac:dyDescent="0.45">
      <c r="A84" t="s">
        <v>108</v>
      </c>
      <c r="B84">
        <v>9</v>
      </c>
      <c r="C84" t="s">
        <v>133</v>
      </c>
      <c r="D84" t="s">
        <v>133</v>
      </c>
      <c r="E84" t="s">
        <v>27</v>
      </c>
      <c r="F84">
        <v>0</v>
      </c>
      <c r="G84">
        <v>0</v>
      </c>
      <c r="H84" t="s">
        <v>57</v>
      </c>
      <c r="I84" t="s">
        <v>57</v>
      </c>
      <c r="J84" t="s">
        <v>57</v>
      </c>
      <c r="K84" s="4"/>
      <c r="L84" s="4"/>
      <c r="M84" s="4"/>
      <c r="O84" s="4" t="s">
        <v>255</v>
      </c>
      <c r="P84" s="2" t="str" cm="1">
        <f t="array" ref="P84">CONCATENATE("      .AddAttribute(",Fill(B84,3),", ",QTFunc(C84),", ",QTFunc(D84),", ",QTFunc(E84),", ",F84,", ",G84,", ",H84,", ",I84,", ",QTFunc(K84),", ",QTFunc(L84),", ",QTFunc(M84),", ",QTFunc(O84),   ")")</f>
        <v xml:space="preserve">      .AddAttribute(  9, "UrgentValue", "UrgentValue", "bool", 0, 0, false, false, "", "", "", "boolean value that makes this entity of form of address type to a system value (cannot be changed as it is used directly by the program)")</v>
      </c>
    </row>
    <row r="85" spans="1:16" x14ac:dyDescent="0.45">
      <c r="K85" s="4"/>
      <c r="L85" s="4"/>
      <c r="M85" s="4"/>
      <c r="O85" s="4"/>
    </row>
    <row r="86" spans="1:16" x14ac:dyDescent="0.45">
      <c r="A86" t="s">
        <v>109</v>
      </c>
      <c r="B86">
        <v>0</v>
      </c>
      <c r="C86" t="s">
        <v>123</v>
      </c>
      <c r="D86" t="s">
        <v>455</v>
      </c>
      <c r="E86" t="s">
        <v>167</v>
      </c>
      <c r="H86" t="s">
        <v>168</v>
      </c>
      <c r="I86" t="s">
        <v>169</v>
      </c>
      <c r="K86" s="4"/>
      <c r="L86" s="4"/>
      <c r="M86" s="4"/>
      <c r="O86" s="4"/>
      <c r="P86" s="2" t="str">
        <f>CONCATENATE("   ",$P$1,".AddTable(","""",A86,""", ",CONCATENATE("EMyEntityType::",E86),", """,IF(ISERROR(FIND(".",C86)),"",RIGHT(C86, LEN(C86) - FIND(".",C86))),""", """,IF(ISERROR(FIND(".",C86)),"",LEFT(C86, FIND(".",C86)-1)),""", """,IF(ISERROR(FIND("::",D86)),"",RIGHT(D86, LEN(D86) - FIND("::",D86)-1)),""", """,IF(ISERROR(FIND("::",D86)),"",LEFT(D86, FIND("::",D86)-1)),""", """,H86,""", """,I86,""", """,O86,""")")</f>
        <v xml:space="preserve">   dictionary.AddTable("Internet", EMyEntityType::table, "Internet", "dbo", "Internet", "myCorporate", "System", "SQL", "")</v>
      </c>
    </row>
    <row r="87" spans="1:16" x14ac:dyDescent="0.45">
      <c r="A87" t="s">
        <v>109</v>
      </c>
      <c r="B87">
        <v>1</v>
      </c>
      <c r="C87" t="s">
        <v>134</v>
      </c>
      <c r="D87" t="s">
        <v>134</v>
      </c>
      <c r="E87" t="s">
        <v>20</v>
      </c>
      <c r="F87">
        <v>0</v>
      </c>
      <c r="G87">
        <v>0</v>
      </c>
      <c r="H87" t="s">
        <v>58</v>
      </c>
      <c r="I87" t="s">
        <v>58</v>
      </c>
      <c r="J87" t="s">
        <v>57</v>
      </c>
      <c r="K87" s="4"/>
      <c r="L87" s="4"/>
      <c r="M87" s="4"/>
      <c r="O87" s="4"/>
      <c r="P87" s="2" t="str" cm="1">
        <f t="array" ref="P87">CONCATENATE("      .AddAttribute(",Fill(B87,3),", ",QTFunc(C87),", ",QTFunc(D87),", ",QTFunc(E87),", ",F87,", ",G87,", ",H87,", ",I87,", ",QTFunc(K87),", ",QTFunc(L87),", ",QTFunc(M87),", ",QTFunc(O87),   ")")</f>
        <v xml:space="preserve">      .AddAttribute(  1, "ID", "ID", "integer", 0, 0, true, true, "", "", "", "")</v>
      </c>
    </row>
    <row r="88" spans="1:16" x14ac:dyDescent="0.45">
      <c r="A88" t="s">
        <v>109</v>
      </c>
      <c r="B88">
        <v>2</v>
      </c>
      <c r="C88" t="s">
        <v>163</v>
      </c>
      <c r="D88" t="s">
        <v>163</v>
      </c>
      <c r="E88" t="s">
        <v>20</v>
      </c>
      <c r="F88">
        <v>0</v>
      </c>
      <c r="G88">
        <v>0</v>
      </c>
      <c r="H88" t="s">
        <v>58</v>
      </c>
      <c r="I88" t="s">
        <v>58</v>
      </c>
      <c r="J88" t="s">
        <v>58</v>
      </c>
      <c r="K88" s="4"/>
      <c r="L88" s="4"/>
      <c r="M88" s="4"/>
      <c r="O88" s="4"/>
      <c r="P88" s="2" t="str" cm="1">
        <f t="array" ref="P88">CONCATENATE("      .AddAttribute(",Fill(B88,3),", ",QTFunc(C88),", ",QTFunc(D88),", ",QTFunc(E88),", ",F88,", ",G88,", ",H88,", ",I88,", ",QTFunc(K88),", ",QTFunc(L88),", ",QTFunc(M88),", ",QTFunc(O88),   ")")</f>
        <v xml:space="preserve">      .AddAttribute(  2, "InternetType", "InternetType", "integer", 0, 0, true, true, "", "", "", "")</v>
      </c>
    </row>
    <row r="89" spans="1:16" x14ac:dyDescent="0.45">
      <c r="A89" t="s">
        <v>109</v>
      </c>
      <c r="B89">
        <v>3</v>
      </c>
      <c r="C89" t="s">
        <v>164</v>
      </c>
      <c r="D89" t="s">
        <v>164</v>
      </c>
      <c r="E89" t="s">
        <v>19</v>
      </c>
      <c r="F89">
        <v>100</v>
      </c>
      <c r="G89">
        <v>0</v>
      </c>
      <c r="H89" t="s">
        <v>58</v>
      </c>
      <c r="I89" t="s">
        <v>57</v>
      </c>
      <c r="J89" t="s">
        <v>57</v>
      </c>
      <c r="K89" s="4"/>
      <c r="L89" s="4"/>
      <c r="M89" s="4"/>
      <c r="O89" s="4"/>
      <c r="P89" s="2" t="str" cm="1">
        <f t="array" ref="P89">CONCATENATE("      .AddAttribute(",Fill(B89,3),", ",QTFunc(C89),", ",QTFunc(D89),", ",QTFunc(E89),", ",F89,", ",G89,", ",H89,", ",I89,", ",QTFunc(K89),", ",QTFunc(L89),", ",QTFunc(M89),", ",QTFunc(O89),   ")")</f>
        <v xml:space="preserve">      .AddAttribute(  3, "Adresse", "Adresse", "varchar", 100, 0, true, false, "", "", "", "")</v>
      </c>
    </row>
    <row r="90" spans="1:16" x14ac:dyDescent="0.45">
      <c r="K90" s="4"/>
      <c r="L90" s="4"/>
      <c r="M90" s="4"/>
      <c r="O90" s="4"/>
    </row>
    <row r="91" spans="1:16" x14ac:dyDescent="0.45">
      <c r="A91" t="s">
        <v>110</v>
      </c>
      <c r="B91">
        <v>0</v>
      </c>
      <c r="C91" t="s">
        <v>124</v>
      </c>
      <c r="D91" t="s">
        <v>454</v>
      </c>
      <c r="E91" t="s">
        <v>167</v>
      </c>
      <c r="H91" t="s">
        <v>168</v>
      </c>
      <c r="I91" t="s">
        <v>169</v>
      </c>
      <c r="K91" s="4"/>
      <c r="L91" s="4"/>
      <c r="M91" s="4"/>
      <c r="O91" s="4" t="s">
        <v>249</v>
      </c>
      <c r="P91" s="2" t="str">
        <f>CONCATENATE("   ",$P$1,".AddTable(","""",A91,""", ",CONCATENATE("EMyEntityType::",E91),", """,IF(ISERROR(FIND(".",C91)),"",RIGHT(C91, LEN(C91) - FIND(".",C91))),""", """,IF(ISERROR(FIND(".",C91)),"",LEFT(C91, FIND(".",C91)-1)),""", """,IF(ISERROR(FIND("::",D91)),"",RIGHT(D91, LEN(D91) - FIND("::",D91)-1)),""", """,IF(ISERROR(FIND("::",D91)),"",LEFT(D91, FIND("::",D91)-1)),""", """,H91,""", """,I91,""", """,O91,""")")</f>
        <v xml:space="preserve">   dictionary.AddTable("InternetTypes", EMyEntityType::table, "InternetTypes", "dbo", "InternetTypes", "myCorporate", "System", "SQL", "domain / range of values for internet connection types, this is an extension of the relationship between persons and internet connections.")</v>
      </c>
    </row>
    <row r="92" spans="1:16" x14ac:dyDescent="0.45">
      <c r="A92" t="s">
        <v>110</v>
      </c>
      <c r="B92">
        <v>1</v>
      </c>
      <c r="C92" t="s">
        <v>134</v>
      </c>
      <c r="D92" t="s">
        <v>134</v>
      </c>
      <c r="E92" t="s">
        <v>20</v>
      </c>
      <c r="F92">
        <v>0</v>
      </c>
      <c r="G92">
        <v>0</v>
      </c>
      <c r="H92" t="s">
        <v>58</v>
      </c>
      <c r="I92" t="s">
        <v>58</v>
      </c>
      <c r="J92" t="s">
        <v>57</v>
      </c>
      <c r="K92" s="4"/>
      <c r="L92" s="4"/>
      <c r="M92" s="4"/>
      <c r="O92" s="4" t="s">
        <v>248</v>
      </c>
      <c r="P92" s="2" t="str" cm="1">
        <f t="array" ref="P92">CONCATENATE("      .AddAttribute(",Fill(B92,3),", ",QTFunc(C92),", ",QTFunc(D92),", ",QTFunc(E92),", ",F92,", ",G92,", ",H92,", ",I92,", ",QTFunc(K92),", ",QTFunc(L92),", ",QTFunc(M92),", ",QTFunc(O92),   ")")</f>
        <v xml:space="preserve">      .AddAttribute(  1, "ID", "ID", "integer", 0, 0, true, true, "", "", "", "unique identification number for a record in this domain with internet connection types")</v>
      </c>
    </row>
    <row r="93" spans="1:16" x14ac:dyDescent="0.45">
      <c r="A93" t="s">
        <v>110</v>
      </c>
      <c r="B93">
        <v>2</v>
      </c>
      <c r="C93" t="s">
        <v>129</v>
      </c>
      <c r="D93" t="s">
        <v>129</v>
      </c>
      <c r="E93" t="s">
        <v>19</v>
      </c>
      <c r="F93">
        <v>50</v>
      </c>
      <c r="G93">
        <v>0</v>
      </c>
      <c r="H93" t="s">
        <v>58</v>
      </c>
      <c r="I93" t="s">
        <v>57</v>
      </c>
      <c r="J93" t="s">
        <v>58</v>
      </c>
      <c r="K93" s="4"/>
      <c r="L93" s="4"/>
      <c r="M93" s="4"/>
      <c r="O93" s="4" t="s">
        <v>247</v>
      </c>
      <c r="P93" s="2" t="str" cm="1">
        <f t="array" ref="P93">CONCATENATE("      .AddAttribute(",Fill(B93,3),", ",QTFunc(C93),", ",QTFunc(D93),", ",QTFunc(E93),", ",F93,", ",G93,", ",H93,", ",I93,", ",QTFunc(K93),", ",QTFunc(L93),", ",QTFunc(M93),", ",QTFunc(O93),   ")")</f>
        <v xml:space="preserve">      .AddAttribute(  2, "Denotation", "Denotation", "varchar", 50, 0, true, false, "", "", "", "unique description of an internet connection type entity in the domain, used in selections, comboboxes, … (key canditate)")</v>
      </c>
    </row>
    <row r="94" spans="1:16" x14ac:dyDescent="0.45">
      <c r="A94" t="s">
        <v>110</v>
      </c>
      <c r="B94">
        <v>3</v>
      </c>
      <c r="C94" t="s">
        <v>130</v>
      </c>
      <c r="D94" t="s">
        <v>130</v>
      </c>
      <c r="E94" t="s">
        <v>19</v>
      </c>
      <c r="F94">
        <v>10</v>
      </c>
      <c r="G94">
        <v>0</v>
      </c>
      <c r="H94" t="s">
        <v>57</v>
      </c>
      <c r="I94" t="s">
        <v>57</v>
      </c>
      <c r="J94" t="s">
        <v>57</v>
      </c>
      <c r="K94" s="4"/>
      <c r="L94" s="4"/>
      <c r="M94" s="4"/>
      <c r="O94" s="4" t="s">
        <v>246</v>
      </c>
      <c r="P94" s="2" t="str" cm="1">
        <f t="array" ref="P94">CONCATENATE("      .AddAttribute(",Fill(B94,3),", ",QTFunc(C94),", ",QTFunc(D94),", ",QTFunc(E94),", ",F94,", ",G94,", ",H94,", ",I94,", ",QTFunc(K94),", ",QTFunc(L94),", ",QTFunc(M94),", ",QTFunc(O94),   ")")</f>
        <v xml:space="preserve">      .AddAttribute(  3, "Abbreviation", "Abbreviation", "varchar", 10, 0, false, false, "", "", "", "non-representative abbreviation that can be used for a short advertisement for this internet connection type")</v>
      </c>
    </row>
    <row r="95" spans="1:16" x14ac:dyDescent="0.45">
      <c r="A95" t="s">
        <v>110</v>
      </c>
      <c r="B95">
        <v>4</v>
      </c>
      <c r="C95" t="s">
        <v>131</v>
      </c>
      <c r="D95" t="s">
        <v>131</v>
      </c>
      <c r="E95" t="s">
        <v>77</v>
      </c>
      <c r="F95">
        <v>0</v>
      </c>
      <c r="G95">
        <v>0</v>
      </c>
      <c r="H95" t="s">
        <v>57</v>
      </c>
      <c r="I95" t="s">
        <v>57</v>
      </c>
      <c r="J95" t="s">
        <v>57</v>
      </c>
      <c r="K95" s="4"/>
      <c r="L95" s="4"/>
      <c r="M95" s="4"/>
      <c r="O95" s="4" t="s">
        <v>245</v>
      </c>
      <c r="P95" s="2" t="str" cm="1">
        <f t="array" ref="P95">CONCATENATE("      .AddAttribute(",Fill(B95,3),", ",QTFunc(C95),", ",QTFunc(D95),", ",QTFunc(E95),", ",F95,", ",G95,", ",H95,", ",I95,", ",QTFunc(K95),", ",QTFunc(L95),", ",QTFunc(M95),", ",QTFunc(O95),   ")")</f>
        <v xml:space="preserve">      .AddAttribute(  4, "Description", "Description", "text", 0, 0, false, false, "", "", "", "detailed description of these internet connection type,this is a self documentation, possible use as hint or to information in the programm")</v>
      </c>
    </row>
    <row r="96" spans="1:16" x14ac:dyDescent="0.45">
      <c r="A96" t="s">
        <v>110</v>
      </c>
      <c r="B96">
        <v>5</v>
      </c>
      <c r="C96" t="s">
        <v>162</v>
      </c>
      <c r="D96" t="s">
        <v>162</v>
      </c>
      <c r="E96" t="s">
        <v>19</v>
      </c>
      <c r="F96">
        <v>10</v>
      </c>
      <c r="G96">
        <v>0</v>
      </c>
      <c r="H96" t="s">
        <v>57</v>
      </c>
      <c r="I96" t="s">
        <v>57</v>
      </c>
      <c r="J96" t="s">
        <v>57</v>
      </c>
      <c r="K96" s="4"/>
      <c r="L96" s="4"/>
      <c r="M96" s="4"/>
      <c r="O96" s="4"/>
      <c r="P96" s="2" t="str" cm="1">
        <f t="array" ref="P96">CONCATENATE("      .AddAttribute(",Fill(B96,3),", ",QTFunc(C96),", ",QTFunc(D96),", ",QTFunc(E96),", ",F96,", ",G96,", ",H96,", ",I96,", ",QTFunc(K96),", ",QTFunc(L96),", ",QTFunc(M96),", ",QTFunc(O96),   ")")</f>
        <v xml:space="preserve">      .AddAttribute(  5, "Prefix", "Prefix", "varchar", 10, 0, false, false, "", "", "", "")</v>
      </c>
    </row>
    <row r="97" spans="1:16" x14ac:dyDescent="0.45">
      <c r="A97" t="s">
        <v>110</v>
      </c>
      <c r="B97">
        <v>6</v>
      </c>
      <c r="C97" t="s">
        <v>132</v>
      </c>
      <c r="D97" t="s">
        <v>132</v>
      </c>
      <c r="E97" t="s">
        <v>77</v>
      </c>
      <c r="F97">
        <v>0</v>
      </c>
      <c r="G97">
        <v>0</v>
      </c>
      <c r="H97" t="s">
        <v>57</v>
      </c>
      <c r="I97" t="s">
        <v>57</v>
      </c>
      <c r="J97" t="s">
        <v>57</v>
      </c>
      <c r="K97" s="4"/>
      <c r="L97" s="4"/>
      <c r="M97" s="4"/>
      <c r="O97" s="4" t="s">
        <v>244</v>
      </c>
      <c r="P97" s="2" t="str" cm="1">
        <f t="array" ref="P97">CONCATENATE("      .AddAttribute(",Fill(B97,3),", ",QTFunc(C97),", ",QTFunc(D97),", ",QTFunc(E97),", ",F97,", ",G97,", ",H97,", ",I97,", ",QTFunc(K97),", ",QTFunc(L97),", ",QTFunc(M97),", ",QTFunc(O97),   ")")</f>
        <v xml:space="preserve">      .AddAttribute(  6, "Notes", "Notes", "text", 0, 0, false, false, "", "", "", "notes, with additional / free information for this type of internet connection, not used in application")</v>
      </c>
    </row>
    <row r="98" spans="1:16" x14ac:dyDescent="0.45">
      <c r="A98" t="s">
        <v>110</v>
      </c>
      <c r="B98">
        <v>7</v>
      </c>
      <c r="C98" t="s">
        <v>133</v>
      </c>
      <c r="D98" t="s">
        <v>133</v>
      </c>
      <c r="E98" t="s">
        <v>27</v>
      </c>
      <c r="F98">
        <v>0</v>
      </c>
      <c r="G98">
        <v>0</v>
      </c>
      <c r="H98" t="s">
        <v>57</v>
      </c>
      <c r="I98" t="s">
        <v>57</v>
      </c>
      <c r="J98" t="s">
        <v>57</v>
      </c>
      <c r="K98" s="4"/>
      <c r="L98" s="4"/>
      <c r="M98" s="4"/>
      <c r="O98" s="4" t="s">
        <v>243</v>
      </c>
      <c r="P98" s="2" t="str" cm="1">
        <f t="array" ref="P98">CONCATENATE("      .AddAttribute(",Fill(B98,3),", ",QTFunc(C98),", ",QTFunc(D98),", ",QTFunc(E98),", ",F98,", ",G98,", ",H98,", ",I98,", ",QTFunc(K98),", ",QTFunc(L98),", ",QTFunc(M98),", ",QTFunc(O98),   ")")</f>
        <v xml:space="preserve">      .AddAttribute(  7, "UrgentValue", "UrgentValue", "bool", 0, 0, false, false, "", "", "", "boolean value that makes this entity of internet connection type to a system value (cannot be changed as it is used directly by the program)")</v>
      </c>
    </row>
    <row r="99" spans="1:16" x14ac:dyDescent="0.45">
      <c r="K99" s="4"/>
      <c r="L99" s="4"/>
      <c r="M99" s="4"/>
      <c r="O99" s="4"/>
    </row>
    <row r="100" spans="1:16" x14ac:dyDescent="0.45">
      <c r="A100" t="s">
        <v>111</v>
      </c>
      <c r="B100">
        <v>0</v>
      </c>
      <c r="C100" t="s">
        <v>125</v>
      </c>
      <c r="D100" t="s">
        <v>389</v>
      </c>
      <c r="E100" t="s">
        <v>167</v>
      </c>
      <c r="H100" t="s">
        <v>168</v>
      </c>
      <c r="I100" t="s">
        <v>169</v>
      </c>
      <c r="K100" s="4"/>
      <c r="L100" s="4"/>
      <c r="M100" s="4"/>
      <c r="O100" s="4"/>
      <c r="P100" s="2" t="str">
        <f>CONCATENATE("   ",$P$1,".AddTable(","""",A100,""", ",CONCATENATE("EMyEntityType::",E100),", """,IF(ISERROR(FIND(".",C100)),"",RIGHT(C100, LEN(C100) - FIND(".",C100))),""", """,IF(ISERROR(FIND(".",C100)),"",LEFT(C100, FIND(".",C100)-1)),""", """,IF(ISERROR(FIND("::",D100)),"",RIGHT(D100, LEN(D100) - FIND("::",D100)-1)),""", """,IF(ISERROR(FIND("::",D100)),"",LEFT(D100, FIND("::",D100)-1)),""", """,H100,""", """,I100,""", """,O100,""")")</f>
        <v xml:space="preserve">   dictionary.AddTable("JobPositions", EMyEntityType::table, "JobPositions", "dbo", "JobPositions", "myHR", "System", "SQL", "")</v>
      </c>
    </row>
    <row r="101" spans="1:16" x14ac:dyDescent="0.45">
      <c r="A101" t="s">
        <v>111</v>
      </c>
      <c r="B101">
        <v>1</v>
      </c>
      <c r="C101" t="s">
        <v>134</v>
      </c>
      <c r="D101" t="s">
        <v>134</v>
      </c>
      <c r="E101" t="s">
        <v>20</v>
      </c>
      <c r="F101">
        <v>0</v>
      </c>
      <c r="G101">
        <v>0</v>
      </c>
      <c r="H101" t="s">
        <v>58</v>
      </c>
      <c r="I101" t="s">
        <v>58</v>
      </c>
      <c r="J101" t="s">
        <v>57</v>
      </c>
      <c r="K101" s="4"/>
      <c r="L101" s="4"/>
      <c r="M101" s="4"/>
      <c r="O101" s="4"/>
      <c r="P101" s="2" t="str" cm="1">
        <f t="array" ref="P101">CONCATENATE("      .AddAttribute(",Fill(B101,3),", ",QTFunc(C101),", ",QTFunc(D101),", ",QTFunc(E101),", ",F101,", ",G101,", ",H101,", ",I101,", ",QTFunc(K101),", ",QTFunc(L101),", ",QTFunc(M101),", ",QTFunc(O101),   ")")</f>
        <v xml:space="preserve">      .AddAttribute(  1, "ID", "ID", "integer", 0, 0, true, true, "", "", "", "")</v>
      </c>
    </row>
    <row r="102" spans="1:16" x14ac:dyDescent="0.45">
      <c r="A102" t="s">
        <v>111</v>
      </c>
      <c r="B102">
        <v>2</v>
      </c>
      <c r="C102" t="s">
        <v>129</v>
      </c>
      <c r="D102" t="s">
        <v>129</v>
      </c>
      <c r="E102" t="s">
        <v>19</v>
      </c>
      <c r="F102">
        <v>50</v>
      </c>
      <c r="G102">
        <v>0</v>
      </c>
      <c r="H102" t="s">
        <v>58</v>
      </c>
      <c r="I102" t="s">
        <v>57</v>
      </c>
      <c r="J102" t="s">
        <v>58</v>
      </c>
      <c r="K102" s="4"/>
      <c r="L102" s="4"/>
      <c r="M102" s="4"/>
      <c r="O102" s="4"/>
      <c r="P102" s="2" t="str" cm="1">
        <f t="array" ref="P102">CONCATENATE("      .AddAttribute(",Fill(B102,3),", ",QTFunc(C102),", ",QTFunc(D102),", ",QTFunc(E102),", ",F102,", ",G102,", ",H102,", ",I102,", ",QTFunc(K102),", ",QTFunc(L102),", ",QTFunc(M102),", ",QTFunc(O102),   ")")</f>
        <v xml:space="preserve">      .AddAttribute(  2, "Denotation", "Denotation", "varchar", 50, 0, true, false, "", "", "", "")</v>
      </c>
    </row>
    <row r="103" spans="1:16" x14ac:dyDescent="0.45">
      <c r="A103" t="s">
        <v>111</v>
      </c>
      <c r="B103">
        <v>3</v>
      </c>
      <c r="C103" t="s">
        <v>130</v>
      </c>
      <c r="D103" t="s">
        <v>130</v>
      </c>
      <c r="E103" t="s">
        <v>19</v>
      </c>
      <c r="F103">
        <v>10</v>
      </c>
      <c r="G103">
        <v>0</v>
      </c>
      <c r="H103" t="s">
        <v>57</v>
      </c>
      <c r="I103" t="s">
        <v>57</v>
      </c>
      <c r="J103" t="s">
        <v>57</v>
      </c>
      <c r="K103" s="4"/>
      <c r="L103" s="4"/>
      <c r="M103" s="4"/>
      <c r="O103" s="4"/>
      <c r="P103" s="2" t="str" cm="1">
        <f t="array" ref="P103">CONCATENATE("      .AddAttribute(",Fill(B103,3),", ",QTFunc(C103),", ",QTFunc(D103),", ",QTFunc(E103),", ",F103,", ",G103,", ",H103,", ",I103,", ",QTFunc(K103),", ",QTFunc(L103),", ",QTFunc(M103),", ",QTFunc(O103),   ")")</f>
        <v xml:space="preserve">      .AddAttribute(  3, "Abbreviation", "Abbreviation", "varchar", 10, 0, false, false, "", "", "", "")</v>
      </c>
    </row>
    <row r="104" spans="1:16" x14ac:dyDescent="0.45">
      <c r="A104" t="s">
        <v>111</v>
      </c>
      <c r="B104">
        <v>4</v>
      </c>
      <c r="C104" t="s">
        <v>131</v>
      </c>
      <c r="D104" t="s">
        <v>131</v>
      </c>
      <c r="E104" t="s">
        <v>77</v>
      </c>
      <c r="F104">
        <v>0</v>
      </c>
      <c r="G104">
        <v>0</v>
      </c>
      <c r="H104" t="s">
        <v>57</v>
      </c>
      <c r="I104" t="s">
        <v>57</v>
      </c>
      <c r="J104" t="s">
        <v>57</v>
      </c>
      <c r="K104" s="4"/>
      <c r="L104" s="4"/>
      <c r="M104" s="4"/>
      <c r="O104" s="4"/>
      <c r="P104" s="2" t="str" cm="1">
        <f t="array" ref="P104">CONCATENATE("      .AddAttribute(",Fill(B104,3),", ",QTFunc(C104),", ",QTFunc(D104),", ",QTFunc(E104),", ",F104,", ",G104,", ",H104,", ",I104,", ",QTFunc(K104),", ",QTFunc(L104),", ",QTFunc(M104),", ",QTFunc(O104),   ")")</f>
        <v xml:space="preserve">      .AddAttribute(  4, "Description", "Description", "text", 0, 0, false, false, "", "", "", "")</v>
      </c>
    </row>
    <row r="105" spans="1:16" x14ac:dyDescent="0.45">
      <c r="A105" t="s">
        <v>111</v>
      </c>
      <c r="B105">
        <v>5</v>
      </c>
      <c r="C105" t="s">
        <v>132</v>
      </c>
      <c r="D105" t="s">
        <v>132</v>
      </c>
      <c r="E105" t="s">
        <v>77</v>
      </c>
      <c r="F105">
        <v>0</v>
      </c>
      <c r="G105">
        <v>0</v>
      </c>
      <c r="H105" t="s">
        <v>57</v>
      </c>
      <c r="I105" t="s">
        <v>57</v>
      </c>
      <c r="J105" t="s">
        <v>57</v>
      </c>
      <c r="K105" s="4"/>
      <c r="L105" s="4"/>
      <c r="M105" s="4"/>
      <c r="O105" s="4"/>
      <c r="P105" s="2" t="str" cm="1">
        <f t="array" ref="P105">CONCATENATE("      .AddAttribute(",Fill(B105,3),", ",QTFunc(C105),", ",QTFunc(D105),", ",QTFunc(E105),", ",F105,", ",G105,", ",H105,", ",I105,", ",QTFunc(K105),", ",QTFunc(L105),", ",QTFunc(M105),", ",QTFunc(O105),   ")")</f>
        <v xml:space="preserve">      .AddAttribute(  5, "Notes", "Notes", "text", 0, 0, false, false, "", "", "", "")</v>
      </c>
    </row>
    <row r="106" spans="1:16" x14ac:dyDescent="0.45">
      <c r="A106" t="s">
        <v>111</v>
      </c>
      <c r="B106">
        <v>6</v>
      </c>
      <c r="C106" t="s">
        <v>133</v>
      </c>
      <c r="D106" t="s">
        <v>133</v>
      </c>
      <c r="E106" t="s">
        <v>27</v>
      </c>
      <c r="F106">
        <v>0</v>
      </c>
      <c r="G106">
        <v>0</v>
      </c>
      <c r="H106" t="s">
        <v>57</v>
      </c>
      <c r="I106" t="s">
        <v>57</v>
      </c>
      <c r="J106" t="s">
        <v>57</v>
      </c>
      <c r="K106" s="4"/>
      <c r="L106" s="4"/>
      <c r="M106" s="4"/>
      <c r="O106" s="4"/>
      <c r="P106" s="2" t="str" cm="1">
        <f t="array" ref="P106">CONCATENATE("      .AddAttribute(",Fill(B106,3),", ",QTFunc(C106),", ",QTFunc(D106),", ",QTFunc(E106),", ",F106,", ",G106,", ",H106,", ",I106,", ",QTFunc(K106),", ",QTFunc(L106),", ",QTFunc(M106),", ",QTFunc(O106),   ")")</f>
        <v xml:space="preserve">      .AddAttribute(  6, "UrgentValue", "UrgentValue", "bool", 0, 0, false, false, "", "", "", "")</v>
      </c>
    </row>
    <row r="107" spans="1:16" x14ac:dyDescent="0.45">
      <c r="K107" s="4"/>
      <c r="L107" s="4"/>
      <c r="M107" s="4"/>
      <c r="O107" s="4"/>
    </row>
    <row r="108" spans="1:16" x14ac:dyDescent="0.45">
      <c r="A108" t="s">
        <v>112</v>
      </c>
      <c r="B108">
        <v>0</v>
      </c>
      <c r="C108" t="s">
        <v>126</v>
      </c>
      <c r="D108" t="s">
        <v>453</v>
      </c>
      <c r="E108" t="s">
        <v>167</v>
      </c>
      <c r="H108" t="s">
        <v>168</v>
      </c>
      <c r="I108" t="s">
        <v>169</v>
      </c>
      <c r="K108" s="4"/>
      <c r="L108" s="4"/>
      <c r="M108" s="4"/>
      <c r="O108" s="4" t="s">
        <v>414</v>
      </c>
      <c r="P108" s="2" t="str">
        <f>CONCATENATE("   ",$P$1,".AddTable(","""",A108,""", ",CONCATENATE("EMyEntityType::",E108),", """,IF(ISERROR(FIND(".",C108)),"",RIGHT(C108, LEN(C108) - FIND(".",C108))),""", """,IF(ISERROR(FIND(".",C108)),"",LEFT(C108, FIND(".",C108)-1)),""", """,IF(ISERROR(FIND("::",D108)),"",RIGHT(D108, LEN(D108) - FIND("::",D108)-1)),""", """,IF(ISERROR(FIND("::",D108)),"",LEFT(D108, FIND("::",D108)-1)),""", """,H108,""", """,I108,""", """,O108,""")")</f>
        <v xml:space="preserve">   dictionary.AddTable("Person", EMyEntityType::table, "Person", "dbo", "Person", "myCorporate", "System", "SQL", "informations about a person, base for different kinds of special persons in other areas of the company")</v>
      </c>
    </row>
    <row r="109" spans="1:16" x14ac:dyDescent="0.45">
      <c r="A109" t="s">
        <v>112</v>
      </c>
      <c r="B109">
        <v>1</v>
      </c>
      <c r="C109" t="s">
        <v>134</v>
      </c>
      <c r="D109" t="s">
        <v>134</v>
      </c>
      <c r="E109" t="s">
        <v>20</v>
      </c>
      <c r="F109">
        <v>0</v>
      </c>
      <c r="G109">
        <v>0</v>
      </c>
      <c r="H109" t="s">
        <v>58</v>
      </c>
      <c r="I109" t="s">
        <v>58</v>
      </c>
      <c r="J109" t="s">
        <v>57</v>
      </c>
      <c r="K109" s="4"/>
      <c r="L109" s="4"/>
      <c r="M109" s="4"/>
      <c r="O109" s="4" t="s">
        <v>415</v>
      </c>
      <c r="P109" s="2" t="str" cm="1">
        <f t="array" ref="P109">CONCATENATE("      .AddAttribute(",Fill(B109,3),", ",QTFunc(C109),", ",QTFunc(D109),", ",QTFunc(E109),", ",F109,", ",G109,", ",H109,", ",I109,", ",QTFunc(K109),", ",QTFunc(L109),", ",QTFunc(M109),", ",QTFunc(O109),   ")")</f>
        <v xml:space="preserve">      .AddAttribute(  1, "ID", "ID", "integer", 0, 0, true, true, "", "", "", "unique identification number for a entity of person")</v>
      </c>
    </row>
    <row r="110" spans="1:16" x14ac:dyDescent="0.45">
      <c r="A110" t="s">
        <v>112</v>
      </c>
      <c r="B110">
        <v>2</v>
      </c>
      <c r="C110" t="s">
        <v>82</v>
      </c>
      <c r="D110" t="s">
        <v>82</v>
      </c>
      <c r="E110" t="s">
        <v>19</v>
      </c>
      <c r="F110">
        <v>30</v>
      </c>
      <c r="G110">
        <v>0</v>
      </c>
      <c r="H110" t="s">
        <v>58</v>
      </c>
      <c r="I110" t="s">
        <v>57</v>
      </c>
      <c r="J110" t="s">
        <v>57</v>
      </c>
      <c r="K110" s="4"/>
      <c r="L110" s="4"/>
      <c r="M110" s="4"/>
      <c r="O110" s="4" t="s">
        <v>416</v>
      </c>
      <c r="P110" s="2" t="str" cm="1">
        <f t="array" ref="P110">CONCATENATE("      .AddAttribute(",Fill(B110,3),", ",QTFunc(C110),", ",QTFunc(D110),", ",QTFunc(E110),", ",F110,", ",G110,", ",H110,", ",I110,", ",QTFunc(K110),", ",QTFunc(L110),", ",QTFunc(M110),", ",QTFunc(O110),   ")")</f>
        <v xml:space="preserve">      .AddAttribute(  2, "Name", "Name", "varchar", 30, 0, true, false, "", "", "", "family name of the natural person respectively the name for a legal entity")</v>
      </c>
    </row>
    <row r="111" spans="1:16" x14ac:dyDescent="0.45">
      <c r="A111" t="s">
        <v>112</v>
      </c>
      <c r="B111">
        <v>3</v>
      </c>
      <c r="C111" t="s">
        <v>488</v>
      </c>
      <c r="D111" t="s">
        <v>488</v>
      </c>
      <c r="E111" t="s">
        <v>19</v>
      </c>
      <c r="F111">
        <v>30</v>
      </c>
      <c r="G111">
        <v>0</v>
      </c>
      <c r="H111" t="s">
        <v>57</v>
      </c>
      <c r="I111" t="s">
        <v>57</v>
      </c>
      <c r="J111" t="s">
        <v>57</v>
      </c>
      <c r="K111" s="4"/>
      <c r="L111" s="4"/>
      <c r="M111" s="4"/>
      <c r="O111" s="4" t="s">
        <v>417</v>
      </c>
      <c r="P111" s="2" t="str" cm="1">
        <f t="array" ref="P111">CONCATENATE("      .AddAttribute(",Fill(B111,3),", ",QTFunc(C111),", ",QTFunc(D111),", ",QTFunc(E111),", ",F111,", ",G111,", ",H111,", ",I111,", ",QTFunc(K111),", ",QTFunc(L111),", ",QTFunc(M111),", ",QTFunc(O111),   ")")</f>
        <v xml:space="preserve">      .AddAttribute(  3, "FirstName", "FirstName", "varchar", 30, 0, false, false, "", "", "", "first name of the natural person respectively a name extenstion for a legal entity")</v>
      </c>
    </row>
    <row r="112" spans="1:16" x14ac:dyDescent="0.45">
      <c r="A112" t="s">
        <v>112</v>
      </c>
      <c r="B112">
        <v>4</v>
      </c>
      <c r="C112" t="s">
        <v>108</v>
      </c>
      <c r="D112" t="s">
        <v>108</v>
      </c>
      <c r="E112" t="s">
        <v>20</v>
      </c>
      <c r="F112">
        <v>0</v>
      </c>
      <c r="G112">
        <v>0</v>
      </c>
      <c r="H112" t="s">
        <v>58</v>
      </c>
      <c r="I112" t="s">
        <v>57</v>
      </c>
      <c r="J112" t="s">
        <v>57</v>
      </c>
      <c r="K112" s="4"/>
      <c r="L112" s="4"/>
      <c r="M112" s="4"/>
      <c r="O112" s="4" t="s">
        <v>418</v>
      </c>
      <c r="P112" s="2" t="str" cm="1">
        <f t="array" ref="P112">CONCATENATE("      .AddAttribute(",Fill(B112,3),", ",QTFunc(C112),", ",QTFunc(D112),", ",QTFunc(E112),", ",F112,", ",G112,", ",H112,", ",I112,", ",QTFunc(K112),", ",QTFunc(L112),", ",QTFunc(M112),", ",QTFunc(O112),   ")")</f>
        <v xml:space="preserve">      .AddAttribute(  4, "FormOfAddress", "FormOfAddress", "integer", 0, 0, true, false, "", "", "", "form of address for this person. this attribute control the kind of a person too")</v>
      </c>
    </row>
    <row r="113" spans="1:16" x14ac:dyDescent="0.45">
      <c r="A113" t="s">
        <v>112</v>
      </c>
      <c r="B113">
        <v>5</v>
      </c>
      <c r="C113" t="s">
        <v>175</v>
      </c>
      <c r="D113" t="s">
        <v>175</v>
      </c>
      <c r="E113" t="s">
        <v>20</v>
      </c>
      <c r="F113">
        <v>0</v>
      </c>
      <c r="G113">
        <v>0</v>
      </c>
      <c r="H113" t="s">
        <v>58</v>
      </c>
      <c r="I113" t="s">
        <v>57</v>
      </c>
      <c r="J113" t="s">
        <v>57</v>
      </c>
      <c r="K113" s="4"/>
      <c r="L113" s="4"/>
      <c r="M113" s="4"/>
      <c r="O113" s="4" t="s">
        <v>419</v>
      </c>
      <c r="P113" s="2" t="str" cm="1">
        <f t="array" ref="P113">CONCATENATE("      .AddAttribute(",Fill(B113,3),", ",QTFunc(C113),", ",QTFunc(D113),", ",QTFunc(E113),", ",F113,", ",G113,", ",H113,", ",I113,", ",QTFunc(K113),", ",QTFunc(L113),", ",QTFunc(M113),", ",QTFunc(O113),   ")")</f>
        <v xml:space="preserve">      .AddAttribute(  5, "FamilyStatus", "FamilyStatus", "integer", 0, 0, true, false, "", "", "", "family status for the person")</v>
      </c>
    </row>
    <row r="114" spans="1:16" x14ac:dyDescent="0.45">
      <c r="A114" t="s">
        <v>112</v>
      </c>
      <c r="B114">
        <v>6</v>
      </c>
      <c r="C114" t="s">
        <v>179</v>
      </c>
      <c r="D114" t="s">
        <v>179</v>
      </c>
      <c r="E114" t="s">
        <v>22</v>
      </c>
      <c r="F114">
        <v>0</v>
      </c>
      <c r="G114">
        <v>0</v>
      </c>
      <c r="H114" t="s">
        <v>57</v>
      </c>
      <c r="I114" t="s">
        <v>57</v>
      </c>
      <c r="J114" t="s">
        <v>57</v>
      </c>
      <c r="K114" s="4"/>
      <c r="L114" s="4"/>
      <c r="M114" s="4"/>
      <c r="O114" s="4" t="s">
        <v>420</v>
      </c>
      <c r="P114" s="2" t="str" cm="1">
        <f t="array" ref="P114">CONCATENATE("      .AddAttribute(",Fill(B114,3),", ",QTFunc(C114),", ",QTFunc(D114),", ",QTFunc(E114),", ",F114,", ",G114,", ",H114,", ",I114,", ",QTFunc(K114),", ",QTFunc(L114),", ",QTFunc(M114),", ",QTFunc(O114),   ")")</f>
        <v xml:space="preserve">      .AddAttribute(  6, "FamilyStatusSince", "FamilyStatusSince", "date", 0, 0, false, false, "", "", "", "the date from which the current family status applies.")</v>
      </c>
    </row>
    <row r="115" spans="1:16" x14ac:dyDescent="0.45">
      <c r="A115" t="s">
        <v>112</v>
      </c>
      <c r="B115">
        <v>7</v>
      </c>
      <c r="C115" t="s">
        <v>166</v>
      </c>
      <c r="D115" t="s">
        <v>166</v>
      </c>
      <c r="E115" t="s">
        <v>22</v>
      </c>
      <c r="F115">
        <v>0</v>
      </c>
      <c r="G115">
        <v>0</v>
      </c>
      <c r="H115" t="s">
        <v>57</v>
      </c>
      <c r="I115" t="s">
        <v>57</v>
      </c>
      <c r="J115" t="s">
        <v>57</v>
      </c>
      <c r="K115" s="4"/>
      <c r="L115" s="4"/>
      <c r="M115" s="4"/>
      <c r="O115" s="4" t="s">
        <v>421</v>
      </c>
      <c r="P115" s="2" t="str" cm="1">
        <f t="array" ref="P115">CONCATENATE("      .AddAttribute(",Fill(B115,3),", ",QTFunc(C115),", ",QTFunc(D115),", ",QTFunc(E115),", ",F115,", ",G115,", ",H115,", ",I115,", ",QTFunc(K115),", ",QTFunc(L115),", ",QTFunc(M115),", ",QTFunc(O115),   ")")</f>
        <v xml:space="preserve">      .AddAttribute(  7, "Birthday", "Birthday", "date", 0, 0, false, false, "", "", "", "birthday of a natural person. This attribute is unused for legal entrities")</v>
      </c>
    </row>
    <row r="116" spans="1:16" x14ac:dyDescent="0.45">
      <c r="A116" t="s">
        <v>112</v>
      </c>
      <c r="B116">
        <v>8</v>
      </c>
      <c r="C116" t="s">
        <v>132</v>
      </c>
      <c r="D116" t="s">
        <v>132</v>
      </c>
      <c r="E116" t="s">
        <v>77</v>
      </c>
      <c r="F116">
        <v>0</v>
      </c>
      <c r="G116">
        <v>0</v>
      </c>
      <c r="H116" t="s">
        <v>57</v>
      </c>
      <c r="I116" t="s">
        <v>57</v>
      </c>
      <c r="J116" t="s">
        <v>57</v>
      </c>
      <c r="K116" s="4"/>
      <c r="L116" s="4"/>
      <c r="M116" s="4"/>
      <c r="O116" s="4" t="s">
        <v>422</v>
      </c>
      <c r="P116" s="2" t="str" cm="1">
        <f t="array" ref="P116">CONCATENATE("      .AddAttribute(",Fill(B116,3),", ",QTFunc(C116),", ",QTFunc(D116),", ",QTFunc(E116),", ",F116,", ",G116,", ",H116,", ",I116,", ",QTFunc(K116),", ",QTFunc(L116),", ",QTFunc(M116),", ",QTFunc(O116),   ")")</f>
        <v xml:space="preserve">      .AddAttribute(  8, "Notes", "Notes", "text", 0, 0, false, false, "", "", "", "notes, with additional / free information for this tperson, not used in application")</v>
      </c>
    </row>
    <row r="117" spans="1:16" x14ac:dyDescent="0.45">
      <c r="A117" t="s">
        <v>112</v>
      </c>
      <c r="B117">
        <v>9</v>
      </c>
      <c r="C117" t="s">
        <v>489</v>
      </c>
      <c r="D117" t="s">
        <v>489</v>
      </c>
      <c r="E117" t="s">
        <v>19</v>
      </c>
      <c r="F117">
        <v>60</v>
      </c>
      <c r="G117">
        <v>0</v>
      </c>
      <c r="H117" t="s">
        <v>57</v>
      </c>
      <c r="I117" t="s">
        <v>57</v>
      </c>
      <c r="J117" t="s">
        <v>57</v>
      </c>
      <c r="K117" s="4"/>
      <c r="L117" s="4"/>
      <c r="M117" s="4" t="s">
        <v>486</v>
      </c>
      <c r="O117" s="4" t="s">
        <v>487</v>
      </c>
      <c r="P117" s="2" t="str" cm="1">
        <f t="array" ref="P117">CONCATENATE("      .AddAttribute(",Fill(B117,3),", ",QTFunc(C117),", ",QTFunc(D117),", ",QTFunc(E117),", ",F117,", ",G117,", ",H117,", ",I117,", ",QTFunc(K117),", ",QTFunc(L117),", ",QTFunc(M117),", ",QTFunc(O117),   ")")</f>
        <v xml:space="preserve">      .AddAttribute(  9, "FullName", "FullName", "varchar", 60, 0, false, false, "", "", "Name + ', ' + FirstName", "calculated field for displaying the full name for use in the program\n for example, if a person is to be selected")</v>
      </c>
    </row>
    <row r="118" spans="1:16" x14ac:dyDescent="0.45">
      <c r="K118" s="4"/>
      <c r="L118" s="4"/>
      <c r="M118" s="4"/>
      <c r="O118" s="4"/>
    </row>
    <row r="119" spans="1:16" x14ac:dyDescent="0.45">
      <c r="A119" t="s">
        <v>113</v>
      </c>
      <c r="B119">
        <v>0</v>
      </c>
      <c r="C119" t="s">
        <v>127</v>
      </c>
      <c r="D119" t="s">
        <v>452</v>
      </c>
      <c r="E119" t="s">
        <v>167</v>
      </c>
      <c r="H119" t="s">
        <v>168</v>
      </c>
      <c r="I119" t="s">
        <v>169</v>
      </c>
      <c r="K119" s="4"/>
      <c r="L119" s="4"/>
      <c r="M119" s="4"/>
      <c r="O119" s="4"/>
      <c r="P119" s="2" t="str">
        <f>CONCATENATE("   ",$P$1,".AddTable(","""",A119,""", ",CONCATENATE("EMyEntityType::",E119),", """,IF(ISERROR(FIND(".",C119)),"",RIGHT(C119, LEN(C119) - FIND(".",C119))),""", """,IF(ISERROR(FIND(".",C119)),"",LEFT(C119, FIND(".",C119)-1)),""", """,IF(ISERROR(FIND("::",D119)),"",RIGHT(D119, LEN(D119) - FIND("::",D119)-1)),""", """,IF(ISERROR(FIND("::",D119)),"",LEFT(D119, FIND("::",D119)-1)),""", """,H119,""", """,I119,""", """,O119,""")")</f>
        <v xml:space="preserve">   dictionary.AddTable("Phone", EMyEntityType::table, "Phone", "dbo", "Phone", "myCorporate", "System", "SQL", "")</v>
      </c>
    </row>
    <row r="120" spans="1:16" x14ac:dyDescent="0.45">
      <c r="A120" t="s">
        <v>113</v>
      </c>
      <c r="B120">
        <v>1</v>
      </c>
      <c r="C120" t="s">
        <v>134</v>
      </c>
      <c r="D120" t="s">
        <v>134</v>
      </c>
      <c r="E120" t="s">
        <v>20</v>
      </c>
      <c r="F120">
        <v>0</v>
      </c>
      <c r="G120">
        <v>0</v>
      </c>
      <c r="H120" t="s">
        <v>58</v>
      </c>
      <c r="I120" t="s">
        <v>58</v>
      </c>
      <c r="J120" t="s">
        <v>57</v>
      </c>
      <c r="K120" s="4"/>
      <c r="L120" s="4"/>
      <c r="M120" s="4"/>
      <c r="O120" s="4"/>
      <c r="P120" s="2" t="str" cm="1">
        <f t="array" ref="P120">CONCATENATE("      .AddAttribute(",Fill(B120,3),", ",QTFunc(C120),", ",QTFunc(D120),", ",QTFunc(E120),", ",F120,", ",G120,", ",H120,", ",I120,", ",QTFunc(K120),", ",QTFunc(L120),", ",QTFunc(M120),", ",QTFunc(O120),   ")")</f>
        <v xml:space="preserve">      .AddAttribute(  1, "ID", "ID", "integer", 0, 0, true, true, "", "", "", "")</v>
      </c>
    </row>
    <row r="121" spans="1:16" x14ac:dyDescent="0.45">
      <c r="A121" t="s">
        <v>113</v>
      </c>
      <c r="B121">
        <v>2</v>
      </c>
      <c r="C121" t="s">
        <v>140</v>
      </c>
      <c r="D121" t="s">
        <v>140</v>
      </c>
      <c r="E121" t="s">
        <v>20</v>
      </c>
      <c r="F121">
        <v>0</v>
      </c>
      <c r="G121">
        <v>0</v>
      </c>
      <c r="H121" t="s">
        <v>58</v>
      </c>
      <c r="I121" t="s">
        <v>58</v>
      </c>
      <c r="J121" t="s">
        <v>57</v>
      </c>
      <c r="K121" s="4"/>
      <c r="L121" s="4"/>
      <c r="M121" s="4"/>
      <c r="O121" s="4"/>
      <c r="P121" s="2" t="str" cm="1">
        <f t="array" ref="P121">CONCATENATE("      .AddAttribute(",Fill(B121,3),", ",QTFunc(C121),", ",QTFunc(D121),", ",QTFunc(E121),", ",F121,", ",G121,", ",H121,", ",I121,", ",QTFunc(K121),", ",QTFunc(L121),", ",QTFunc(M121),", ",QTFunc(O121),   ")")</f>
        <v xml:space="preserve">      .AddAttribute(  2, "PhoneType", "PhoneType", "integer", 0, 0, true, true, "", "", "", "")</v>
      </c>
    </row>
    <row r="122" spans="1:16" x14ac:dyDescent="0.45">
      <c r="A122" t="s">
        <v>113</v>
      </c>
      <c r="B122">
        <v>3</v>
      </c>
      <c r="C122" t="s">
        <v>141</v>
      </c>
      <c r="D122" t="s">
        <v>141</v>
      </c>
      <c r="E122" t="s">
        <v>19</v>
      </c>
      <c r="F122">
        <v>10</v>
      </c>
      <c r="G122">
        <v>0</v>
      </c>
      <c r="H122" t="s">
        <v>58</v>
      </c>
      <c r="I122" t="s">
        <v>57</v>
      </c>
      <c r="J122" t="s">
        <v>57</v>
      </c>
      <c r="K122" s="4"/>
      <c r="L122" s="4"/>
      <c r="M122" s="4"/>
      <c r="O122" s="4"/>
      <c r="P122" s="2" t="str" cm="1">
        <f t="array" ref="P122">CONCATENATE("      .AddAttribute(",Fill(B122,3),", ",QTFunc(C122),", ",QTFunc(D122),", ",QTFunc(E122),", ",F122,", ",G122,", ",H122,", ",I122,", ",QTFunc(K122),", ",QTFunc(L122),", ",QTFunc(M122),", ",QTFunc(O122),   ")")</f>
        <v xml:space="preserve">      .AddAttribute(  3, "AreaCode", "AreaCode", "varchar", 10, 0, true, false, "", "", "", "")</v>
      </c>
    </row>
    <row r="123" spans="1:16" x14ac:dyDescent="0.45">
      <c r="A123" t="s">
        <v>113</v>
      </c>
      <c r="B123">
        <v>4</v>
      </c>
      <c r="C123" t="s">
        <v>142</v>
      </c>
      <c r="D123" t="s">
        <v>142</v>
      </c>
      <c r="E123" t="s">
        <v>19</v>
      </c>
      <c r="F123">
        <v>13</v>
      </c>
      <c r="G123">
        <v>0</v>
      </c>
      <c r="H123" t="s">
        <v>58</v>
      </c>
      <c r="I123" t="s">
        <v>57</v>
      </c>
      <c r="J123" t="s">
        <v>57</v>
      </c>
      <c r="K123" s="4"/>
      <c r="L123" s="4"/>
      <c r="M123" s="4"/>
      <c r="O123" s="4"/>
      <c r="P123" s="2" t="str" cm="1">
        <f t="array" ref="P123">CONCATENATE("      .AddAttribute(",Fill(B123,3),", ",QTFunc(C123),", ",QTFunc(D123),", ",QTFunc(E123),", ",F123,", ",G123,", ",H123,", ",I123,", ",QTFunc(K123),", ",QTFunc(L123),", ",QTFunc(M123),", ",QTFunc(O123),   ")")</f>
        <v xml:space="preserve">      .AddAttribute(  4, "CallNumber", "CallNumber", "varchar", 13, 0, true, false, "", "", "", "")</v>
      </c>
    </row>
    <row r="124" spans="1:16" x14ac:dyDescent="0.45">
      <c r="A124" t="s">
        <v>113</v>
      </c>
      <c r="B124">
        <v>5</v>
      </c>
      <c r="C124" t="s">
        <v>139</v>
      </c>
      <c r="D124" t="s">
        <v>139</v>
      </c>
      <c r="E124" t="s">
        <v>20</v>
      </c>
      <c r="F124">
        <v>0</v>
      </c>
      <c r="G124">
        <v>0</v>
      </c>
      <c r="H124" t="s">
        <v>58</v>
      </c>
      <c r="I124" t="s">
        <v>57</v>
      </c>
      <c r="J124" t="s">
        <v>57</v>
      </c>
      <c r="K124" s="4"/>
      <c r="L124" s="4"/>
      <c r="M124" s="4"/>
      <c r="O124" s="4"/>
      <c r="P124" s="2" t="str" cm="1">
        <f t="array" ref="P124">CONCATENATE("      .AddAttribute(",Fill(B124,3),", ",QTFunc(C124),", ",QTFunc(D124),", ",QTFunc(E124),", ",F124,", ",G124,", ",H124,", ",I124,", ",QTFunc(K124),", ",QTFunc(L124),", ",QTFunc(M124),", ",QTFunc(O124),   ")")</f>
        <v xml:space="preserve">      .AddAttribute(  5, "Country", "Country", "integer", 0, 0, true, false, "", "", "", "")</v>
      </c>
    </row>
    <row r="125" spans="1:16" x14ac:dyDescent="0.45">
      <c r="K125" s="4"/>
      <c r="L125" s="4"/>
      <c r="M125" s="4"/>
      <c r="O125" s="4"/>
    </row>
    <row r="126" spans="1:16" x14ac:dyDescent="0.45">
      <c r="A126" t="s">
        <v>143</v>
      </c>
      <c r="B126">
        <v>0</v>
      </c>
      <c r="C126" t="s">
        <v>128</v>
      </c>
      <c r="D126" t="s">
        <v>451</v>
      </c>
      <c r="E126" t="s">
        <v>167</v>
      </c>
      <c r="H126" t="s">
        <v>168</v>
      </c>
      <c r="I126" t="s">
        <v>169</v>
      </c>
      <c r="K126" s="4"/>
      <c r="L126" s="4"/>
      <c r="M126" s="4"/>
      <c r="O126" s="4" t="s">
        <v>237</v>
      </c>
      <c r="P126" s="2" t="str">
        <f>CONCATENATE("   ",$P$1,".AddTable(","""",A126,""", ",CONCATENATE("EMyEntityType::",E126),", """,IF(ISERROR(FIND(".",C126)),"",RIGHT(C126, LEN(C126) - FIND(".",C126))),""", """,IF(ISERROR(FIND(".",C126)),"",LEFT(C126, FIND(".",C126)-1)),""", """,IF(ISERROR(FIND("::",D126)),"",RIGHT(D126, LEN(D126) - FIND("::",D126)-1)),""", """,IF(ISERROR(FIND("::",D126)),"",LEFT(D126, FIND("::",D126)-1)),""", """,H126,""", """,I126,""", """,O126,""")")</f>
        <v xml:space="preserve">   dictionary.AddTable("PhonesTypes", EMyEntityType::table, "PhoneTypes", "dbo", "PhonesTypes", "myCorporate", "System", "SQL", "domain / range of values for phone types, this is an extension of the relationship between persons and phone.")</v>
      </c>
    </row>
    <row r="127" spans="1:16" x14ac:dyDescent="0.45">
      <c r="A127" t="s">
        <v>143</v>
      </c>
      <c r="B127">
        <v>1</v>
      </c>
      <c r="C127" t="s">
        <v>134</v>
      </c>
      <c r="D127" t="s">
        <v>134</v>
      </c>
      <c r="E127" t="s">
        <v>20</v>
      </c>
      <c r="F127">
        <v>0</v>
      </c>
      <c r="G127">
        <v>0</v>
      </c>
      <c r="H127" t="s">
        <v>58</v>
      </c>
      <c r="I127" t="s">
        <v>58</v>
      </c>
      <c r="J127" t="s">
        <v>57</v>
      </c>
      <c r="K127" s="4"/>
      <c r="L127" s="4"/>
      <c r="M127" s="4"/>
      <c r="O127" s="4" t="s">
        <v>238</v>
      </c>
      <c r="P127" s="2" t="str" cm="1">
        <f t="array" ref="P127">CONCATENATE("      .AddAttribute(",Fill(B127,3),", ",QTFunc(C127),", ",QTFunc(D127),", ",QTFunc(E127),", ",F127,", ",G127,", ",H127,", ",I127,", ",QTFunc(K127),", ",QTFunc(L127),", ",QTFunc(M127),", ",QTFunc(O127),   ")")</f>
        <v xml:space="preserve">      .AddAttribute(  1, "ID", "ID", "integer", 0, 0, true, true, "", "", "", "unique identification number for a record in this domain with phone types")</v>
      </c>
    </row>
    <row r="128" spans="1:16" x14ac:dyDescent="0.45">
      <c r="A128" t="s">
        <v>143</v>
      </c>
      <c r="B128">
        <v>2</v>
      </c>
      <c r="C128" t="s">
        <v>129</v>
      </c>
      <c r="D128" t="s">
        <v>129</v>
      </c>
      <c r="E128" t="s">
        <v>19</v>
      </c>
      <c r="F128">
        <v>50</v>
      </c>
      <c r="G128">
        <v>0</v>
      </c>
      <c r="H128" t="s">
        <v>58</v>
      </c>
      <c r="I128" t="s">
        <v>57</v>
      </c>
      <c r="J128" t="s">
        <v>58</v>
      </c>
      <c r="K128" s="4"/>
      <c r="L128" s="4"/>
      <c r="M128" s="4"/>
      <c r="O128" s="4" t="s">
        <v>239</v>
      </c>
      <c r="P128" s="2" t="str" cm="1">
        <f t="array" ref="P128">CONCATENATE("      .AddAttribute(",Fill(B128,3),", ",QTFunc(C128),", ",QTFunc(D128),", ",QTFunc(E128),", ",F128,", ",G128,", ",H128,", ",I128,", ",QTFunc(K128),", ",QTFunc(L128),", ",QTFunc(M128),", ",QTFunc(O128),   ")")</f>
        <v xml:space="preserve">      .AddAttribute(  2, "Denotation", "Denotation", "varchar", 50, 0, true, false, "", "", "", "unique description of a phone type entity in the domain, used in selections, comboboxes, … (key canditate)")</v>
      </c>
    </row>
    <row r="129" spans="1:16" x14ac:dyDescent="0.45">
      <c r="A129" t="s">
        <v>143</v>
      </c>
      <c r="B129">
        <v>3</v>
      </c>
      <c r="C129" t="s">
        <v>130</v>
      </c>
      <c r="D129" t="s">
        <v>130</v>
      </c>
      <c r="E129" t="s">
        <v>19</v>
      </c>
      <c r="F129">
        <v>10</v>
      </c>
      <c r="G129">
        <v>0</v>
      </c>
      <c r="H129" t="s">
        <v>57</v>
      </c>
      <c r="I129" t="s">
        <v>57</v>
      </c>
      <c r="J129" t="s">
        <v>57</v>
      </c>
      <c r="K129" s="4"/>
      <c r="L129" s="4"/>
      <c r="M129" s="4"/>
      <c r="O129" s="4" t="s">
        <v>240</v>
      </c>
      <c r="P129" s="2" t="str" cm="1">
        <f t="array" ref="P129">CONCATENATE("      .AddAttribute(",Fill(B129,3),", ",QTFunc(C129),", ",QTFunc(D129),", ",QTFunc(E129),", ",F129,", ",G129,", ",H129,", ",I129,", ",QTFunc(K129),", ",QTFunc(L129),", ",QTFunc(M129),", ",QTFunc(O129),   ")")</f>
        <v xml:space="preserve">      .AddAttribute(  3, "Abbreviation", "Abbreviation", "varchar", 10, 0, false, false, "", "", "", "non-representative abbreviation that can be used for a short advertisement for this phone  type")</v>
      </c>
    </row>
    <row r="130" spans="1:16" x14ac:dyDescent="0.45">
      <c r="A130" t="s">
        <v>143</v>
      </c>
      <c r="B130">
        <v>4</v>
      </c>
      <c r="C130" t="s">
        <v>131</v>
      </c>
      <c r="D130" t="s">
        <v>131</v>
      </c>
      <c r="E130" t="s">
        <v>77</v>
      </c>
      <c r="F130">
        <v>0</v>
      </c>
      <c r="G130">
        <v>0</v>
      </c>
      <c r="H130" t="s">
        <v>57</v>
      </c>
      <c r="I130" t="s">
        <v>57</v>
      </c>
      <c r="J130" t="s">
        <v>57</v>
      </c>
      <c r="K130" s="4"/>
      <c r="L130" s="4"/>
      <c r="M130" s="4"/>
      <c r="O130" s="4" t="s">
        <v>241</v>
      </c>
      <c r="P130" s="2" t="str" cm="1">
        <f t="array" ref="P130">CONCATENATE("      .AddAttribute(",Fill(B130,3),", ",QTFunc(C130),", ",QTFunc(D130),", ",QTFunc(E130),", ",F130,", ",G130,", ",H130,", ",I130,", ",QTFunc(K130),", ",QTFunc(L130),", ",QTFunc(M130),", ",QTFunc(O130),   ")")</f>
        <v xml:space="preserve">      .AddAttribute(  4, "Description", "Description", "text", 0, 0, false, false, "", "", "", "detailed description of these phone  type,this is a self documentation, possible use as hint or to information in the programm")</v>
      </c>
    </row>
    <row r="131" spans="1:16" x14ac:dyDescent="0.45">
      <c r="A131" t="s">
        <v>143</v>
      </c>
      <c r="B131">
        <v>5</v>
      </c>
      <c r="C131" t="s">
        <v>132</v>
      </c>
      <c r="D131" t="s">
        <v>132</v>
      </c>
      <c r="E131" t="s">
        <v>77</v>
      </c>
      <c r="F131">
        <v>0</v>
      </c>
      <c r="G131">
        <v>0</v>
      </c>
      <c r="H131" t="s">
        <v>57</v>
      </c>
      <c r="I131" t="s">
        <v>57</v>
      </c>
      <c r="J131" t="s">
        <v>57</v>
      </c>
      <c r="K131" s="4"/>
      <c r="L131" s="4"/>
      <c r="M131" s="4"/>
      <c r="O131" s="4" t="s">
        <v>222</v>
      </c>
      <c r="P131" s="2" t="str" cm="1">
        <f t="array" ref="P131">CONCATENATE("      .AddAttribute(",Fill(B131,3),", ",QTFunc(C131),", ",QTFunc(D131),", ",QTFunc(E131),", ",F131,", ",G131,", ",H131,", ",I131,", ",QTFunc(K131),", ",QTFunc(L131),", ",QTFunc(M131),", ",QTFunc(O131),   ")")</f>
        <v xml:space="preserve">      .AddAttribute(  5, "Notes", "Notes", "text", 0, 0, false, false, "", "", "", "notes, with additional / free information for this type of banking, not used in application")</v>
      </c>
    </row>
    <row r="132" spans="1:16" x14ac:dyDescent="0.45">
      <c r="A132" t="s">
        <v>143</v>
      </c>
      <c r="B132">
        <v>6</v>
      </c>
      <c r="C132" t="s">
        <v>133</v>
      </c>
      <c r="D132" t="s">
        <v>133</v>
      </c>
      <c r="E132" t="s">
        <v>27</v>
      </c>
      <c r="F132">
        <v>0</v>
      </c>
      <c r="G132">
        <v>0</v>
      </c>
      <c r="H132" t="s">
        <v>57</v>
      </c>
      <c r="I132" t="s">
        <v>57</v>
      </c>
      <c r="J132" t="s">
        <v>57</v>
      </c>
      <c r="K132" s="4"/>
      <c r="L132" s="4"/>
      <c r="M132" s="4"/>
      <c r="O132" s="4" t="s">
        <v>242</v>
      </c>
      <c r="P132" s="2" t="str" cm="1">
        <f t="array" ref="P132">CONCATENATE("      .AddAttribute(",Fill(B132,3),", ",QTFunc(C132),", ",QTFunc(D132),", ",QTFunc(E132),", ",F132,", ",G132,", ",H132,", ",I132,", ",QTFunc(K132),", ",QTFunc(L132),", ",QTFunc(M132),", ",QTFunc(O132),   ")")</f>
        <v xml:space="preserve">      .AddAttribute(  6, "UrgentValue", "UrgentValue", "bool", 0, 0, false, false, "", "", "", "boolean value that makes this entity of phone type to a system value (cannot be changed as it is used directly by the program)")</v>
      </c>
    </row>
    <row r="133" spans="1:16" x14ac:dyDescent="0.45">
      <c r="K133" s="4"/>
      <c r="L133" s="4"/>
      <c r="M133" s="4"/>
      <c r="O133" s="4"/>
    </row>
    <row r="134" spans="1:16" x14ac:dyDescent="0.45">
      <c r="A134" t="s">
        <v>170</v>
      </c>
      <c r="B134">
        <v>0</v>
      </c>
      <c r="C134" t="s">
        <v>171</v>
      </c>
      <c r="D134" t="s">
        <v>387</v>
      </c>
      <c r="E134" t="s">
        <v>167</v>
      </c>
      <c r="H134" t="s">
        <v>168</v>
      </c>
      <c r="I134" t="s">
        <v>169</v>
      </c>
      <c r="K134" s="4"/>
      <c r="L134" s="4"/>
      <c r="M134" s="4"/>
      <c r="O134" s="4" t="s">
        <v>483</v>
      </c>
      <c r="P134" s="2" t="str">
        <f>CONCATENATE("   ",$P$1,".AddTable(","""",A134,""", ",CONCATENATE("EMyEntityType::",E134),", """,IF(ISERROR(FIND(".",C134)),"",RIGHT(C134, LEN(C134) - FIND(".",C134))),""", """,IF(ISERROR(FIND(".",C134)),"",LEFT(C134, FIND(".",C134)-1)),""", """,IF(ISERROR(FIND("::",D134)),"",RIGHT(D134, LEN(D134) - FIND("::",D134)-1)),""", """,IF(ISERROR(FIND("::",D134)),"",LEFT(D134, FIND("::",D134)-1)),""", """,H134,""", """,I134,""", """,O134,""")")</f>
        <v xml:space="preserve">   dictionary.AddTable("WorkingTime", EMyEntityType::table, "WorkingTime", "dbo", "WorkingTime", "mHR", "System", "SQL", "entity set with working hours performed and booked by employees")</v>
      </c>
    </row>
    <row r="135" spans="1:16" x14ac:dyDescent="0.45">
      <c r="A135" t="s">
        <v>170</v>
      </c>
      <c r="B135">
        <v>1</v>
      </c>
      <c r="C135" t="s">
        <v>134</v>
      </c>
      <c r="D135" t="s">
        <v>134</v>
      </c>
      <c r="E135" t="s">
        <v>20</v>
      </c>
      <c r="F135">
        <v>0</v>
      </c>
      <c r="G135">
        <v>0</v>
      </c>
      <c r="H135" t="s">
        <v>58</v>
      </c>
      <c r="I135" t="s">
        <v>58</v>
      </c>
      <c r="J135" t="s">
        <v>57</v>
      </c>
      <c r="K135" s="4"/>
      <c r="L135" s="4"/>
      <c r="M135" s="4"/>
      <c r="O135" s="4" t="s">
        <v>484</v>
      </c>
      <c r="P135" s="2" t="str" cm="1">
        <f t="array" ref="P135">CONCATENATE("      .AddAttribute(",Fill(B135,3),", ",QTFunc(C135),", ",QTFunc(D135),", ",QTFunc(E135),", ",F135,", ",G135,", ",H135,", ",I135,", ",QTFunc(K135),", ",QTFunc(L135),", ",QTFunc(M135),", ",QTFunc(O135),   ")")</f>
        <v xml:space="preserve">      .AddAttribute(  1, "ID", "ID", "integer", 0, 0, true, true, "", "", "", "attribute as foreign key from an attribute ID of a employee entity to who as worked these time")</v>
      </c>
    </row>
    <row r="136" spans="1:16" x14ac:dyDescent="0.45">
      <c r="A136" t="s">
        <v>170</v>
      </c>
      <c r="B136">
        <v>2</v>
      </c>
      <c r="C136" t="s">
        <v>172</v>
      </c>
      <c r="D136" t="s">
        <v>172</v>
      </c>
      <c r="E136" t="s">
        <v>30</v>
      </c>
      <c r="F136">
        <v>0</v>
      </c>
      <c r="G136">
        <v>0</v>
      </c>
      <c r="H136" t="s">
        <v>58</v>
      </c>
      <c r="I136" t="s">
        <v>58</v>
      </c>
      <c r="J136" t="s">
        <v>57</v>
      </c>
      <c r="K136" s="4"/>
      <c r="L136" s="4"/>
      <c r="M136" s="4"/>
      <c r="O136" s="4" t="s">
        <v>485</v>
      </c>
      <c r="P136" s="2" t="str" cm="1">
        <f t="array" ref="P136">CONCATENATE("      .AddAttribute(",Fill(B136,3),", ",QTFunc(C136),", ",QTFunc(D136),", ",QTFunc(E136),", ",F136,", ",G136,", ",H136,", ",I136,", ",QTFunc(K136),", ",QTFunc(L136),", ",QTFunc(M136),", ",QTFunc(O136),   ")")</f>
        <v xml:space="preserve">      .AddAttribute(  2, "StartingTime", "StartingTime", "datetime", 0, 0, true, true, "", "", "", "date and time at which this work block started as timestamp")</v>
      </c>
    </row>
    <row r="137" spans="1:16" x14ac:dyDescent="0.45">
      <c r="A137" t="s">
        <v>170</v>
      </c>
      <c r="B137">
        <v>3</v>
      </c>
      <c r="C137" t="s">
        <v>173</v>
      </c>
      <c r="D137" t="s">
        <v>173</v>
      </c>
      <c r="E137" t="s">
        <v>30</v>
      </c>
      <c r="F137">
        <v>0</v>
      </c>
      <c r="G137">
        <v>0</v>
      </c>
      <c r="H137" t="s">
        <v>57</v>
      </c>
      <c r="I137" t="s">
        <v>57</v>
      </c>
      <c r="J137" t="s">
        <v>57</v>
      </c>
      <c r="K137" s="4"/>
      <c r="L137" s="4"/>
      <c r="M137" s="4"/>
      <c r="O137" s="4"/>
      <c r="P137" s="2" t="str" cm="1">
        <f t="array" ref="P137">CONCATENATE("      .AddAttribute(",Fill(B137,3),", ",QTFunc(C137),", ",QTFunc(D137),", ",QTFunc(E137),", ",F137,", ",G137,", ",H137,", ",I137,", ",QTFunc(K137),", ",QTFunc(L137),", ",QTFunc(M137),", ",QTFunc(O137),   ")")</f>
        <v xml:space="preserve">      .AddAttribute(  3, "ClosingTime", "ClosingTime", "datetime", 0, 0, false, false, "", "", "", "")</v>
      </c>
    </row>
    <row r="138" spans="1:16" x14ac:dyDescent="0.45">
      <c r="A138" t="s">
        <v>170</v>
      </c>
      <c r="B138">
        <v>4</v>
      </c>
      <c r="C138" t="s">
        <v>481</v>
      </c>
      <c r="D138" t="s">
        <v>174</v>
      </c>
      <c r="E138" t="s">
        <v>27</v>
      </c>
      <c r="F138">
        <v>0</v>
      </c>
      <c r="G138">
        <v>0</v>
      </c>
      <c r="H138" t="s">
        <v>58</v>
      </c>
      <c r="I138" t="s">
        <v>57</v>
      </c>
      <c r="J138" t="s">
        <v>57</v>
      </c>
      <c r="K138" s="4"/>
      <c r="L138" s="4"/>
      <c r="M138" s="4"/>
      <c r="O138" s="4"/>
      <c r="P138" s="2" t="str" cm="1">
        <f t="array" ref="P138">CONCATENATE("      .AddAttribute(",Fill(B138,3),", ",QTFunc(C138),", ",QTFunc(D138),", ",QTFunc(E138),", ",F138,", ",G138,", ",H138,", ",I138,", ",QTFunc(K138),", ",QTFunc(L138),", ",QTFunc(M138),", ",QTFunc(O138),   ")")</f>
        <v xml:space="preserve">      .AddAttribute(  4, "Processed", "Processed ", "bool", 0, 0, true, false, "", "", "", "")</v>
      </c>
    </row>
    <row r="139" spans="1:16" x14ac:dyDescent="0.45">
      <c r="A139" t="s">
        <v>170</v>
      </c>
      <c r="B139">
        <v>5</v>
      </c>
      <c r="C139" t="s">
        <v>480</v>
      </c>
      <c r="D139" t="s">
        <v>480</v>
      </c>
      <c r="E139" t="s">
        <v>30</v>
      </c>
      <c r="F139">
        <v>0</v>
      </c>
      <c r="G139">
        <v>0</v>
      </c>
      <c r="H139" t="s">
        <v>57</v>
      </c>
      <c r="I139" t="s">
        <v>57</v>
      </c>
      <c r="J139" t="s">
        <v>57</v>
      </c>
      <c r="K139" s="4"/>
      <c r="L139" s="4"/>
      <c r="M139" s="4"/>
      <c r="O139" s="4" t="s">
        <v>482</v>
      </c>
      <c r="P139" s="2" t="str" cm="1">
        <f t="array" ref="P139">CONCATENATE("      .AddAttribute(",Fill(B139,3),", ",QTFunc(C139),", ",QTFunc(D139),", ",QTFunc(E139),", ",F139,", ",G139,", ",H139,", ",I139,", ",QTFunc(K139),", ",QTFunc(L139),", ",QTFunc(M139),", ",QTFunc(O139),   ")")</f>
        <v xml:space="preserve">      .AddAttribute(  5, "ProcessedAt", "ProcessedAt", "datetime", 0, 0, false, false, "", "", "", "time at which this data record was settled and posted")</v>
      </c>
    </row>
    <row r="140" spans="1:16" x14ac:dyDescent="0.45">
      <c r="K140" s="4"/>
      <c r="L140" s="4"/>
      <c r="M140" s="4"/>
      <c r="O140" s="4"/>
    </row>
    <row r="141" spans="1:16" x14ac:dyDescent="0.45">
      <c r="A141" t="s">
        <v>175</v>
      </c>
      <c r="B141">
        <v>0</v>
      </c>
      <c r="C141" t="s">
        <v>176</v>
      </c>
      <c r="D141" t="s">
        <v>450</v>
      </c>
      <c r="E141" t="s">
        <v>167</v>
      </c>
      <c r="H141" t="s">
        <v>168</v>
      </c>
      <c r="I141" t="s">
        <v>169</v>
      </c>
      <c r="K141" s="4"/>
      <c r="L141" s="4"/>
      <c r="M141" s="4"/>
      <c r="O141" s="4"/>
      <c r="P141" s="2" t="str">
        <f>CONCATENATE("   ",$P$1,".AddTable(","""",A141,""", ",CONCATENATE("EMyEntityType::",E141),", """,IF(ISERROR(FIND(".",C141)),"",RIGHT(C141, LEN(C141) - FIND(".",C141))),""", """,IF(ISERROR(FIND(".",C141)),"",LEFT(C141, FIND(".",C141)-1)),""", """,IF(ISERROR(FIND("::",D141)),"",RIGHT(D141, LEN(D141) - FIND("::",D141)-1)),""", """,IF(ISERROR(FIND("::",D141)),"",LEFT(D141, FIND("::",D141)-1)),""", """,H141,""", """,I141,""", """,O141,""")")</f>
        <v xml:space="preserve">   dictionary.AddTable("FamilyStatus", EMyEntityType::table, "FamilyStatus", "dbo", "FamilyStatus", "myCorporate", "System", "SQL", "")</v>
      </c>
    </row>
    <row r="142" spans="1:16" x14ac:dyDescent="0.45">
      <c r="A142" t="s">
        <v>175</v>
      </c>
      <c r="B142">
        <v>1</v>
      </c>
      <c r="C142" t="s">
        <v>134</v>
      </c>
      <c r="D142" t="s">
        <v>134</v>
      </c>
      <c r="E142" t="s">
        <v>20</v>
      </c>
      <c r="F142">
        <v>0</v>
      </c>
      <c r="G142">
        <v>0</v>
      </c>
      <c r="H142" t="s">
        <v>58</v>
      </c>
      <c r="I142" t="s">
        <v>58</v>
      </c>
      <c r="J142" t="s">
        <v>57</v>
      </c>
      <c r="K142" s="4"/>
      <c r="L142" s="4"/>
      <c r="M142" s="4"/>
      <c r="O142" s="4"/>
      <c r="P142" s="2" t="str" cm="1">
        <f t="array" ref="P142">CONCATENATE("      .AddAttribute(",Fill(B142,3),", ",QTFunc(C142),", ",QTFunc(D142),", ",QTFunc(E142),", ",F142,", ",G142,", ",H142,", ",I142,", ",QTFunc(K142),", ",QTFunc(L142),", ",QTFunc(M142),", ",QTFunc(O142),   ")")</f>
        <v xml:space="preserve">      .AddAttribute(  1, "ID", "ID", "integer", 0, 0, true, true, "", "", "", "")</v>
      </c>
    </row>
    <row r="143" spans="1:16" x14ac:dyDescent="0.45">
      <c r="A143" t="s">
        <v>175</v>
      </c>
      <c r="B143">
        <v>2</v>
      </c>
      <c r="C143" t="s">
        <v>129</v>
      </c>
      <c r="D143" t="s">
        <v>129</v>
      </c>
      <c r="E143" t="s">
        <v>19</v>
      </c>
      <c r="F143">
        <v>50</v>
      </c>
      <c r="G143">
        <v>0</v>
      </c>
      <c r="H143" t="s">
        <v>58</v>
      </c>
      <c r="I143" t="s">
        <v>57</v>
      </c>
      <c r="J143" t="s">
        <v>58</v>
      </c>
      <c r="K143" s="4"/>
      <c r="L143" s="4"/>
      <c r="M143" s="4"/>
      <c r="O143" s="4"/>
      <c r="P143" s="2" t="str" cm="1">
        <f t="array" ref="P143">CONCATENATE("      .AddAttribute(",Fill(B143,3),", ",QTFunc(C143),", ",QTFunc(D143),", ",QTFunc(E143),", ",F143,", ",G143,", ",H143,", ",I143,", ",QTFunc(K143),", ",QTFunc(L143),", ",QTFunc(M143),", ",QTFunc(O143),   ")")</f>
        <v xml:space="preserve">      .AddAttribute(  2, "Denotation", "Denotation", "varchar", 50, 0, true, false, "", "", "", "")</v>
      </c>
    </row>
    <row r="144" spans="1:16" x14ac:dyDescent="0.45">
      <c r="A144" t="s">
        <v>175</v>
      </c>
      <c r="B144">
        <v>3</v>
      </c>
      <c r="C144" t="s">
        <v>130</v>
      </c>
      <c r="D144" t="s">
        <v>130</v>
      </c>
      <c r="E144" t="s">
        <v>19</v>
      </c>
      <c r="F144">
        <v>10</v>
      </c>
      <c r="G144">
        <v>0</v>
      </c>
      <c r="H144" t="s">
        <v>57</v>
      </c>
      <c r="I144" t="s">
        <v>57</v>
      </c>
      <c r="J144" t="s">
        <v>57</v>
      </c>
      <c r="K144" s="4"/>
      <c r="L144" s="4"/>
      <c r="M144" s="4"/>
      <c r="O144" s="4"/>
      <c r="P144" s="2" t="str" cm="1">
        <f t="array" ref="P144">CONCATENATE("      .AddAttribute(",Fill(B144,3),", ",QTFunc(C144),", ",QTFunc(D144),", ",QTFunc(E144),", ",F144,", ",G144,", ",H144,", ",I144,", ",QTFunc(K144),", ",QTFunc(L144),", ",QTFunc(M144),", ",QTFunc(O144),   ")")</f>
        <v xml:space="preserve">      .AddAttribute(  3, "Abbreviation", "Abbreviation", "varchar", 10, 0, false, false, "", "", "", "")</v>
      </c>
    </row>
    <row r="145" spans="1:16" x14ac:dyDescent="0.45">
      <c r="A145" t="s">
        <v>175</v>
      </c>
      <c r="B145">
        <v>4</v>
      </c>
      <c r="C145" t="s">
        <v>131</v>
      </c>
      <c r="D145" t="s">
        <v>131</v>
      </c>
      <c r="E145" t="s">
        <v>77</v>
      </c>
      <c r="F145">
        <v>0</v>
      </c>
      <c r="G145">
        <v>0</v>
      </c>
      <c r="H145" t="s">
        <v>57</v>
      </c>
      <c r="I145" t="s">
        <v>57</v>
      </c>
      <c r="J145" t="s">
        <v>57</v>
      </c>
      <c r="K145" s="4"/>
      <c r="L145" s="4"/>
      <c r="M145" s="4"/>
      <c r="O145" s="4"/>
      <c r="P145" s="2" t="str" cm="1">
        <f t="array" ref="P145">CONCATENATE("      .AddAttribute(",Fill(B145,3),", ",QTFunc(C145),", ",QTFunc(D145),", ",QTFunc(E145),", ",F145,", ",G145,", ",H145,", ",I145,", ",QTFunc(K145),", ",QTFunc(L145),", ",QTFunc(M145),", ",QTFunc(O145),   ")")</f>
        <v xml:space="preserve">      .AddAttribute(  4, "Description", "Description", "text", 0, 0, false, false, "", "", "", "")</v>
      </c>
    </row>
    <row r="146" spans="1:16" x14ac:dyDescent="0.45">
      <c r="A146" t="s">
        <v>175</v>
      </c>
      <c r="B146">
        <v>5</v>
      </c>
      <c r="C146" t="s">
        <v>177</v>
      </c>
      <c r="D146" t="s">
        <v>177</v>
      </c>
      <c r="E146" t="s">
        <v>27</v>
      </c>
      <c r="F146">
        <v>0</v>
      </c>
      <c r="G146">
        <v>0</v>
      </c>
      <c r="H146" t="s">
        <v>57</v>
      </c>
      <c r="I146" t="s">
        <v>57</v>
      </c>
      <c r="J146" t="s">
        <v>57</v>
      </c>
      <c r="K146" s="4"/>
      <c r="L146" s="4"/>
      <c r="M146" s="4"/>
      <c r="O146" s="4"/>
      <c r="P146" s="2" t="str" cm="1">
        <f t="array" ref="P146">CONCATENATE("      .AddAttribute(",Fill(B146,3),", ",QTFunc(C146),", ",QTFunc(D146),", ",QTFunc(E146),", ",F146,", ",G146,", ",H146,", ",I146,", ",QTFunc(K146),", ",QTFunc(L146),", ",QTFunc(M146),", ",QTFunc(O146),   ")")</f>
        <v xml:space="preserve">      .AddAttribute(  5, "Coupled", "Coupled", "bool", 0, 0, false, false, "", "", "", "")</v>
      </c>
    </row>
    <row r="147" spans="1:16" x14ac:dyDescent="0.45">
      <c r="A147" t="s">
        <v>175</v>
      </c>
      <c r="B147">
        <v>6</v>
      </c>
      <c r="C147" t="s">
        <v>178</v>
      </c>
      <c r="D147" t="s">
        <v>178</v>
      </c>
      <c r="E147" t="s">
        <v>27</v>
      </c>
      <c r="F147">
        <v>0</v>
      </c>
      <c r="G147">
        <v>0</v>
      </c>
      <c r="H147" t="s">
        <v>57</v>
      </c>
      <c r="I147" t="s">
        <v>57</v>
      </c>
      <c r="J147" t="s">
        <v>57</v>
      </c>
      <c r="K147" s="4"/>
      <c r="L147" s="4"/>
      <c r="M147" s="4"/>
      <c r="O147" s="4"/>
      <c r="P147" s="2" t="str" cm="1">
        <f t="array" ref="P147">CONCATENATE("      .AddAttribute(",Fill(B147,3),", ",QTFunc(C147),", ",QTFunc(D147),", ",QTFunc(E147),", ",F147,", ",G147,", ",H147,", ",I147,", ",QTFunc(K147),", ",QTFunc(L147),", ",QTFunc(M147),", ",QTFunc(O147),   ")")</f>
        <v xml:space="preserve">      .AddAttribute(  6, "NeedDate", "NeedDate", "bool", 0, 0, false, false, "", "", "", "")</v>
      </c>
    </row>
    <row r="148" spans="1:16" x14ac:dyDescent="0.45">
      <c r="A148" t="s">
        <v>175</v>
      </c>
      <c r="B148">
        <v>7</v>
      </c>
      <c r="C148" t="s">
        <v>133</v>
      </c>
      <c r="D148" t="s">
        <v>133</v>
      </c>
      <c r="E148" t="s">
        <v>27</v>
      </c>
      <c r="F148">
        <v>0</v>
      </c>
      <c r="G148">
        <v>0</v>
      </c>
      <c r="H148" t="s">
        <v>57</v>
      </c>
      <c r="I148" t="s">
        <v>57</v>
      </c>
      <c r="J148" t="s">
        <v>57</v>
      </c>
      <c r="K148" s="4"/>
      <c r="L148" s="4"/>
      <c r="M148" s="4"/>
      <c r="O148" s="4" t="s">
        <v>242</v>
      </c>
      <c r="P148" s="2" t="str" cm="1">
        <f t="array" ref="P148">CONCATENATE("      .AddAttribute(",Fill(B148,3),", ",QTFunc(C148),", ",QTFunc(D148),", ",QTFunc(E148),", ",F148,", ",G148,", ",H148,", ",I148,", ",QTFunc(K148),", ",QTFunc(L148),", ",QTFunc(M148),", ",QTFunc(O148),   ")")</f>
        <v xml:space="preserve">      .AddAttribute(  7, "UrgentValue", "UrgentValue", "bool", 0, 0, false, false, "", "", "", "boolean value that makes this entity of phone type to a system value (cannot be changed as it is used directly by the program)")</v>
      </c>
    </row>
    <row r="149" spans="1:16" x14ac:dyDescent="0.45">
      <c r="O149" s="4"/>
    </row>
    <row r="150" spans="1:16" x14ac:dyDescent="0.45">
      <c r="A150" t="s">
        <v>303</v>
      </c>
      <c r="C150" t="s">
        <v>337</v>
      </c>
      <c r="D150" t="s">
        <v>388</v>
      </c>
      <c r="E150" t="s">
        <v>167</v>
      </c>
      <c r="H150" t="s">
        <v>168</v>
      </c>
      <c r="I150" t="s">
        <v>169</v>
      </c>
      <c r="K150" s="4"/>
      <c r="L150" s="4"/>
      <c r="M150" s="4"/>
      <c r="O150" s="4" t="s">
        <v>510</v>
      </c>
      <c r="P150" s="2" t="str">
        <f>CONCATENATE("   ",$P$1,".AddTable(","""",A150,""", ",CONCATENATE("EMyEntityType::",E150),", """,IF(ISERROR(FIND(".",C150)),"",RIGHT(C150, LEN(C150) - FIND(".",C150))),""", """,IF(ISERROR(FIND(".",C150)),"",LEFT(C150, FIND(".",C150)-1)),""", """,IF(ISERROR(FIND("::",D150)),"",RIGHT(D150, LEN(D150) - FIND("::",D150)-1)),""", """,IF(ISERROR(FIND("::",D150)),"",LEFT(D150, FIND("::",D150)-1)),""", """,H150,""", """,I150,""", """,O150,""")")</f>
        <v xml:space="preserve">   dictionary.AddTable("TaxClasses", EMyEntityType::table, "TaxClasses", "dbo", "TaxClasses", "myHR", "System", "SQL", "tax class in germany to use it with employees (not a range, but very similar)")</v>
      </c>
    </row>
    <row r="151" spans="1:16" x14ac:dyDescent="0.45">
      <c r="A151" t="s">
        <v>303</v>
      </c>
      <c r="B151">
        <v>1</v>
      </c>
      <c r="C151" t="s">
        <v>134</v>
      </c>
      <c r="D151" t="s">
        <v>134</v>
      </c>
      <c r="E151" t="s">
        <v>20</v>
      </c>
      <c r="F151">
        <v>0</v>
      </c>
      <c r="G151">
        <v>0</v>
      </c>
      <c r="H151" t="s">
        <v>58</v>
      </c>
      <c r="I151" t="s">
        <v>58</v>
      </c>
      <c r="J151" t="s">
        <v>57</v>
      </c>
      <c r="K151" s="4"/>
      <c r="L151" s="4"/>
      <c r="M151" s="4"/>
      <c r="O151" s="4" t="s">
        <v>515</v>
      </c>
      <c r="P151" s="2" t="str" cm="1">
        <f t="array" ref="P151">CONCATENATE("      .AddAttribute(",Fill(B151,3),", ",QTFunc(C151),", ",QTFunc(D151),", ",QTFunc(E151),", ",F151,", ",G151,", ",H151,", ",I151,", ",QTFunc(K151),", ",QTFunc(L151),", ",QTFunc(M151),", ",QTFunc(O151),   ")")</f>
        <v xml:space="preserve">      .AddAttribute(  1, "ID", "ID", "integer", 0, 0, true, true, "", "", "", "unique identification number for a record in this domain with tax classes, used as key and attribute for relationships")</v>
      </c>
    </row>
    <row r="152" spans="1:16" x14ac:dyDescent="0.45">
      <c r="A152" t="s">
        <v>303</v>
      </c>
      <c r="B152">
        <v>2</v>
      </c>
      <c r="C152" t="s">
        <v>129</v>
      </c>
      <c r="D152" t="s">
        <v>129</v>
      </c>
      <c r="E152" t="s">
        <v>19</v>
      </c>
      <c r="F152">
        <v>50</v>
      </c>
      <c r="G152">
        <v>0</v>
      </c>
      <c r="H152" t="s">
        <v>58</v>
      </c>
      <c r="I152" t="s">
        <v>57</v>
      </c>
      <c r="J152" t="s">
        <v>58</v>
      </c>
      <c r="K152" s="4"/>
      <c r="L152" s="4"/>
      <c r="M152" s="4"/>
      <c r="O152" s="4" t="s">
        <v>512</v>
      </c>
      <c r="P152" s="2" t="str" cm="1">
        <f t="array" ref="P152">CONCATENATE("      .AddAttribute(",Fill(B152,3),", ",QTFunc(C152),", ",QTFunc(D152),", ",QTFunc(E152),", ",F152,", ",G152,", ",H152,", ",I152,", ",QTFunc(K152),", ",QTFunc(L152),", ",QTFunc(M152),", ",QTFunc(O152),   ")")</f>
        <v xml:space="preserve">      .AddAttribute(  2, "Denotation", "Denotation", "varchar", 50, 0, true, false, "", "", "", "unique identification number for a record in this domain with tax class types, used in the programm to indentify this tax class, as selection in comboboxes and such")</v>
      </c>
    </row>
    <row r="153" spans="1:16" x14ac:dyDescent="0.45">
      <c r="A153" t="s">
        <v>303</v>
      </c>
      <c r="B153">
        <v>3</v>
      </c>
      <c r="C153" t="s">
        <v>130</v>
      </c>
      <c r="D153" t="s">
        <v>130</v>
      </c>
      <c r="E153" t="s">
        <v>19</v>
      </c>
      <c r="F153">
        <v>10</v>
      </c>
      <c r="G153">
        <v>0</v>
      </c>
      <c r="H153" t="s">
        <v>57</v>
      </c>
      <c r="I153" t="s">
        <v>57</v>
      </c>
      <c r="J153" t="s">
        <v>57</v>
      </c>
      <c r="K153" s="4"/>
      <c r="L153" s="4"/>
      <c r="M153" s="4"/>
      <c r="O153" s="4" t="s">
        <v>511</v>
      </c>
      <c r="P153" s="2" t="str" cm="1">
        <f t="array" ref="P153">CONCATENATE("      .AddAttribute(",Fill(B153,3),", ",QTFunc(C153),", ",QTFunc(D153),", ",QTFunc(E153),", ",F153,", ",G153,", ",H153,", ",I153,", ",QTFunc(K153),", ",QTFunc(L153),", ",QTFunc(M153),", ",QTFunc(O153),   ")")</f>
        <v xml:space="preserve">      .AddAttribute(  3, "Abbreviation", "Abbreviation", "varchar", 10, 0, false, false, "", "", "", "unique abbreviation of a tax class entity in the domain, used in overviews and reports")</v>
      </c>
    </row>
    <row r="154" spans="1:16" x14ac:dyDescent="0.45">
      <c r="A154" t="s">
        <v>303</v>
      </c>
      <c r="B154">
        <v>4</v>
      </c>
      <c r="C154" t="s">
        <v>131</v>
      </c>
      <c r="D154" t="s">
        <v>131</v>
      </c>
      <c r="E154" t="s">
        <v>77</v>
      </c>
      <c r="F154">
        <v>0</v>
      </c>
      <c r="G154">
        <v>0</v>
      </c>
      <c r="H154" t="s">
        <v>57</v>
      </c>
      <c r="I154" t="s">
        <v>57</v>
      </c>
      <c r="J154" t="s">
        <v>57</v>
      </c>
      <c r="K154" s="4"/>
      <c r="L154" s="4"/>
      <c r="M154" s="4"/>
      <c r="O154" s="4" t="s">
        <v>514</v>
      </c>
      <c r="P154" s="2" t="str" cm="1">
        <f t="array" ref="P154">CONCATENATE("      .AddAttribute(",Fill(B154,3),", ",QTFunc(C154),", ",QTFunc(D154),", ",QTFunc(E154),", ",F154,", ",G154,", ",H154,", ",I154,", ",QTFunc(K154),", ",QTFunc(L154),", ",QTFunc(M154),", ",QTFunc(O154),   ")")</f>
        <v xml:space="preserve">      .AddAttribute(  4, "Description", "Description", "text", 0, 0, false, false, "", "", "", "description for this tax class, used for the program")</v>
      </c>
    </row>
    <row r="155" spans="1:16" x14ac:dyDescent="0.45">
      <c r="A155" t="s">
        <v>303</v>
      </c>
      <c r="B155">
        <v>5</v>
      </c>
      <c r="C155" t="s">
        <v>177</v>
      </c>
      <c r="D155" t="s">
        <v>177</v>
      </c>
      <c r="E155" t="s">
        <v>27</v>
      </c>
      <c r="F155">
        <v>0</v>
      </c>
      <c r="G155">
        <v>0</v>
      </c>
      <c r="H155" t="s">
        <v>58</v>
      </c>
      <c r="I155" t="s">
        <v>57</v>
      </c>
      <c r="J155" t="s">
        <v>57</v>
      </c>
      <c r="K155" s="4"/>
      <c r="L155" s="4"/>
      <c r="M155" s="4"/>
      <c r="O155" s="4" t="s">
        <v>513</v>
      </c>
      <c r="P155" s="2" t="str" cm="1">
        <f t="array" ref="P155">CONCATENATE("      .AddAttribute(",Fill(B155,3),", ",QTFunc(C155),", ",QTFunc(D155),", ",QTFunc(E155),", ",F155,", ",G155,", ",H155,", ",I155,", ",QTFunc(K155),", ",QTFunc(L155),", ",QTFunc(M155),", ",QTFunc(O155),   ")")</f>
        <v xml:space="preserve">      .AddAttribute(  5, "Coupled", "Coupled", "bool", 0, 0, true, false, "", "", "", "Indicator whether this tax class applies to married couples or registered civil partnerships")</v>
      </c>
    </row>
    <row r="156" spans="1:16" x14ac:dyDescent="0.45">
      <c r="A156" t="s">
        <v>303</v>
      </c>
      <c r="B156">
        <v>6</v>
      </c>
      <c r="C156" t="s">
        <v>133</v>
      </c>
      <c r="D156" t="s">
        <v>133</v>
      </c>
      <c r="E156" t="s">
        <v>27</v>
      </c>
      <c r="F156">
        <v>0</v>
      </c>
      <c r="G156">
        <v>0</v>
      </c>
      <c r="H156" t="s">
        <v>57</v>
      </c>
      <c r="I156" t="s">
        <v>57</v>
      </c>
      <c r="J156" t="s">
        <v>57</v>
      </c>
      <c r="K156" s="4"/>
      <c r="L156" s="4"/>
      <c r="M156" s="4"/>
      <c r="O156" s="4" t="s">
        <v>338</v>
      </c>
      <c r="P156" s="2" t="str" cm="1">
        <f t="array" ref="P156">CONCATENATE("      .AddAttribute(",Fill(B156,3),", ",QTFunc(C156),", ",QTFunc(D156),", ",QTFunc(E156),", ",F156,", ",G156,", ",H156,", ",I156,", ",QTFunc(K156),", ",QTFunc(L156),", ",QTFunc(M156),", ",QTFunc(O156),   ")")</f>
        <v xml:space="preserve">      .AddAttribute(  6, "UrgentValue", "UrgentValue", "bool", 0, 0, false, false, "", "", "", "boolean value that makes this entity of tax classes to a system value (cannot be changed as it is used directly by the program)")</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336D8-16AB-4AA5-BD23-7DDE32F337AB}">
  <sheetPr codeName="Tabelle4"/>
  <dimension ref="A1:R42"/>
  <sheetViews>
    <sheetView topLeftCell="A10" workbookViewId="0">
      <selection activeCell="R41" sqref="R41:R42"/>
    </sheetView>
  </sheetViews>
  <sheetFormatPr baseColWidth="10" defaultRowHeight="14.25" x14ac:dyDescent="0.45"/>
  <cols>
    <col min="1" max="1" width="15.86328125" customWidth="1"/>
    <col min="2" max="2" width="26.9296875" customWidth="1"/>
    <col min="3" max="3" width="13.46484375" customWidth="1"/>
    <col min="4" max="4" width="37.46484375" customWidth="1"/>
    <col min="5" max="5" width="3.59765625" customWidth="1"/>
    <col min="6" max="6" width="5.59765625" customWidth="1"/>
    <col min="7" max="7" width="3.59765625" customWidth="1"/>
    <col min="8" max="8" width="5.59765625" customWidth="1"/>
    <col min="9" max="9" width="3.59765625" customWidth="1"/>
    <col min="10" max="10" width="5.59765625" customWidth="1"/>
    <col min="11" max="11" width="3.59765625" customWidth="1"/>
    <col min="12" max="12" width="5.59765625" customWidth="1"/>
    <col min="13" max="13" width="3.59765625" customWidth="1"/>
    <col min="14" max="14" width="5.59765625" customWidth="1"/>
    <col min="15" max="15" width="3.59765625" customWidth="1"/>
    <col min="16" max="16" width="5.59765625" customWidth="1"/>
    <col min="18" max="18" width="60.1328125" customWidth="1"/>
  </cols>
  <sheetData>
    <row r="1" spans="1:18" x14ac:dyDescent="0.45">
      <c r="A1" t="s">
        <v>81</v>
      </c>
      <c r="B1" t="s">
        <v>82</v>
      </c>
    </row>
    <row r="2" spans="1:18" x14ac:dyDescent="0.45">
      <c r="A2" t="s">
        <v>23</v>
      </c>
      <c r="B2" t="s">
        <v>97</v>
      </c>
      <c r="C2" t="s">
        <v>90</v>
      </c>
      <c r="D2" t="s">
        <v>98</v>
      </c>
      <c r="E2">
        <v>1</v>
      </c>
      <c r="F2" t="s">
        <v>58</v>
      </c>
      <c r="G2">
        <v>2</v>
      </c>
      <c r="H2" t="s">
        <v>57</v>
      </c>
      <c r="I2">
        <v>3</v>
      </c>
      <c r="J2" t="s">
        <v>57</v>
      </c>
      <c r="R2" t="str" cm="1">
        <f t="array" ref="R2">CONCATENATE("   ",$R$1,".FindTable(""",A2,""").AddIndex(""",B2,""", ",CONCATENATE("EMyIndexType::",C2),", """,D2,""", ",ListePaare(E2:P2)," );")</f>
        <v xml:space="preserve">   .FindTable("Berlin").AddIndex("idXBerlinStrasse", EMyIndexType::undefined, "Testindex für die Tabelle", { { 1, true }, { 2, false }, { 3, false } } );</v>
      </c>
    </row>
    <row r="8" spans="1:18" x14ac:dyDescent="0.45">
      <c r="A8" t="s">
        <v>100</v>
      </c>
      <c r="B8" t="s">
        <v>208</v>
      </c>
      <c r="C8" t="s">
        <v>90</v>
      </c>
      <c r="D8" t="s">
        <v>209</v>
      </c>
      <c r="E8">
        <v>4</v>
      </c>
      <c r="F8" t="s">
        <v>58</v>
      </c>
      <c r="G8">
        <v>5</v>
      </c>
      <c r="H8" t="s">
        <v>58</v>
      </c>
      <c r="R8" t="str" cm="1">
        <f t="array" ref="R8">CONCATENATE("   .AddIndex(""",B8,""", ",CONCATENATE("EMyIndexType::",C8),", """,D8,""", ",ListePaare(E8:P8)," )")</f>
        <v xml:space="preserve">   .AddIndex("idx_Address_City_Street", EMyIndexType::undefined, "access path to search for city / street combinations in addresses", { { 4, true }, { 5, true } } )</v>
      </c>
    </row>
    <row r="10" spans="1:18" x14ac:dyDescent="0.45">
      <c r="A10" t="s">
        <v>101</v>
      </c>
      <c r="B10" t="s">
        <v>206</v>
      </c>
      <c r="C10" t="s">
        <v>182</v>
      </c>
      <c r="D10" t="s">
        <v>207</v>
      </c>
      <c r="E10">
        <v>2</v>
      </c>
      <c r="F10" t="s">
        <v>58</v>
      </c>
      <c r="R10" t="str" cm="1">
        <f t="array" ref="R10">CONCATENATE("   .AddIndex(""",B10,""", ",CONCATENATE("EMyIndexType::",C10),", """,D10,""", ",ListePaare(E10:P10)," )")</f>
        <v xml:space="preserve">   .AddIndex("uk_AddressType_Denotation", EMyIndexType::key, "unique / representative denotation for an addresstye as key canditate", { { 2, true } } )</v>
      </c>
    </row>
    <row r="12" spans="1:18" x14ac:dyDescent="0.45">
      <c r="A12" t="s">
        <v>102</v>
      </c>
      <c r="B12" t="s">
        <v>226</v>
      </c>
      <c r="C12" t="s">
        <v>90</v>
      </c>
      <c r="D12" t="s">
        <v>227</v>
      </c>
      <c r="E12">
        <v>4</v>
      </c>
      <c r="F12" t="s">
        <v>58</v>
      </c>
      <c r="R12" t="str" cm="1">
        <f t="array" ref="R12">CONCATENATE("   .AddIndex(""",B12,""", ",CONCATENATE("EMyIndexType::",C12),", """,D12,""", ",ListePaare(E12:P12)," )")</f>
        <v xml:space="preserve">   .AddIndex("idx_Banking_IBAN", EMyIndexType::undefined, "access path to search a specific IBAN account number in data", { { 4, true } } )</v>
      </c>
    </row>
    <row r="13" spans="1:18" x14ac:dyDescent="0.45">
      <c r="A13" t="s">
        <v>102</v>
      </c>
      <c r="B13" t="s">
        <v>377</v>
      </c>
      <c r="C13" t="s">
        <v>90</v>
      </c>
      <c r="D13" t="s">
        <v>378</v>
      </c>
      <c r="E13">
        <v>5</v>
      </c>
      <c r="F13" t="s">
        <v>58</v>
      </c>
      <c r="R13" t="str" cm="1">
        <f t="array" ref="R13">CONCATENATE("   .AddIndex(""",B13,""", ",CONCATENATE("EMyIndexType::",C13),", """,D13,""", ",ListePaare(E13:P13)," )")</f>
        <v xml:space="preserve">   .AddIndex("idx_Banking_BIC", EMyIndexType::undefined, "access path to search a specific BIC in data", { { 5, true } } )</v>
      </c>
    </row>
    <row r="15" spans="1:18" x14ac:dyDescent="0.45">
      <c r="A15" t="s">
        <v>103</v>
      </c>
      <c r="B15" t="s">
        <v>235</v>
      </c>
      <c r="C15" t="s">
        <v>182</v>
      </c>
      <c r="D15" t="s">
        <v>236</v>
      </c>
      <c r="E15">
        <v>2</v>
      </c>
      <c r="F15" t="s">
        <v>58</v>
      </c>
      <c r="R15" t="str" cm="1">
        <f t="array" ref="R15">CONCATENATE("   .AddIndex(""",B15,""", ",CONCATENATE("EMyIndexType::",C15),", """,D15,""", ",ListePaare(E15:P15)," )")</f>
        <v xml:space="preserve">   .AddIndex("uk_BankingTypes_Denotation", EMyIndexType::key, "unique / representative denotation for an banking type as key canditate for this entity", { { 2, true } } )</v>
      </c>
    </row>
    <row r="17" spans="1:18" x14ac:dyDescent="0.45">
      <c r="A17" t="s">
        <v>113</v>
      </c>
      <c r="B17" t="s">
        <v>431</v>
      </c>
      <c r="C17" t="s">
        <v>90</v>
      </c>
      <c r="D17" t="s">
        <v>432</v>
      </c>
      <c r="E17">
        <v>3</v>
      </c>
      <c r="F17" t="s">
        <v>58</v>
      </c>
      <c r="G17">
        <v>4</v>
      </c>
      <c r="H17" t="s">
        <v>58</v>
      </c>
      <c r="R17" t="str" cm="1">
        <f t="array" ref="R17">CONCATENATE("   .AddIndex(""",B17,""", ",CONCATENATE("EMyIndexType::",C17),", """,D17,""", ",ListePaare(E17:P17)," )")</f>
        <v xml:space="preserve">   .AddIndex("idx_Phone_Number", EMyIndexType::undefined, "access path to search a phone number", { { 3, true }, { 4, true } } )</v>
      </c>
    </row>
    <row r="19" spans="1:18" x14ac:dyDescent="0.45">
      <c r="A19" t="s">
        <v>109</v>
      </c>
      <c r="B19" t="s">
        <v>441</v>
      </c>
      <c r="C19" t="s">
        <v>90</v>
      </c>
      <c r="D19" t="s">
        <v>442</v>
      </c>
      <c r="E19">
        <v>3</v>
      </c>
      <c r="F19" t="s">
        <v>58</v>
      </c>
      <c r="R19" t="str" cm="1">
        <f t="array" ref="R19">CONCATENATE("   .AddIndex(""",B19,""", ",CONCATENATE("EMyIndexType::",C19),", """,D19,""", ",ListePaare(E19:P19)," )")</f>
        <v xml:space="preserve">   .AddIndex("idxInternet_Address", EMyIndexType::undefined, "access path to seach a address of internet connection", { { 3, true } } )</v>
      </c>
    </row>
    <row r="21" spans="1:18" x14ac:dyDescent="0.45">
      <c r="A21" t="s">
        <v>105</v>
      </c>
      <c r="B21" t="s">
        <v>371</v>
      </c>
      <c r="C21" t="s">
        <v>182</v>
      </c>
      <c r="D21" t="s">
        <v>372</v>
      </c>
      <c r="E21">
        <v>2</v>
      </c>
      <c r="F21" t="s">
        <v>58</v>
      </c>
      <c r="R21" t="str" cm="1">
        <f t="array" ref="R21">CONCATENATE("   .AddIndex(""",B21,""", ",CONCATENATE("EMyIndexType::",C21),", """,D21,""", ",ListePaare(E21:P21)," )")</f>
        <v xml:space="preserve">   .AddIndex("uk_Departments_Denotation", EMyIndexType::key, "unique / representative denotation forthe department as key canditate for this entity", { { 2, true } } )</v>
      </c>
    </row>
    <row r="22" spans="1:18" x14ac:dyDescent="0.45">
      <c r="A22" t="s">
        <v>105</v>
      </c>
      <c r="B22" t="s">
        <v>413</v>
      </c>
      <c r="C22" t="s">
        <v>90</v>
      </c>
      <c r="D22" t="s">
        <v>412</v>
      </c>
      <c r="E22">
        <v>3</v>
      </c>
      <c r="F22" t="s">
        <v>58</v>
      </c>
      <c r="R22" t="str" cm="1">
        <f t="array" ref="R22">CONCATENATE("   .AddIndex(""",B22,""", ",CONCATENATE("EMyIndexType::",C22),", """,D22,""", ",ListePaare(E22:P22)," )")</f>
        <v xml:space="preserve">   .AddIndex("idx_Departments_Abbr", EMyIndexType::undefined, "search pass for abbreviations of departments", { { 3, true } } )</v>
      </c>
    </row>
    <row r="27" spans="1:18" x14ac:dyDescent="0.45">
      <c r="A27" t="s">
        <v>107</v>
      </c>
      <c r="B27" t="s">
        <v>369</v>
      </c>
      <c r="C27" t="s">
        <v>182</v>
      </c>
      <c r="D27" t="s">
        <v>370</v>
      </c>
      <c r="E27">
        <v>2</v>
      </c>
      <c r="F27" t="s">
        <v>58</v>
      </c>
      <c r="R27" t="str" cm="1">
        <f t="array" ref="R27">CONCATENATE("   .AddIndex(""",B27,""", ",CONCATENATE("EMyIndexType::",C27),", """,D27,""", ",ListePaare(E27:P27)," )")</f>
        <v xml:space="preserve">   .AddIndex("uk_FamilyTypes_Denotation", EMyIndexType::key, "unique / representative denotation for a family type (choosen gender) as key canditate for this entity", { { 2, true } } )</v>
      </c>
    </row>
    <row r="31" spans="1:18" x14ac:dyDescent="0.45">
      <c r="A31" t="s">
        <v>104</v>
      </c>
      <c r="B31" t="s">
        <v>373</v>
      </c>
      <c r="C31" t="s">
        <v>182</v>
      </c>
      <c r="D31" t="s">
        <v>375</v>
      </c>
      <c r="E31">
        <v>2</v>
      </c>
      <c r="F31" t="s">
        <v>58</v>
      </c>
      <c r="R31" t="str" cm="1">
        <f t="array" ref="R31">CONCATENATE("   .AddIndex(""",B31,""", ",CONCATENATE("EMyIndexType::",C31),", """,D31,""", ",ListePaare(E31:P31)," )")</f>
        <v xml:space="preserve">   .AddIndex("uk_Countries_Denotation", EMyIndexType::key, "unique / representative official name of the country as key canditate for this entity", { { 2, true } } )</v>
      </c>
    </row>
    <row r="32" spans="1:18" x14ac:dyDescent="0.45">
      <c r="A32" t="s">
        <v>104</v>
      </c>
      <c r="B32" t="s">
        <v>374</v>
      </c>
      <c r="C32" t="s">
        <v>182</v>
      </c>
      <c r="D32" t="s">
        <v>376</v>
      </c>
      <c r="E32">
        <v>6</v>
      </c>
      <c r="F32" t="s">
        <v>58</v>
      </c>
      <c r="R32" t="str" cm="1">
        <f t="array" ref="R32">CONCATENATE("   .AddIndex(""",B32,""", ",CONCATENATE("EMyIndexType::",C32),", """,D32,""", ",ListePaare(E32:P32)," )")</f>
        <v xml:space="preserve">   .AddIndex("uk_Countries_ISOCode", EMyIndexType::key, "unique / representative official iso code of the country as key canditate for this entity", { { 6, true } } )</v>
      </c>
    </row>
    <row r="34" spans="1:18" x14ac:dyDescent="0.45">
      <c r="A34" t="s">
        <v>106</v>
      </c>
      <c r="B34" t="s">
        <v>265</v>
      </c>
      <c r="C34" t="s">
        <v>182</v>
      </c>
      <c r="D34" t="s">
        <v>269</v>
      </c>
      <c r="E34">
        <v>2</v>
      </c>
      <c r="F34" t="s">
        <v>58</v>
      </c>
      <c r="R34" t="str" cm="1">
        <f t="array" ref="R34">CONCATENATE("   .AddIndex(""",B34,""", ",CONCATENATE("EMyIndexType::",C34),", """,D34,""", ",ListePaare(E34:P34)," )")</f>
        <v xml:space="preserve">   .AddIndex("uk_Employees_PersonNumber", EMyIndexType::key, "unique personal number of a employee in company (key canditate)", { { 2, true } } )</v>
      </c>
    </row>
    <row r="35" spans="1:18" x14ac:dyDescent="0.45">
      <c r="A35" t="s">
        <v>106</v>
      </c>
      <c r="B35" t="s">
        <v>268</v>
      </c>
      <c r="C35" t="s">
        <v>182</v>
      </c>
      <c r="D35" t="s">
        <v>270</v>
      </c>
      <c r="E35">
        <v>8</v>
      </c>
      <c r="F35" t="s">
        <v>58</v>
      </c>
      <c r="R35" t="str" cm="1">
        <f t="array" ref="R35">CONCATENATE("   .AddIndex(""",B35,""", ",CONCATENATE("EMyIndexType::",C35),", """,D35,""", ",ListePaare(E35:P35)," )")</f>
        <v xml:space="preserve">   .AddIndex("uk_Employees_SocialNumber", EMyIndexType::key, "extern unique number of an employee (key canditate)", { { 8, true } } )</v>
      </c>
    </row>
    <row r="36" spans="1:18" x14ac:dyDescent="0.45">
      <c r="A36" t="s">
        <v>106</v>
      </c>
      <c r="B36" t="s">
        <v>266</v>
      </c>
      <c r="C36" t="s">
        <v>90</v>
      </c>
      <c r="D36" t="s">
        <v>267</v>
      </c>
      <c r="E36">
        <v>6</v>
      </c>
      <c r="F36" t="s">
        <v>58</v>
      </c>
      <c r="R36" t="str" cm="1">
        <f t="array" ref="R36">CONCATENATE("   .AddIndex(""",B36,""", ",CONCATENATE("EMyIndexType::",C36),", """,D36,""", ",ListePaare(E36:P36)," )")</f>
        <v xml:space="preserve">   .AddIndex("idx_Employees_JobSpec", EMyIndexType::undefined, "access path to search for informations about job specifications", { { 6, true } } )</v>
      </c>
    </row>
    <row r="37" spans="1:18" x14ac:dyDescent="0.45">
      <c r="A37" t="s">
        <v>106</v>
      </c>
      <c r="B37" t="s">
        <v>279</v>
      </c>
      <c r="C37" t="s">
        <v>90</v>
      </c>
      <c r="D37" t="s">
        <v>280</v>
      </c>
      <c r="E37">
        <v>9</v>
      </c>
      <c r="F37" t="s">
        <v>58</v>
      </c>
      <c r="R37" t="str" cm="1">
        <f t="array" ref="R37">CONCATENATE("   .AddIndex(""",B37,""", ",CONCATENATE("EMyIndexType::",C37),", """,D37,""", ",ListePaare(E37:P37)," )")</f>
        <v xml:space="preserve">   .AddIndex("idx_Employees_Active", EMyIndexType::undefined, "access path to search / filter all active employees", { { 9, true } } )</v>
      </c>
    </row>
    <row r="39" spans="1:18" x14ac:dyDescent="0.45">
      <c r="A39" t="s">
        <v>112</v>
      </c>
      <c r="B39" t="s">
        <v>423</v>
      </c>
      <c r="C39" t="s">
        <v>90</v>
      </c>
      <c r="D39" t="s">
        <v>424</v>
      </c>
      <c r="E39">
        <v>2</v>
      </c>
      <c r="F39" t="s">
        <v>58</v>
      </c>
      <c r="G39">
        <v>3</v>
      </c>
      <c r="H39" t="s">
        <v>58</v>
      </c>
      <c r="R39" t="str" cm="1">
        <f t="array" ref="R39">CONCATENATE("   .AddIndex(""",B39,""", ",CONCATENATE("EMyIndexType::",C39),", """,D39,""", ",ListePaare(E39:P39)," )")</f>
        <v xml:space="preserve">   .AddIndex("idx_Person_Name_Firstname", EMyIndexType::undefined, "access path to search for name and / or firstname in a person", { { 2, true }, { 3, true } } )</v>
      </c>
    </row>
    <row r="41" spans="1:18" x14ac:dyDescent="0.45">
      <c r="A41" t="s">
        <v>303</v>
      </c>
      <c r="B41" t="s">
        <v>508</v>
      </c>
      <c r="C41" t="s">
        <v>182</v>
      </c>
      <c r="D41" t="s">
        <v>506</v>
      </c>
      <c r="E41">
        <v>2</v>
      </c>
      <c r="F41" t="s">
        <v>58</v>
      </c>
      <c r="R41" t="str" cm="1">
        <f t="array" ref="R41">CONCATENATE("   .AddIndex(""",B41,""", ",CONCATENATE("EMyIndexType::",C41),", """,D41,""", ",ListePaare(E41:P41)," )")</f>
        <v xml:space="preserve">   .AddIndex("uk_TaxClasses_Denotation", EMyIndexType::key, "unique / representative official denotation of the tax class as key canditate for this entity", { { 2, true } } )</v>
      </c>
    </row>
    <row r="42" spans="1:18" x14ac:dyDescent="0.45">
      <c r="A42" t="s">
        <v>303</v>
      </c>
      <c r="B42" t="s">
        <v>509</v>
      </c>
      <c r="C42" t="s">
        <v>182</v>
      </c>
      <c r="D42" t="s">
        <v>507</v>
      </c>
      <c r="E42">
        <v>3</v>
      </c>
      <c r="F42" t="s">
        <v>58</v>
      </c>
      <c r="R42" t="str" cm="1">
        <f t="array" ref="R42">CONCATENATE("   .AddIndex(""",B42,""", ",CONCATENATE("EMyIndexType::",C42),", """,D42,""", ",ListePaare(E42:P42)," )")</f>
        <v xml:space="preserve">   .AddIndex("uk_TaxClasses_Abbreviation", EMyIndexType::key, "unique / representative official abbreviation of the tax class as key canditate for this entity", { { 3, true } } )</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69782-79A6-40F2-8363-80FD0F3CFB3A}">
  <sheetPr codeName="Tabelle2"/>
  <dimension ref="A1:AC39"/>
  <sheetViews>
    <sheetView topLeftCell="Q1" workbookViewId="0">
      <selection activeCell="Q9" sqref="Q9"/>
    </sheetView>
  </sheetViews>
  <sheetFormatPr baseColWidth="10" defaultRowHeight="14.25" x14ac:dyDescent="0.45"/>
  <cols>
    <col min="1" max="1" width="15.1328125" customWidth="1"/>
    <col min="2" max="2" width="24.9296875" customWidth="1"/>
    <col min="3" max="3" width="13.19921875" customWidth="1"/>
    <col min="4" max="13" width="3.1328125" customWidth="1"/>
    <col min="14" max="14" width="13.9296875" customWidth="1"/>
    <col min="15" max="24" width="3.1328125" customWidth="1"/>
    <col min="25" max="25" width="17.86328125" customWidth="1"/>
    <col min="26" max="26" width="8.1328125" customWidth="1"/>
    <col min="27" max="27" width="4.46484375" customWidth="1"/>
    <col min="28" max="28" width="58.9296875" customWidth="1"/>
    <col min="29" max="29" width="181.46484375" bestFit="1" customWidth="1"/>
  </cols>
  <sheetData>
    <row r="1" spans="1:29" x14ac:dyDescent="0.45">
      <c r="A1" t="s">
        <v>81</v>
      </c>
      <c r="B1" t="s">
        <v>82</v>
      </c>
      <c r="N1" t="s">
        <v>83</v>
      </c>
      <c r="Y1" t="s">
        <v>131</v>
      </c>
      <c r="AB1" t="s">
        <v>59</v>
      </c>
      <c r="AC1" t="s">
        <v>60</v>
      </c>
    </row>
    <row r="2" spans="1:29" x14ac:dyDescent="0.45">
      <c r="A2" t="s">
        <v>23</v>
      </c>
      <c r="B2" t="s">
        <v>84</v>
      </c>
      <c r="C2" t="s">
        <v>94</v>
      </c>
      <c r="D2">
        <v>1</v>
      </c>
      <c r="E2">
        <v>3</v>
      </c>
      <c r="F2">
        <v>5</v>
      </c>
      <c r="N2" t="s">
        <v>23</v>
      </c>
      <c r="O2">
        <v>1</v>
      </c>
      <c r="P2">
        <v>7</v>
      </c>
      <c r="Q2">
        <v>5</v>
      </c>
      <c r="AB2" t="s">
        <v>99</v>
      </c>
      <c r="AC2" s="5" t="str" cm="1">
        <f t="array" ref="AC2">IF(LängeListe(D2:M2)=LängeListe(O2:X2),CONCATENATE("   ",$AC$1,".FindTable(""",A2,""").AddReference(""",B2,""", ",CONCATENATE("EMyReferenceType::",C2),",  """,N2,""", """,AB2,""", ",PaarListe(D2:M2,O2:X2)," );"),"nein")</f>
        <v xml:space="preserve">   dictionary.FindTable("Berlin").AddReference("refBerlin", EMyReferenceType::assoziation,  "Berlin", "Tabelle mit den ursprünglichen Importdaten von Berlin", { {1,1}, {3,7}, {5,5} } );</v>
      </c>
    </row>
    <row r="3" spans="1:29" x14ac:dyDescent="0.45">
      <c r="AC3" s="5"/>
    </row>
    <row r="4" spans="1:29" x14ac:dyDescent="0.45">
      <c r="A4" t="s">
        <v>23</v>
      </c>
      <c r="B4" t="s">
        <v>84</v>
      </c>
      <c r="C4" t="s">
        <v>94</v>
      </c>
      <c r="D4">
        <v>1</v>
      </c>
      <c r="E4">
        <v>3</v>
      </c>
      <c r="F4">
        <v>5</v>
      </c>
      <c r="N4" t="s">
        <v>23</v>
      </c>
      <c r="O4">
        <v>1</v>
      </c>
      <c r="P4">
        <v>7</v>
      </c>
      <c r="Q4">
        <v>5</v>
      </c>
      <c r="AC4" s="5" t="str" cm="1">
        <f t="array" ref="AC4">IF(LängeListe(D4:M4)=LängeListe(O4:X4),CONCATENATE("   ",$AC$1,".FindTable(""",A4,""").AddReference(""",B4,""", ",CONCATENATE("EMyReferenceType::",C4),",  """,N4,""", """,AB4,""", ",PaarListe(D4:M4,O4:X4)," );"),"nein")</f>
        <v xml:space="preserve">   dictionary.FindTable("Berlin").AddReference("refBerlin", EMyReferenceType::assoziation,  "Berlin", "", { {1,1}, {3,7}, {5,5} } );</v>
      </c>
    </row>
    <row r="5" spans="1:29" x14ac:dyDescent="0.45">
      <c r="AC5" s="5"/>
    </row>
    <row r="6" spans="1:29" x14ac:dyDescent="0.45">
      <c r="AC6" s="5"/>
    </row>
    <row r="7" spans="1:29" x14ac:dyDescent="0.45">
      <c r="AC7" s="5"/>
    </row>
    <row r="8" spans="1:29" x14ac:dyDescent="0.45">
      <c r="AC8" s="5"/>
    </row>
    <row r="9" spans="1:29" x14ac:dyDescent="0.45">
      <c r="A9" t="s">
        <v>100</v>
      </c>
      <c r="B9" t="s">
        <v>191</v>
      </c>
      <c r="C9" t="s">
        <v>96</v>
      </c>
      <c r="D9" s="8">
        <v>1</v>
      </c>
      <c r="E9" s="8"/>
      <c r="F9" s="8"/>
      <c r="G9" s="8"/>
      <c r="H9" s="8"/>
      <c r="I9" s="8"/>
      <c r="J9" s="8"/>
      <c r="K9" s="8"/>
      <c r="L9" s="8"/>
      <c r="M9" s="8"/>
      <c r="N9" t="s">
        <v>112</v>
      </c>
      <c r="O9" s="8">
        <v>1</v>
      </c>
      <c r="P9" s="8"/>
      <c r="Q9" s="8"/>
      <c r="R9" s="8"/>
      <c r="S9" s="8"/>
      <c r="T9" s="8"/>
      <c r="U9" s="8"/>
      <c r="V9" s="8"/>
      <c r="W9" s="8"/>
      <c r="X9" s="8"/>
      <c r="Y9" t="s">
        <v>380</v>
      </c>
      <c r="Z9" t="s">
        <v>449</v>
      </c>
      <c r="AB9" t="s">
        <v>381</v>
      </c>
      <c r="AC9" s="5" t="str" cm="1">
        <f t="array" ref="AC9">IF(LängeListe(D9:M9)=LängeListe(O9:X9),CONCATENATE("   .AddReference(""",B9,""", ",CONCATENATE("EMyReferenceType::",C9),",  """,N9,""", """,Y9,""", """,AB9,""", ",PaarListe(D9:M9,O9:X9)," )"),"nein")</f>
        <v xml:space="preserve">   .AddReference("refAddress2Person", EMyReferenceType::komposition,  "Person", "residential address", "part of- relationship from a person to the residential addresses", { {1,1} } )</v>
      </c>
    </row>
    <row r="10" spans="1:29" x14ac:dyDescent="0.45">
      <c r="A10" t="s">
        <v>100</v>
      </c>
      <c r="B10" t="s">
        <v>193</v>
      </c>
      <c r="C10" t="s">
        <v>93</v>
      </c>
      <c r="D10" s="8">
        <v>2</v>
      </c>
      <c r="E10" s="8"/>
      <c r="F10" s="8"/>
      <c r="G10" s="8"/>
      <c r="H10" s="8"/>
      <c r="I10" s="8"/>
      <c r="J10" s="8"/>
      <c r="K10" s="8"/>
      <c r="L10" s="8"/>
      <c r="M10" s="8"/>
      <c r="N10" t="s">
        <v>101</v>
      </c>
      <c r="O10" s="8">
        <v>1</v>
      </c>
      <c r="P10" s="8"/>
      <c r="Q10" s="8"/>
      <c r="R10" s="8"/>
      <c r="S10" s="8"/>
      <c r="T10" s="8"/>
      <c r="U10" s="8"/>
      <c r="V10" s="8"/>
      <c r="W10" s="8"/>
      <c r="X10" s="8"/>
      <c r="Y10" t="s">
        <v>382</v>
      </c>
      <c r="AA10">
        <v>2</v>
      </c>
      <c r="AB10" t="s">
        <v>192</v>
      </c>
      <c r="AC10" s="5" t="str" cm="1">
        <f t="array" ref="AC10">IF(LängeListe(D10:M10)=LängeListe(O10:X10),CONCATENATE("   .AddReference(""",B10,""", ",CONCATENATE("EMyReferenceType::",C10),",  """,N10,""", """,Y10,""", """,AB10,""", ",PaarListe(D10:M10,O10:X10)," )"),"nein")</f>
        <v xml:space="preserve">   .AddReference("refAddress2AddressType", EMyReferenceType::range,  "AddressTypes", "has values", "range value to extent the relationship of a person to an address", { {2,1} } )</v>
      </c>
    </row>
    <row r="11" spans="1:29" x14ac:dyDescent="0.45">
      <c r="A11" t="s">
        <v>100</v>
      </c>
      <c r="B11" t="s">
        <v>194</v>
      </c>
      <c r="C11" t="s">
        <v>94</v>
      </c>
      <c r="D11" s="8">
        <v>7</v>
      </c>
      <c r="E11" s="8"/>
      <c r="F11" s="8"/>
      <c r="G11" s="8"/>
      <c r="H11" s="8"/>
      <c r="I11" s="8"/>
      <c r="J11" s="8"/>
      <c r="K11" s="8"/>
      <c r="L11" s="8"/>
      <c r="M11" s="8"/>
      <c r="N11" t="s">
        <v>104</v>
      </c>
      <c r="O11" s="8">
        <v>1</v>
      </c>
      <c r="P11" s="8"/>
      <c r="Q11" s="8"/>
      <c r="R11" s="8"/>
      <c r="S11" s="8"/>
      <c r="T11" s="8"/>
      <c r="U11" s="8"/>
      <c r="V11" s="8"/>
      <c r="W11" s="8"/>
      <c r="X11" s="8"/>
      <c r="Y11" t="s">
        <v>383</v>
      </c>
      <c r="AA11">
        <v>2</v>
      </c>
      <c r="AB11" t="s">
        <v>232</v>
      </c>
      <c r="AC11" s="5" t="str" cm="1">
        <f t="array" ref="AC11">IF(LängeListe(D11:M11)=LängeListe(O11:X11),CONCATENATE("   .AddReference(""",B11,""", ",CONCATENATE("EMyReferenceType::",C11),",  """,N11,""", """,Y11,""", """,AB11,""", ",PaarListe(D11:M11,O11:X11)," )"),"nein")</f>
        <v xml:space="preserve">   .AddReference("refAddress2Countries", EMyReferenceType::assoziation,  "Countries", "belongs to", "key ID to the associated entity of Countries, where this address is located", { {7,1} } )</v>
      </c>
    </row>
    <row r="12" spans="1:29" x14ac:dyDescent="0.45">
      <c r="D12" s="8"/>
      <c r="E12" s="8"/>
      <c r="F12" s="8"/>
      <c r="G12" s="8"/>
      <c r="H12" s="8"/>
      <c r="I12" s="8"/>
      <c r="J12" s="8"/>
      <c r="K12" s="8"/>
      <c r="L12" s="8"/>
      <c r="M12" s="8"/>
      <c r="O12" s="8"/>
      <c r="P12" s="8"/>
      <c r="Q12" s="8"/>
      <c r="R12" s="8"/>
      <c r="S12" s="8"/>
      <c r="T12" s="8"/>
      <c r="U12" s="8"/>
      <c r="V12" s="8"/>
      <c r="W12" s="8"/>
      <c r="X12" s="8"/>
      <c r="AC12" s="5"/>
    </row>
    <row r="13" spans="1:29" x14ac:dyDescent="0.45">
      <c r="A13" t="s">
        <v>102</v>
      </c>
      <c r="B13" t="s">
        <v>229</v>
      </c>
      <c r="C13" t="s">
        <v>96</v>
      </c>
      <c r="D13" s="8">
        <v>1</v>
      </c>
      <c r="E13" s="8"/>
      <c r="F13" s="8"/>
      <c r="G13" s="8"/>
      <c r="H13" s="8"/>
      <c r="I13" s="8"/>
      <c r="J13" s="8"/>
      <c r="K13" s="8"/>
      <c r="L13" s="8"/>
      <c r="M13" s="8"/>
      <c r="N13" t="s">
        <v>112</v>
      </c>
      <c r="O13" s="8">
        <v>1</v>
      </c>
      <c r="P13" s="8"/>
      <c r="Q13" s="8"/>
      <c r="R13" s="8"/>
      <c r="S13" s="8"/>
      <c r="T13" s="8"/>
      <c r="U13" s="8"/>
      <c r="V13" s="8"/>
      <c r="W13" s="8"/>
      <c r="X13" s="8"/>
      <c r="Y13" t="s">
        <v>386</v>
      </c>
      <c r="AB13" t="s">
        <v>233</v>
      </c>
      <c r="AC13" s="5" t="str" cm="1">
        <f t="array" ref="AC13">IF(LängeListe(D13:M13)=LängeListe(O13:X13),CONCATENATE("   .AddReference(""",B13,""", ",CONCATENATE("EMyReferenceType::",C13),",  """,N13,""", """,Y13,""", """,AB13,""", ",PaarListe(D13:M13,O13:X13)," )"),"nein")</f>
        <v xml:space="preserve">   .AddReference("refBanking2Person", EMyReferenceType::komposition,  "Person", "owns", "part of relationship from a banking account to the person who own it", { {1,1} } )</v>
      </c>
    </row>
    <row r="14" spans="1:29" x14ac:dyDescent="0.45">
      <c r="A14" t="s">
        <v>102</v>
      </c>
      <c r="B14" t="s">
        <v>230</v>
      </c>
      <c r="C14" t="s">
        <v>93</v>
      </c>
      <c r="D14" s="8">
        <v>2</v>
      </c>
      <c r="E14" s="8"/>
      <c r="F14" s="8"/>
      <c r="G14" s="8"/>
      <c r="H14" s="8"/>
      <c r="I14" s="8"/>
      <c r="J14" s="8"/>
      <c r="K14" s="8"/>
      <c r="L14" s="8"/>
      <c r="M14" s="8"/>
      <c r="N14" t="s">
        <v>103</v>
      </c>
      <c r="O14" s="8">
        <v>1</v>
      </c>
      <c r="P14" s="8"/>
      <c r="Q14" s="8"/>
      <c r="R14" s="8"/>
      <c r="S14" s="8"/>
      <c r="T14" s="8"/>
      <c r="U14" s="8"/>
      <c r="V14" s="8"/>
      <c r="W14" s="8"/>
      <c r="X14" s="8"/>
      <c r="Y14" t="s">
        <v>382</v>
      </c>
      <c r="AA14">
        <v>2</v>
      </c>
      <c r="AB14" t="s">
        <v>234</v>
      </c>
      <c r="AC14" s="5" t="str" cm="1">
        <f t="array" ref="AC14">IF(LängeListe(D14:M14)=LängeListe(O14:X14),CONCATENATE("   .AddReference(""",B14,""", ",CONCATENATE("EMyReferenceType::",C14),",  """,N14,""", """,Y14,""", """,AB14,""", ",PaarListe(D14:M14,O14:X14)," )"),"nein")</f>
        <v xml:space="preserve">   .AddReference("refBanking2Type", EMyReferenceType::range,  "BankingTypes", "has values", "range value to extent the relationship of a person to an banking account", { {2,1} } )</v>
      </c>
    </row>
    <row r="15" spans="1:29" x14ac:dyDescent="0.45">
      <c r="A15" t="s">
        <v>102</v>
      </c>
      <c r="B15" t="s">
        <v>228</v>
      </c>
      <c r="C15" t="s">
        <v>94</v>
      </c>
      <c r="D15" s="8">
        <v>7</v>
      </c>
      <c r="E15" s="8"/>
      <c r="F15" s="8"/>
      <c r="G15" s="8"/>
      <c r="H15" s="8"/>
      <c r="I15" s="8"/>
      <c r="J15" s="8"/>
      <c r="K15" s="8"/>
      <c r="L15" s="8"/>
      <c r="M15" s="8"/>
      <c r="N15" t="s">
        <v>104</v>
      </c>
      <c r="O15" s="8">
        <v>1</v>
      </c>
      <c r="P15" s="8"/>
      <c r="Q15" s="8"/>
      <c r="R15" s="8"/>
      <c r="S15" s="8"/>
      <c r="T15" s="8"/>
      <c r="U15" s="8"/>
      <c r="V15" s="8"/>
      <c r="W15" s="8"/>
      <c r="X15" s="8"/>
      <c r="Y15" t="s">
        <v>383</v>
      </c>
      <c r="AA15">
        <v>2</v>
      </c>
      <c r="AB15" t="s">
        <v>231</v>
      </c>
      <c r="AC15" s="5" t="str" cm="1">
        <f t="array" ref="AC15">IF(LängeListe(D15:M15)=LängeListe(O15:X15),CONCATENATE("   .AddReference(""",B15,""", ",CONCATENATE("EMyReferenceType::",C15),",  """,N15,""", """,Y15,""", """,AB15,""", ",PaarListe(D15:M15,O15:X15)," )"),"nein")</f>
        <v xml:space="preserve">   .AddReference("refBanking2Countries", EMyReferenceType::assoziation,  "Countries", "belongs to", "key ID to the associated entity of Countries, where bank who manage this account is located", { {7,1} } )</v>
      </c>
    </row>
    <row r="16" spans="1:29" x14ac:dyDescent="0.45">
      <c r="D16" s="8"/>
      <c r="E16" s="8"/>
      <c r="F16" s="8"/>
      <c r="G16" s="8"/>
      <c r="H16" s="8"/>
      <c r="I16" s="8"/>
      <c r="J16" s="8"/>
      <c r="K16" s="8"/>
      <c r="L16" s="8"/>
      <c r="M16" s="8"/>
      <c r="O16" s="8"/>
      <c r="P16" s="8"/>
      <c r="Q16" s="8"/>
      <c r="R16" s="8"/>
      <c r="S16" s="8"/>
      <c r="T16" s="8"/>
      <c r="U16" s="8"/>
      <c r="V16" s="8"/>
      <c r="W16" s="8"/>
      <c r="X16" s="8"/>
      <c r="AC16" s="5"/>
    </row>
    <row r="17" spans="1:29" x14ac:dyDescent="0.45">
      <c r="A17" t="s">
        <v>113</v>
      </c>
      <c r="B17" t="s">
        <v>425</v>
      </c>
      <c r="C17" t="s">
        <v>96</v>
      </c>
      <c r="D17" s="8">
        <v>1</v>
      </c>
      <c r="E17" s="8"/>
      <c r="F17" s="8"/>
      <c r="G17" s="8"/>
      <c r="H17" s="8"/>
      <c r="I17" s="8"/>
      <c r="J17" s="8"/>
      <c r="K17" s="8"/>
      <c r="L17" s="8"/>
      <c r="M17" s="8"/>
      <c r="N17" t="s">
        <v>112</v>
      </c>
      <c r="O17" s="8">
        <v>1</v>
      </c>
      <c r="P17" s="8"/>
      <c r="Q17" s="8"/>
      <c r="R17" s="8"/>
      <c r="S17" s="8"/>
      <c r="T17" s="8"/>
      <c r="U17" s="8"/>
      <c r="V17" s="8"/>
      <c r="W17" s="8"/>
      <c r="X17" s="8"/>
      <c r="Y17" t="s">
        <v>386</v>
      </c>
      <c r="AA17">
        <v>2</v>
      </c>
      <c r="AB17" t="s">
        <v>426</v>
      </c>
      <c r="AC17" s="5" t="str" cm="1">
        <f t="array" ref="AC17">IF(LängeListe(D17:M17)=LängeListe(O17:X17),CONCATENATE("   .AddReference(""",B17,""", ",CONCATENATE("EMyReferenceType::",C17),",  """,N17,""", """,Y17,""", """,AB17,""", ",PaarListe(D17:M17,O17:X17)," )"),"nein")</f>
        <v xml:space="preserve">   .AddReference("refPhone2Person", EMyReferenceType::komposition,  "Person", "owns", "part of relationship from a phone number to the person who own it", { {1,1} } )</v>
      </c>
    </row>
    <row r="18" spans="1:29" x14ac:dyDescent="0.45">
      <c r="A18" t="s">
        <v>113</v>
      </c>
      <c r="B18" t="s">
        <v>429</v>
      </c>
      <c r="C18" t="s">
        <v>93</v>
      </c>
      <c r="D18" s="8">
        <v>2</v>
      </c>
      <c r="E18" s="8"/>
      <c r="F18" s="8"/>
      <c r="G18" s="8"/>
      <c r="H18" s="8"/>
      <c r="I18" s="8"/>
      <c r="J18" s="8"/>
      <c r="K18" s="8"/>
      <c r="L18" s="8"/>
      <c r="M18" s="8"/>
      <c r="N18" t="s">
        <v>143</v>
      </c>
      <c r="O18" s="8">
        <v>1</v>
      </c>
      <c r="P18" s="8"/>
      <c r="Q18" s="8"/>
      <c r="R18" s="8"/>
      <c r="S18" s="8"/>
      <c r="T18" s="8"/>
      <c r="U18" s="8"/>
      <c r="V18" s="8"/>
      <c r="W18" s="8"/>
      <c r="X18" s="8"/>
      <c r="Y18" t="s">
        <v>382</v>
      </c>
      <c r="AA18">
        <v>2</v>
      </c>
      <c r="AB18" t="s">
        <v>427</v>
      </c>
      <c r="AC18" s="5" t="str" cm="1">
        <f t="array" ref="AC18">IF(LängeListe(D18:M18)=LängeListe(O18:X18),CONCATENATE("   .AddReference(""",B18,""", ",CONCATENATE("EMyReferenceType::",C18),",  """,N18,""", """,Y18,""", """,AB18,""", ",PaarListe(D18:M18,O18:X18)," )"),"nein")</f>
        <v xml:space="preserve">   .AddReference("refPhone2Type", EMyReferenceType::range,  "PhonesTypes", "has values", "range value to extent the relationship of a person to a phone number", { {2,1} } )</v>
      </c>
    </row>
    <row r="19" spans="1:29" x14ac:dyDescent="0.45">
      <c r="A19" t="s">
        <v>113</v>
      </c>
      <c r="B19" t="s">
        <v>430</v>
      </c>
      <c r="C19" t="s">
        <v>94</v>
      </c>
      <c r="D19" s="8">
        <v>5</v>
      </c>
      <c r="E19" s="8"/>
      <c r="F19" s="8"/>
      <c r="G19" s="8"/>
      <c r="H19" s="8"/>
      <c r="I19" s="8"/>
      <c r="J19" s="8"/>
      <c r="K19" s="8"/>
      <c r="L19" s="8"/>
      <c r="M19" s="8"/>
      <c r="N19" t="s">
        <v>104</v>
      </c>
      <c r="O19" s="8">
        <v>1</v>
      </c>
      <c r="P19" s="8"/>
      <c r="Q19" s="8"/>
      <c r="R19" s="8"/>
      <c r="S19" s="8"/>
      <c r="T19" s="8"/>
      <c r="U19" s="8"/>
      <c r="V19" s="8"/>
      <c r="W19" s="8"/>
      <c r="X19" s="8"/>
      <c r="Y19" t="s">
        <v>383</v>
      </c>
      <c r="AB19" t="s">
        <v>428</v>
      </c>
      <c r="AC19" s="5" t="str" cm="1">
        <f t="array" ref="AC19">IF(LängeListe(D19:M19)=LängeListe(O19:X19),CONCATENATE("   .AddReference(""",B19,""", ",CONCATENATE("EMyReferenceType::",C19),",  """,N19,""", """,Y19,""", """,AB19,""", ",PaarListe(D19:M19,O19:X19)," )"),"nein")</f>
        <v xml:space="preserve">   .AddReference("refPhone2Countries", EMyReferenceType::assoziation,  "Countries", "belongs to", "key ID to the associated entity of Countries, where phone connection located", { {5,1} } )</v>
      </c>
    </row>
    <row r="20" spans="1:29" x14ac:dyDescent="0.45">
      <c r="D20" s="8"/>
      <c r="E20" s="8"/>
      <c r="F20" s="8"/>
      <c r="G20" s="8"/>
      <c r="H20" s="8"/>
      <c r="I20" s="8"/>
      <c r="J20" s="8"/>
      <c r="K20" s="8"/>
      <c r="L20" s="8"/>
      <c r="M20" s="8"/>
      <c r="O20" s="8"/>
      <c r="P20" s="8"/>
      <c r="Q20" s="8"/>
      <c r="R20" s="8"/>
      <c r="S20" s="8"/>
      <c r="T20" s="8"/>
      <c r="U20" s="8"/>
      <c r="V20" s="8"/>
      <c r="W20" s="8"/>
      <c r="X20" s="8"/>
      <c r="AC20" s="5"/>
    </row>
    <row r="21" spans="1:29" x14ac:dyDescent="0.45">
      <c r="A21" t="s">
        <v>109</v>
      </c>
      <c r="B21" t="s">
        <v>437</v>
      </c>
      <c r="C21" t="s">
        <v>96</v>
      </c>
      <c r="D21" s="8">
        <v>1</v>
      </c>
      <c r="E21" s="8"/>
      <c r="F21" s="8"/>
      <c r="G21" s="8"/>
      <c r="H21" s="8"/>
      <c r="I21" s="8"/>
      <c r="J21" s="8"/>
      <c r="K21" s="8"/>
      <c r="L21" s="8"/>
      <c r="M21" s="8"/>
      <c r="N21" t="s">
        <v>112</v>
      </c>
      <c r="O21" s="8">
        <v>1</v>
      </c>
      <c r="P21" s="8"/>
      <c r="Q21" s="8"/>
      <c r="R21" s="8"/>
      <c r="S21" s="8"/>
      <c r="T21" s="8"/>
      <c r="U21" s="8"/>
      <c r="V21" s="8"/>
      <c r="W21" s="8"/>
      <c r="X21" s="8"/>
      <c r="Y21" t="s">
        <v>386</v>
      </c>
      <c r="AB21" t="s">
        <v>439</v>
      </c>
      <c r="AC21" s="5" t="str" cm="1">
        <f t="array" ref="AC21">IF(LängeListe(D21:M21)=LängeListe(O21:X21),CONCATENATE("   .AddReference(""",B21,""", ",CONCATENATE("EMyReferenceType::",C21),",  """,N21,""", """,Y21,""", """,AB21,""", ",PaarListe(D21:M21,O21:X21)," )"),"nein")</f>
        <v xml:space="preserve">   .AddReference("refInternet2Person", EMyReferenceType::komposition,  "Person", "owns", "part of relationship from an internet connection to the person who own it", { {1,1} } )</v>
      </c>
    </row>
    <row r="22" spans="1:29" x14ac:dyDescent="0.45">
      <c r="A22" t="s">
        <v>109</v>
      </c>
      <c r="B22" t="s">
        <v>438</v>
      </c>
      <c r="C22" t="s">
        <v>93</v>
      </c>
      <c r="D22" s="8">
        <v>2</v>
      </c>
      <c r="E22" s="8"/>
      <c r="F22" s="8"/>
      <c r="G22" s="8"/>
      <c r="H22" s="8"/>
      <c r="I22" s="8"/>
      <c r="J22" s="8"/>
      <c r="K22" s="8"/>
      <c r="L22" s="8"/>
      <c r="M22" s="8"/>
      <c r="N22" t="s">
        <v>110</v>
      </c>
      <c r="O22" s="8">
        <v>1</v>
      </c>
      <c r="P22" s="8"/>
      <c r="Q22" s="8"/>
      <c r="R22" s="8"/>
      <c r="S22" s="8"/>
      <c r="T22" s="8"/>
      <c r="U22" s="8"/>
      <c r="V22" s="8"/>
      <c r="W22" s="8"/>
      <c r="X22" s="8"/>
      <c r="Y22" t="s">
        <v>382</v>
      </c>
      <c r="AA22">
        <v>2</v>
      </c>
      <c r="AB22" t="s">
        <v>440</v>
      </c>
      <c r="AC22" s="5" t="str" cm="1">
        <f t="array" ref="AC22">IF(LängeListe(D22:M22)=LängeListe(O22:X22),CONCATENATE("   .AddReference(""",B22,""", ",CONCATENATE("EMyReferenceType::",C22),",  """,N22,""", """,Y22,""", """,AB22,""", ",PaarListe(D22:M22,O22:X22)," )"),"nein")</f>
        <v xml:space="preserve">   .AddReference("refInternet2Type", EMyReferenceType::range,  "InternetTypes", "has values", "range value to extent the relationship of a person to an internet connection", { {2,1} } )</v>
      </c>
    </row>
    <row r="23" spans="1:29" x14ac:dyDescent="0.45">
      <c r="D23" s="8"/>
      <c r="E23" s="8"/>
      <c r="F23" s="8"/>
      <c r="G23" s="8"/>
      <c r="H23" s="8"/>
      <c r="I23" s="8"/>
      <c r="J23" s="8"/>
      <c r="K23" s="8"/>
      <c r="L23" s="8"/>
      <c r="M23" s="8"/>
      <c r="O23" s="8"/>
      <c r="P23" s="8"/>
      <c r="Q23" s="8"/>
      <c r="R23" s="8"/>
      <c r="S23" s="8"/>
      <c r="T23" s="8"/>
      <c r="U23" s="8"/>
      <c r="V23" s="8"/>
      <c r="W23" s="8"/>
      <c r="X23" s="8"/>
      <c r="AC23" s="5"/>
    </row>
    <row r="24" spans="1:29" x14ac:dyDescent="0.45">
      <c r="A24" t="s">
        <v>112</v>
      </c>
      <c r="B24" t="s">
        <v>434</v>
      </c>
      <c r="C24" t="s">
        <v>93</v>
      </c>
      <c r="D24" s="8">
        <v>4</v>
      </c>
      <c r="E24" s="8"/>
      <c r="F24" s="8"/>
      <c r="G24" s="8"/>
      <c r="H24" s="8"/>
      <c r="I24" s="8"/>
      <c r="J24" s="8"/>
      <c r="K24" s="8"/>
      <c r="L24" s="8"/>
      <c r="M24" s="8"/>
      <c r="N24" t="s">
        <v>108</v>
      </c>
      <c r="O24" s="8">
        <v>1</v>
      </c>
      <c r="P24" s="8"/>
      <c r="Q24" s="8"/>
      <c r="R24" s="8"/>
      <c r="S24" s="8"/>
      <c r="T24" s="8"/>
      <c r="U24" s="8"/>
      <c r="V24" s="8"/>
      <c r="W24" s="8"/>
      <c r="X24" s="8"/>
      <c r="Y24" t="s">
        <v>382</v>
      </c>
      <c r="AA24">
        <v>2</v>
      </c>
      <c r="AB24" t="s">
        <v>435</v>
      </c>
      <c r="AC24" s="5" t="str" cm="1">
        <f t="array" ref="AC24">IF(LängeListe(D24:M24)=LängeListe(O24:X24),CONCATENATE("   .AddReference(""",B24,""", ",CONCATENATE("EMyReferenceType::",C24),",  """,N24,""", """,Y24,""", """,AB24,""", ",PaarListe(D24:M24,O24:X24)," )"),"nein")</f>
        <v xml:space="preserve">   .AddReference("refPerson2FormOfAddress", EMyReferenceType::range,  "FormOfAddress", "has values", "range value to extent the relationship of a person to a form of address", { {4,1} } )</v>
      </c>
    </row>
    <row r="25" spans="1:29" x14ac:dyDescent="0.45">
      <c r="A25" t="s">
        <v>112</v>
      </c>
      <c r="B25" t="s">
        <v>433</v>
      </c>
      <c r="C25" t="s">
        <v>93</v>
      </c>
      <c r="D25" s="8">
        <v>5</v>
      </c>
      <c r="E25" s="8"/>
      <c r="F25" s="8"/>
      <c r="G25" s="8"/>
      <c r="H25" s="8"/>
      <c r="I25" s="8"/>
      <c r="J25" s="8"/>
      <c r="K25" s="8"/>
      <c r="L25" s="8"/>
      <c r="M25" s="8"/>
      <c r="N25" t="s">
        <v>175</v>
      </c>
      <c r="O25" s="8">
        <v>1</v>
      </c>
      <c r="P25" s="8"/>
      <c r="Q25" s="8"/>
      <c r="R25" s="8"/>
      <c r="S25" s="8"/>
      <c r="T25" s="8"/>
      <c r="U25" s="8"/>
      <c r="V25" s="8"/>
      <c r="W25" s="8"/>
      <c r="X25" s="8"/>
      <c r="Y25" t="s">
        <v>382</v>
      </c>
      <c r="AA25">
        <v>2</v>
      </c>
      <c r="AB25" t="s">
        <v>436</v>
      </c>
      <c r="AC25" s="5" t="str" cm="1">
        <f t="array" ref="AC25">IF(LängeListe(D25:M25)=LängeListe(O25:X25),CONCATENATE("   .AddReference(""",B25,""", ",CONCATENATE("EMyReferenceType::",C25),",  """,N25,""", """,Y25,""", """,AB25,""", ",PaarListe(D25:M25,O25:X25)," )"),"nein")</f>
        <v xml:space="preserve">   .AddReference("refPerson2FamilyStatus", EMyReferenceType::range,  "FamilyStatus", "has values", "range value to extent the relationship of a person to a family status", { {5,1} } )</v>
      </c>
    </row>
    <row r="26" spans="1:29" x14ac:dyDescent="0.45">
      <c r="D26" s="8"/>
      <c r="E26" s="8"/>
      <c r="F26" s="8"/>
      <c r="G26" s="8"/>
      <c r="H26" s="8"/>
      <c r="I26" s="8"/>
      <c r="J26" s="8"/>
      <c r="K26" s="8"/>
      <c r="L26" s="8"/>
      <c r="M26" s="8"/>
      <c r="O26" s="8"/>
      <c r="P26" s="8"/>
      <c r="Q26" s="8"/>
      <c r="R26" s="8"/>
      <c r="S26" s="8"/>
      <c r="T26" s="8"/>
      <c r="U26" s="8"/>
      <c r="V26" s="8"/>
      <c r="W26" s="8"/>
      <c r="X26" s="8"/>
      <c r="AC26" s="5"/>
    </row>
    <row r="27" spans="1:29" x14ac:dyDescent="0.45">
      <c r="A27" t="s">
        <v>105</v>
      </c>
      <c r="B27" t="s">
        <v>465</v>
      </c>
      <c r="C27" t="s">
        <v>94</v>
      </c>
      <c r="D27" s="8">
        <v>5</v>
      </c>
      <c r="E27" s="8"/>
      <c r="F27" s="8"/>
      <c r="G27" s="8"/>
      <c r="H27" s="8"/>
      <c r="I27" s="8"/>
      <c r="J27" s="8"/>
      <c r="K27" s="8"/>
      <c r="L27" s="8"/>
      <c r="M27" s="8"/>
      <c r="N27" t="s">
        <v>106</v>
      </c>
      <c r="O27" s="8">
        <v>1</v>
      </c>
      <c r="P27" s="8"/>
      <c r="Q27" s="8"/>
      <c r="R27" s="8"/>
      <c r="S27" s="8"/>
      <c r="T27" s="8"/>
      <c r="U27" s="8"/>
      <c r="V27" s="8"/>
      <c r="W27" s="8"/>
      <c r="X27" s="8"/>
      <c r="Y27" t="s">
        <v>466</v>
      </c>
      <c r="AA27">
        <v>9</v>
      </c>
      <c r="AB27" t="s">
        <v>467</v>
      </c>
      <c r="AC27" s="5" t="str" cm="1">
        <f t="array" ref="AC27">IF(LängeListe(D27:M27)=LängeListe(O27:X27),CONCATENATE("   .AddReference(""",B27,""", ",CONCATENATE("EMyReferenceType::",C27),",  """,N27,""", """,Y27,""", """,AB27,""", ",PaarListe(D27:M27,O27:X27)," )"),"nein")</f>
        <v xml:space="preserve">   .AddReference("refDepartments2Employee", EMyReferenceType::assoziation,  "Employees", "responsible", "assoziation between the department to employee who is the responsible officer for this", { {5,1} } )</v>
      </c>
    </row>
    <row r="28" spans="1:29" x14ac:dyDescent="0.45">
      <c r="D28" s="8"/>
      <c r="E28" s="8"/>
      <c r="F28" s="8"/>
      <c r="G28" s="8"/>
      <c r="H28" s="8"/>
      <c r="I28" s="8"/>
      <c r="J28" s="8"/>
      <c r="K28" s="8"/>
      <c r="L28" s="8"/>
      <c r="M28" s="8"/>
      <c r="O28" s="8"/>
      <c r="P28" s="8"/>
      <c r="Q28" s="8"/>
      <c r="R28" s="8"/>
      <c r="S28" s="8"/>
      <c r="T28" s="8"/>
      <c r="U28" s="8"/>
      <c r="V28" s="8"/>
      <c r="W28" s="8"/>
      <c r="X28" s="8"/>
      <c r="AC28" s="5"/>
    </row>
    <row r="29" spans="1:29" x14ac:dyDescent="0.45">
      <c r="A29" t="s">
        <v>106</v>
      </c>
      <c r="B29" t="s">
        <v>257</v>
      </c>
      <c r="C29" t="s">
        <v>92</v>
      </c>
      <c r="D29" s="8">
        <v>1</v>
      </c>
      <c r="E29" s="8"/>
      <c r="F29" s="8"/>
      <c r="G29" s="8"/>
      <c r="H29" s="8"/>
      <c r="I29" s="8"/>
      <c r="J29" s="8"/>
      <c r="K29" s="8"/>
      <c r="L29" s="8"/>
      <c r="M29" s="8"/>
      <c r="N29" t="s">
        <v>112</v>
      </c>
      <c r="O29" s="8">
        <v>1</v>
      </c>
      <c r="P29" s="8"/>
      <c r="Q29" s="8"/>
      <c r="R29" s="8"/>
      <c r="S29" s="8"/>
      <c r="T29" s="8"/>
      <c r="U29" s="8"/>
      <c r="V29" s="8"/>
      <c r="W29" s="8"/>
      <c r="X29" s="8"/>
      <c r="Y29" t="s">
        <v>379</v>
      </c>
      <c r="AB29" t="s">
        <v>258</v>
      </c>
      <c r="AC29" s="5" t="str" cm="1">
        <f t="array" ref="AC29">IF(LängeListe(D29:M29)=LängeListe(O29:X29),CONCATENATE("   .AddReference(""",B29,""", ",CONCATENATE("EMyReferenceType::",C29),",  """,N29,""", """,Y29,""", """,AB29,""", ",PaarListe(D29:M29,O29:X29)," )"),"nein")</f>
        <v xml:space="preserve">   .AddReference("refEmployees2Person", EMyReferenceType::generalization,  "Person", "is-a", "generalization from an employee to a person (is-a relationship)", { {1,1} } )</v>
      </c>
    </row>
    <row r="30" spans="1:29" x14ac:dyDescent="0.45">
      <c r="A30" t="s">
        <v>106</v>
      </c>
      <c r="B30" t="s">
        <v>341</v>
      </c>
      <c r="C30" t="s">
        <v>93</v>
      </c>
      <c r="D30" s="8">
        <v>4</v>
      </c>
      <c r="E30" s="8"/>
      <c r="F30" s="8"/>
      <c r="G30" s="8"/>
      <c r="H30" s="8"/>
      <c r="I30" s="8"/>
      <c r="J30" s="8"/>
      <c r="K30" s="8"/>
      <c r="L30" s="8"/>
      <c r="M30" s="8"/>
      <c r="N30" t="s">
        <v>303</v>
      </c>
      <c r="O30" s="8">
        <v>1</v>
      </c>
      <c r="P30" s="8"/>
      <c r="Q30" s="8"/>
      <c r="R30" s="8"/>
      <c r="S30" s="8"/>
      <c r="T30" s="8"/>
      <c r="U30" s="8"/>
      <c r="V30" s="8"/>
      <c r="W30" s="8"/>
      <c r="X30" s="8"/>
      <c r="Y30" t="s">
        <v>382</v>
      </c>
      <c r="AA30">
        <v>2</v>
      </c>
      <c r="AB30" t="s">
        <v>342</v>
      </c>
      <c r="AC30" s="5" t="str" cm="1">
        <f t="array" ref="AC30">IF(LängeListe(D30:M30)=LängeListe(O30:X30),CONCATENATE("   .AddReference(""",B30,""", ",CONCATENATE("EMyReferenceType::",C30),",  """,N30,""", """,Y30,""", """,AB30,""", ",PaarListe(D30:M30,O30:X30)," )"),"nein")</f>
        <v xml:space="preserve">   .AddReference("refEmployees2TaxClass", EMyReferenceType::range,  "TaxClasses", "has values", "range value as domain for the attribute TaxClass", { {4,1} } )</v>
      </c>
    </row>
    <row r="31" spans="1:29" x14ac:dyDescent="0.45">
      <c r="A31" t="s">
        <v>106</v>
      </c>
      <c r="B31" t="s">
        <v>259</v>
      </c>
      <c r="C31" t="s">
        <v>93</v>
      </c>
      <c r="D31" s="8">
        <v>6</v>
      </c>
      <c r="E31" s="8"/>
      <c r="F31" s="8"/>
      <c r="G31" s="8"/>
      <c r="H31" s="8"/>
      <c r="I31" s="8"/>
      <c r="J31" s="8"/>
      <c r="K31" s="8"/>
      <c r="L31" s="8"/>
      <c r="M31" s="8"/>
      <c r="N31" t="s">
        <v>111</v>
      </c>
      <c r="O31" s="8">
        <v>1</v>
      </c>
      <c r="P31" s="8"/>
      <c r="Q31" s="8"/>
      <c r="R31" s="8"/>
      <c r="S31" s="8"/>
      <c r="T31" s="8"/>
      <c r="U31" s="8"/>
      <c r="V31" s="8"/>
      <c r="W31" s="8"/>
      <c r="X31" s="8"/>
      <c r="Y31" t="s">
        <v>384</v>
      </c>
      <c r="AA31">
        <v>2</v>
      </c>
      <c r="AB31" t="s">
        <v>260</v>
      </c>
      <c r="AC31" s="5" t="str" cm="1">
        <f t="array" ref="AC31">IF(LängeListe(D31:M31)=LängeListe(O31:X31),CONCATENATE("   .AddReference(""",B31,""", ",CONCATENATE("EMyReferenceType::",C31),",  """,N31,""", """,Y31,""", """,AB31,""", ",PaarListe(D31:M31,O31:X31)," )"),"nein")</f>
        <v xml:space="preserve">   .AddReference("refEmployees2JobPositions", EMyReferenceType::range,  "JobPositions", "holds", "range value as domain for this attribute, possible jobpositions in company", { {6,1} } )</v>
      </c>
    </row>
    <row r="32" spans="1:29" x14ac:dyDescent="0.45">
      <c r="A32" t="s">
        <v>106</v>
      </c>
      <c r="B32" t="s">
        <v>261</v>
      </c>
      <c r="C32" t="s">
        <v>94</v>
      </c>
      <c r="D32" s="8">
        <v>8</v>
      </c>
      <c r="E32" s="8"/>
      <c r="F32" s="8"/>
      <c r="G32" s="8"/>
      <c r="H32" s="8"/>
      <c r="I32" s="8"/>
      <c r="J32" s="8"/>
      <c r="K32" s="8"/>
      <c r="L32" s="8"/>
      <c r="M32" s="8"/>
      <c r="N32" t="s">
        <v>105</v>
      </c>
      <c r="O32" s="8">
        <v>1</v>
      </c>
      <c r="P32" s="8"/>
      <c r="Q32" s="8"/>
      <c r="R32" s="8"/>
      <c r="S32" s="8"/>
      <c r="T32" s="8"/>
      <c r="U32" s="8"/>
      <c r="V32" s="8"/>
      <c r="W32" s="8"/>
      <c r="X32" s="8"/>
      <c r="Y32" t="s">
        <v>385</v>
      </c>
      <c r="AA32">
        <v>2</v>
      </c>
      <c r="AB32" t="s">
        <v>262</v>
      </c>
      <c r="AC32" s="5" t="str" cm="1">
        <f t="array" ref="AC32">IF(LängeListe(D32:M32)=LängeListe(O32:X32),CONCATENATE("   .AddReference(""",B32,""", ",CONCATENATE("EMyReferenceType::",C32),",  """,N32,""", """,Y32,""", """,AB32,""", ",PaarListe(D32:M32,O32:X32)," )"),"nein")</f>
        <v xml:space="preserve">   .AddReference("refEmployees2Department", EMyReferenceType::assoziation,  "Departments", "works in", "assoziations between an employee to the department where she/he work", { {8,1} } )</v>
      </c>
    </row>
    <row r="33" spans="1:29" x14ac:dyDescent="0.45">
      <c r="D33" s="8"/>
      <c r="E33" s="8"/>
      <c r="F33" s="8"/>
      <c r="G33" s="8"/>
      <c r="H33" s="8"/>
      <c r="I33" s="8"/>
      <c r="J33" s="8"/>
      <c r="K33" s="8"/>
      <c r="L33" s="8"/>
      <c r="M33" s="8"/>
      <c r="O33" s="8"/>
      <c r="P33" s="8"/>
      <c r="Q33" s="8"/>
      <c r="R33" s="8"/>
      <c r="S33" s="8"/>
      <c r="T33" s="8"/>
      <c r="U33" s="8"/>
      <c r="V33" s="8"/>
      <c r="W33" s="8"/>
      <c r="X33" s="8"/>
      <c r="AC33" s="5"/>
    </row>
    <row r="34" spans="1:29" x14ac:dyDescent="0.45">
      <c r="A34" t="s">
        <v>108</v>
      </c>
      <c r="B34" t="s">
        <v>443</v>
      </c>
      <c r="C34" t="s">
        <v>94</v>
      </c>
      <c r="D34" s="8">
        <v>5</v>
      </c>
      <c r="E34" s="8"/>
      <c r="F34" s="8"/>
      <c r="G34" s="8"/>
      <c r="H34" s="8"/>
      <c r="I34" s="8"/>
      <c r="J34" s="8"/>
      <c r="K34" s="8"/>
      <c r="L34" s="8"/>
      <c r="M34" s="8"/>
      <c r="N34" t="s">
        <v>107</v>
      </c>
      <c r="O34" s="8">
        <v>1</v>
      </c>
      <c r="P34" s="8"/>
      <c r="Q34" s="8"/>
      <c r="R34" s="8"/>
      <c r="S34" s="8"/>
      <c r="T34" s="8"/>
      <c r="U34" s="8"/>
      <c r="V34" s="8"/>
      <c r="W34" s="8"/>
      <c r="X34" s="8"/>
      <c r="Y34" t="s">
        <v>444</v>
      </c>
      <c r="AA34">
        <v>2</v>
      </c>
      <c r="AB34" t="s">
        <v>445</v>
      </c>
      <c r="AC34" s="5" t="str" cm="1">
        <f t="array" ref="AC34">IF(LängeListe(D34:M34)=LängeListe(O34:X34),CONCATENATE("   .AddReference(""",B34,""", ",CONCATENATE("EMyReferenceType::",C34),",  """,N34,""", """,Y34,""", """,AB34,""", ",PaarListe(D34:M34,O34:X34)," )"),"nein")</f>
        <v xml:space="preserve">   .AddReference("refFormOfAddress2Type", EMyReferenceType::assoziation,  "FamilyTypes", "represent", "assoziation between a form of address and a familiy type which is represent", { {5,1} } )</v>
      </c>
    </row>
    <row r="35" spans="1:29" x14ac:dyDescent="0.45">
      <c r="D35" s="8"/>
      <c r="E35" s="8"/>
      <c r="F35" s="8"/>
      <c r="G35" s="8"/>
      <c r="H35" s="8"/>
      <c r="I35" s="8"/>
      <c r="J35" s="8"/>
      <c r="K35" s="8"/>
      <c r="L35" s="8"/>
      <c r="M35" s="8"/>
      <c r="O35" s="8"/>
      <c r="P35" s="8"/>
      <c r="Q35" s="8"/>
      <c r="R35" s="8"/>
      <c r="S35" s="8"/>
      <c r="T35" s="8"/>
      <c r="U35" s="8"/>
      <c r="V35" s="8"/>
      <c r="W35" s="8"/>
      <c r="X35" s="8"/>
      <c r="AC35" s="5"/>
    </row>
    <row r="36" spans="1:29" x14ac:dyDescent="0.45">
      <c r="A36" t="s">
        <v>170</v>
      </c>
      <c r="B36" t="s">
        <v>446</v>
      </c>
      <c r="C36" t="s">
        <v>96</v>
      </c>
      <c r="D36" s="8">
        <v>1</v>
      </c>
      <c r="E36" s="8"/>
      <c r="F36" s="8"/>
      <c r="G36" s="8"/>
      <c r="H36" s="8"/>
      <c r="I36" s="8"/>
      <c r="J36" s="8"/>
      <c r="K36" s="8"/>
      <c r="L36" s="8"/>
      <c r="M36" s="8"/>
      <c r="N36" t="s">
        <v>106</v>
      </c>
      <c r="O36" s="8">
        <v>1</v>
      </c>
      <c r="P36" s="8"/>
      <c r="Q36" s="8"/>
      <c r="R36" s="8"/>
      <c r="S36" s="8"/>
      <c r="T36" s="8"/>
      <c r="U36" s="8"/>
      <c r="V36" s="8"/>
      <c r="W36" s="8"/>
      <c r="X36" s="8"/>
      <c r="Y36" t="s">
        <v>447</v>
      </c>
      <c r="AB36" t="s">
        <v>448</v>
      </c>
      <c r="AC36" s="5" t="str" cm="1">
        <f t="array" ref="AC36">IF(LängeListe(D36:M36)=LängeListe(O36:X36),CONCATENATE("   .AddReference(""",B36,""", ",CONCATENATE("EMyReferenceType::",C36),",  """,N36,""", """,Y36,""", """,AB36,""", ",PaarListe(D36:M36,O36:X36)," )"),"nein")</f>
        <v xml:space="preserve">   .AddReference("refWorkTime2Employee", EMyReferenceType::komposition,  "Employees", "worked", "part of relationship of work times to the employees", { {1,1} } )</v>
      </c>
    </row>
    <row r="37" spans="1:29" x14ac:dyDescent="0.45">
      <c r="AC37" s="5"/>
    </row>
    <row r="38" spans="1:29" x14ac:dyDescent="0.45">
      <c r="AC38" s="5"/>
    </row>
    <row r="39" spans="1:29" x14ac:dyDescent="0.45">
      <c r="AC39" s="5"/>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632B8-F862-416B-9C43-105A90211BAC}">
  <sheetPr codeName="Tabelle3"/>
  <dimension ref="A1:R31"/>
  <sheetViews>
    <sheetView zoomScale="115" zoomScaleNormal="115" workbookViewId="0">
      <selection activeCell="H7" sqref="H7"/>
    </sheetView>
  </sheetViews>
  <sheetFormatPr baseColWidth="10" defaultRowHeight="14.25" x14ac:dyDescent="0.45"/>
  <cols>
    <col min="1" max="1" width="11.9296875" bestFit="1" customWidth="1"/>
    <col min="2" max="2" width="14.73046875" customWidth="1"/>
    <col min="3" max="3" width="5.9296875" customWidth="1"/>
    <col min="4" max="4" width="6.6640625" customWidth="1"/>
    <col min="5" max="5" width="34.33203125" customWidth="1"/>
    <col min="6" max="6" width="12.46484375" customWidth="1"/>
    <col min="7" max="7" width="3.73046875" customWidth="1"/>
    <col min="8" max="8" width="32.59765625" customWidth="1"/>
    <col min="9" max="9" width="6.33203125" customWidth="1"/>
    <col min="10" max="10" width="39.1328125" customWidth="1"/>
    <col min="11" max="11" width="108.59765625" bestFit="1" customWidth="1"/>
  </cols>
  <sheetData>
    <row r="1" spans="1:18" x14ac:dyDescent="0.45">
      <c r="K1" t="s">
        <v>60</v>
      </c>
    </row>
    <row r="2" spans="1:18" x14ac:dyDescent="0.45">
      <c r="A2" s="1" t="s">
        <v>34</v>
      </c>
      <c r="B2" s="1" t="s">
        <v>35</v>
      </c>
      <c r="C2" s="1" t="s">
        <v>36</v>
      </c>
      <c r="D2" s="1" t="s">
        <v>37</v>
      </c>
      <c r="E2" s="1" t="s">
        <v>38</v>
      </c>
      <c r="F2" s="1" t="s">
        <v>85</v>
      </c>
      <c r="G2" s="1" t="s">
        <v>162</v>
      </c>
      <c r="H2" s="1" t="s">
        <v>281</v>
      </c>
      <c r="I2" s="1"/>
      <c r="J2" s="1" t="s">
        <v>59</v>
      </c>
    </row>
    <row r="3" spans="1:18" x14ac:dyDescent="0.45">
      <c r="A3" t="s">
        <v>32</v>
      </c>
      <c r="B3" t="s">
        <v>69</v>
      </c>
      <c r="C3" t="s">
        <v>57</v>
      </c>
      <c r="D3" t="s">
        <v>57</v>
      </c>
      <c r="E3" t="s">
        <v>33</v>
      </c>
      <c r="G3" t="s">
        <v>61</v>
      </c>
      <c r="H3" s="3"/>
      <c r="I3" t="s">
        <v>57</v>
      </c>
      <c r="J3" s="7" t="s">
        <v>391</v>
      </c>
      <c r="K3" s="5" t="str">
        <f>CONCATENATE("   ",$K$1,".AddDataType(""",A3,""", """,B3, """, ",C3,", ",D3, ", """,H3,""", """,E3,""", """,F3,""", """,G3,""", ",I3,", """,J3,"""",    " );")</f>
        <v xml:space="preserve">   dictionary.AddDataType("bigint", "BIGINT", false, false, "", "long long", "", "i", false, "BIGINT is largest integer data type for SQL Server . It uses 8 bytes of storage." );</v>
      </c>
      <c r="R3" s="3" t="s">
        <v>183</v>
      </c>
    </row>
    <row r="4" spans="1:18" x14ac:dyDescent="0.45">
      <c r="A4" t="s">
        <v>27</v>
      </c>
      <c r="B4" t="s">
        <v>392</v>
      </c>
      <c r="C4" t="s">
        <v>57</v>
      </c>
      <c r="D4" t="s">
        <v>57</v>
      </c>
      <c r="E4" t="s">
        <v>27</v>
      </c>
      <c r="G4" t="s">
        <v>62</v>
      </c>
      <c r="H4" s="3" t="s">
        <v>286</v>
      </c>
      <c r="I4" t="s">
        <v>57</v>
      </c>
      <c r="J4" s="7" t="s">
        <v>393</v>
      </c>
      <c r="K4" s="5" t="str">
        <f t="shared" ref="K4:K14" si="0">CONCATENATE("   ",$K$1,".AddDataType(""",A4,""", """,B4, """, ",C4,", ",D4, ", """,H4,""", """,E4,""", """,F4,""", """,G4,""", ",I4,", """,J4,"""",    " );")</f>
        <v xml:space="preserve">   dictionary.AddDataType("bool", "TINYINT", false, false, "IN (0, 1)", "bool", "", "bo", false, "boolean (true = 1, false = 2) in source will transformed to TINYINT. This is the smallest integer data type and only uses 1 byte of storage. this data type is an integer value from 0 to 255." );</v>
      </c>
      <c r="R4" t="s">
        <v>57</v>
      </c>
    </row>
    <row r="5" spans="1:18" x14ac:dyDescent="0.45">
      <c r="A5" t="s">
        <v>24</v>
      </c>
      <c r="B5" t="s">
        <v>71</v>
      </c>
      <c r="C5" t="s">
        <v>58</v>
      </c>
      <c r="D5" t="s">
        <v>57</v>
      </c>
      <c r="E5" t="s">
        <v>26</v>
      </c>
      <c r="F5" t="s">
        <v>181</v>
      </c>
      <c r="G5" t="s">
        <v>64</v>
      </c>
      <c r="H5" s="3"/>
      <c r="I5" t="s">
        <v>58</v>
      </c>
      <c r="J5" s="7" t="s">
        <v>395</v>
      </c>
      <c r="K5" s="5" t="str">
        <f t="shared" si="0"/>
        <v xml:space="preserve">   dictionary.AddDataType("char", "CHAR", true, false, "", "std::string", "&lt;string&gt;", "c", true, "CHAR is a fixed-sized character data type and will transformed to a std::string. Use this type when values are consistent in length. The max  size is 8,000, storing up to 8,000 ASCII characters." );</v>
      </c>
      <c r="R5" s="3" t="s">
        <v>184</v>
      </c>
    </row>
    <row r="6" spans="1:18" x14ac:dyDescent="0.45">
      <c r="A6" t="s">
        <v>22</v>
      </c>
      <c r="B6" t="s">
        <v>72</v>
      </c>
      <c r="C6" t="s">
        <v>57</v>
      </c>
      <c r="D6" t="s">
        <v>57</v>
      </c>
      <c r="E6" t="s">
        <v>29</v>
      </c>
      <c r="F6" t="s">
        <v>180</v>
      </c>
      <c r="G6" t="s">
        <v>63</v>
      </c>
      <c r="H6" s="3"/>
      <c r="I6" t="s">
        <v>57</v>
      </c>
      <c r="J6" s="7" t="s">
        <v>396</v>
      </c>
      <c r="K6" s="5" t="str">
        <f t="shared" si="0"/>
        <v xml:space="preserve">   dictionary.AddDataType("date", "DATE", false, false, "", "std::chrono::year_month_day", "&lt;chrono&gt;", "da", false, "date is the DATE data type which is specifies a date in SQL Server.  DATE supports dates from 0001-01-01 through 9999-12-31. Ist will transformed to a std::chrono::year_month_day which is supported from C++20. DATE supports dates from 0001-01-01 through 9999-12-31." );</v>
      </c>
      <c r="R6" t="s">
        <v>185</v>
      </c>
    </row>
    <row r="7" spans="1:18" x14ac:dyDescent="0.45">
      <c r="A7" t="s">
        <v>30</v>
      </c>
      <c r="B7" t="s">
        <v>72</v>
      </c>
      <c r="C7" t="s">
        <v>57</v>
      </c>
      <c r="D7" t="s">
        <v>57</v>
      </c>
      <c r="E7" t="s">
        <v>31</v>
      </c>
      <c r="F7" t="s">
        <v>180</v>
      </c>
      <c r="G7" t="s">
        <v>65</v>
      </c>
      <c r="H7" s="3"/>
      <c r="I7" t="s">
        <v>57</v>
      </c>
      <c r="J7" s="7" t="s">
        <v>394</v>
      </c>
      <c r="K7" s="5" t="str">
        <f t="shared" si="0"/>
        <v xml:space="preserve">   dictionary.AddDataType("datetime", "DATE", false, false, "", "std::chrono::system_clock::time_point&gt;", "&lt;chrono&gt;", "dt", false, "datetime is the DATETIME data type which specifies a date and time with fractional seconds. Ist supports dates from January 1, 1753, through December 31, 9999. the time is based on 24-hour clock. For source code  this type will interpreted as std::chrono::system_clock::time_point&gt;" );</v>
      </c>
      <c r="R7" t="s">
        <v>186</v>
      </c>
    </row>
    <row r="8" spans="1:18" x14ac:dyDescent="0.45">
      <c r="A8" t="s">
        <v>25</v>
      </c>
      <c r="B8" t="s">
        <v>73</v>
      </c>
      <c r="C8" t="s">
        <v>58</v>
      </c>
      <c r="D8" t="s">
        <v>58</v>
      </c>
      <c r="E8" t="s">
        <v>21</v>
      </c>
      <c r="G8" t="s">
        <v>66</v>
      </c>
      <c r="H8" s="3"/>
      <c r="I8" t="s">
        <v>58</v>
      </c>
      <c r="J8" s="7" t="s">
        <v>403</v>
      </c>
      <c r="K8" s="5" t="str">
        <f t="shared" si="0"/>
        <v xml:space="preserve">   dictionary.AddDataType("decimal", "DECIMAL", true, true, "", "double", "", "fl", true, "the DECIMAL data type is an exact number with a fixed precision and scale. precision is an integer representing the total number of digits and scale is also an integer value that represents the number of decimal places. It could be transfered to an bcd type, but we use double as representing type for source code." );</v>
      </c>
      <c r="R8" t="s">
        <v>187</v>
      </c>
    </row>
    <row r="9" spans="1:18" x14ac:dyDescent="0.45">
      <c r="A9" t="s">
        <v>21</v>
      </c>
      <c r="B9" t="s">
        <v>74</v>
      </c>
      <c r="C9" t="s">
        <v>57</v>
      </c>
      <c r="D9" t="s">
        <v>57</v>
      </c>
      <c r="E9" t="s">
        <v>21</v>
      </c>
      <c r="G9" t="s">
        <v>66</v>
      </c>
      <c r="H9" s="3"/>
      <c r="I9" t="s">
        <v>58</v>
      </c>
      <c r="J9" s="7" t="s">
        <v>402</v>
      </c>
      <c r="K9" s="5" t="str">
        <f t="shared" si="0"/>
        <v xml:space="preserve">   dictionary.AddDataType("double", "FLOAT", false, false, "", "double", "", "fl", true, "The FLOAT data type is an approximate number with floating point data equal to ieee coded values in programming (this means not all values can be represented exactly)." );</v>
      </c>
      <c r="R9" t="s">
        <v>187</v>
      </c>
    </row>
    <row r="10" spans="1:18" x14ac:dyDescent="0.45">
      <c r="A10" t="s">
        <v>20</v>
      </c>
      <c r="B10" t="s">
        <v>75</v>
      </c>
      <c r="C10" t="s">
        <v>57</v>
      </c>
      <c r="D10" t="s">
        <v>57</v>
      </c>
      <c r="E10" t="s">
        <v>28</v>
      </c>
      <c r="G10" t="s">
        <v>61</v>
      </c>
      <c r="H10" s="3"/>
      <c r="I10" t="s">
        <v>57</v>
      </c>
      <c r="J10" s="7" t="s">
        <v>397</v>
      </c>
      <c r="K10" s="5" t="str">
        <f t="shared" si="0"/>
        <v xml:space="preserve">   dictionary.AddDataType("integer", "INT", false, false, "", "int", "", "i", false, "the INT data type is an the most used integer value type in SQL Server and  uses 4 bytes of storage.  it always stores positive and negative values. The type will translated to an int type of c++." );</v>
      </c>
      <c r="R10" s="3" t="s">
        <v>183</v>
      </c>
    </row>
    <row r="11" spans="1:18" x14ac:dyDescent="0.45">
      <c r="A11" t="s">
        <v>135</v>
      </c>
      <c r="B11" t="s">
        <v>70</v>
      </c>
      <c r="C11" t="s">
        <v>57</v>
      </c>
      <c r="D11" t="s">
        <v>57</v>
      </c>
      <c r="E11" t="s">
        <v>400</v>
      </c>
      <c r="G11" t="s">
        <v>61</v>
      </c>
      <c r="H11" s="3"/>
      <c r="I11" t="s">
        <v>57</v>
      </c>
      <c r="J11" s="7" t="s">
        <v>401</v>
      </c>
      <c r="K11" s="5" t="str">
        <f t="shared" si="0"/>
        <v xml:space="preserve">   dictionary.AddDataType("smallint", "SMALLINT", false, false, "", "short int", "", "i", false, "the SMALLINT data type is an integer value from -32,768 to 32,767 and uses 2 bytes of storage. In c++ is the short int type used to represent this data." );</v>
      </c>
      <c r="R11" s="3" t="s">
        <v>183</v>
      </c>
    </row>
    <row r="12" spans="1:18" x14ac:dyDescent="0.45">
      <c r="A12" t="s">
        <v>282</v>
      </c>
      <c r="B12" t="s">
        <v>75</v>
      </c>
      <c r="C12" t="s">
        <v>57</v>
      </c>
      <c r="D12" t="s">
        <v>57</v>
      </c>
      <c r="E12" t="s">
        <v>283</v>
      </c>
      <c r="G12" t="s">
        <v>284</v>
      </c>
      <c r="H12" s="3" t="s">
        <v>285</v>
      </c>
      <c r="I12" t="s">
        <v>57</v>
      </c>
      <c r="J12" s="7" t="s">
        <v>397</v>
      </c>
      <c r="K12" s="5" t="str">
        <f t="shared" si="0"/>
        <v xml:space="preserve">   dictionary.AddDataType("unsigned", "INT", false, false, "&gt;= 0", "unsigned int", "", "u", false, "the INT data type is an the most used integer value type in SQL Server and  uses 4 bytes of storage.  it always stores positive and negative values. The type will translated to an int type of c++." );</v>
      </c>
      <c r="R12" s="3"/>
    </row>
    <row r="13" spans="1:18" x14ac:dyDescent="0.45">
      <c r="A13" t="s">
        <v>19</v>
      </c>
      <c r="B13" t="s">
        <v>76</v>
      </c>
      <c r="C13" t="s">
        <v>58</v>
      </c>
      <c r="D13" t="s">
        <v>57</v>
      </c>
      <c r="E13" t="s">
        <v>26</v>
      </c>
      <c r="F13" t="s">
        <v>181</v>
      </c>
      <c r="G13" t="s">
        <v>67</v>
      </c>
      <c r="H13" s="3"/>
      <c r="I13" t="s">
        <v>58</v>
      </c>
      <c r="J13" s="7" t="s">
        <v>399</v>
      </c>
      <c r="K13" s="5" t="str">
        <f t="shared" si="0"/>
        <v xml:space="preserve">   dictionary.AddDataType("varchar", "VARCHAR", true, false, "", "std::string", "&lt;string&gt;", "str", true, "the VARCHAR data type stores variable-length character strings and is used when there is variability in the size of the data. The type may hold up to 8,000 ASCII characters of data. For c++ this datatype use std::string." );</v>
      </c>
      <c r="R13" s="3" t="s">
        <v>188</v>
      </c>
    </row>
    <row r="14" spans="1:18" x14ac:dyDescent="0.45">
      <c r="A14" t="s">
        <v>77</v>
      </c>
      <c r="B14" t="s">
        <v>78</v>
      </c>
      <c r="C14" t="s">
        <v>57</v>
      </c>
      <c r="D14" t="s">
        <v>57</v>
      </c>
      <c r="E14" t="s">
        <v>26</v>
      </c>
      <c r="F14" t="s">
        <v>181</v>
      </c>
      <c r="G14" t="s">
        <v>67</v>
      </c>
      <c r="H14" s="3"/>
      <c r="I14" t="s">
        <v>58</v>
      </c>
      <c r="J14" s="7" t="s">
        <v>398</v>
      </c>
      <c r="K14" s="5" t="str">
        <f t="shared" si="0"/>
        <v xml:space="preserve">   dictionary.AddDataType("text", "VARCHAR(MAX)", false, false, "", "std::string", "&lt;string&gt;", "str", true, "the VARCHAR(MAX) data type stores variable-length character strings and is used to store very large, i.e. max length, character data. It can hold mostly as much as 2GB of ASCII character data. For c++ this datatype use std::string." );</v>
      </c>
      <c r="R14" s="3" t="s">
        <v>188</v>
      </c>
    </row>
    <row r="18" spans="1:1" x14ac:dyDescent="0.45">
      <c r="A18" s="1" t="s">
        <v>86</v>
      </c>
    </row>
    <row r="19" spans="1:1" x14ac:dyDescent="0.45">
      <c r="A19" t="s">
        <v>90</v>
      </c>
    </row>
    <row r="20" spans="1:1" x14ac:dyDescent="0.45">
      <c r="A20" t="s">
        <v>182</v>
      </c>
    </row>
    <row r="21" spans="1:1" x14ac:dyDescent="0.45">
      <c r="A21" t="s">
        <v>87</v>
      </c>
    </row>
    <row r="22" spans="1:1" x14ac:dyDescent="0.45">
      <c r="A22" t="s">
        <v>88</v>
      </c>
    </row>
    <row r="23" spans="1:1" x14ac:dyDescent="0.45">
      <c r="A23" t="s">
        <v>89</v>
      </c>
    </row>
    <row r="25" spans="1:1" x14ac:dyDescent="0.45">
      <c r="A25" s="1" t="s">
        <v>91</v>
      </c>
    </row>
    <row r="26" spans="1:1" x14ac:dyDescent="0.45">
      <c r="A26" t="s">
        <v>90</v>
      </c>
    </row>
    <row r="27" spans="1:1" x14ac:dyDescent="0.45">
      <c r="A27" t="s">
        <v>92</v>
      </c>
    </row>
    <row r="28" spans="1:1" x14ac:dyDescent="0.45">
      <c r="A28" t="s">
        <v>93</v>
      </c>
    </row>
    <row r="29" spans="1:1" x14ac:dyDescent="0.45">
      <c r="A29" t="s">
        <v>94</v>
      </c>
    </row>
    <row r="30" spans="1:1" x14ac:dyDescent="0.45">
      <c r="A30" t="s">
        <v>95</v>
      </c>
    </row>
    <row r="31" spans="1:1" x14ac:dyDescent="0.45">
      <c r="A31" t="s">
        <v>96</v>
      </c>
    </row>
  </sheetData>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272F1-0B8D-41BF-9E5A-DD82B41D23A2}">
  <sheetPr codeName="Tabelle5"/>
  <dimension ref="A1:K57"/>
  <sheetViews>
    <sheetView topLeftCell="I22" workbookViewId="0">
      <selection activeCell="K29" sqref="K29"/>
    </sheetView>
  </sheetViews>
  <sheetFormatPr baseColWidth="10" defaultRowHeight="14.25" x14ac:dyDescent="0.45"/>
  <cols>
    <col min="1" max="1" width="14.53125" customWidth="1"/>
    <col min="2" max="2" width="4.6640625" customWidth="1"/>
    <col min="3" max="3" width="19.06640625" customWidth="1"/>
    <col min="4" max="4" width="17.6640625" customWidth="1"/>
    <col min="5" max="5" width="46.33203125" customWidth="1"/>
    <col min="6" max="6" width="11.59765625" customWidth="1"/>
    <col min="11" max="11" width="219.265625" style="6" bestFit="1" customWidth="1"/>
  </cols>
  <sheetData>
    <row r="1" spans="1:11" x14ac:dyDescent="0.45">
      <c r="K1" s="5"/>
    </row>
    <row r="2" spans="1:11" x14ac:dyDescent="0.45">
      <c r="A2" t="s">
        <v>101</v>
      </c>
      <c r="B2" t="s">
        <v>134</v>
      </c>
      <c r="C2" t="s">
        <v>129</v>
      </c>
      <c r="D2" t="s">
        <v>130</v>
      </c>
      <c r="E2" t="s">
        <v>131</v>
      </c>
      <c r="F2" t="s">
        <v>133</v>
      </c>
      <c r="K2" s="5" t="str" cm="1">
        <f t="array" ref="K2">CONCATENATE("   .AddRangeValue(""INSERT INTO ",A2," ",Liste((B2:J2)), " VALUES\n""")</f>
        <v xml:space="preserve">   .AddRangeValue("INSERT INTO AddressTypes (ID, Denotation, Abbreviation, Description, UrgentValue) VALUES\n"</v>
      </c>
    </row>
    <row r="3" spans="1:11" x14ac:dyDescent="0.45">
      <c r="A3" t="s">
        <v>101</v>
      </c>
      <c r="B3">
        <v>1</v>
      </c>
      <c r="C3" t="s">
        <v>289</v>
      </c>
      <c r="D3" s="3" t="s">
        <v>293</v>
      </c>
      <c r="E3" s="3" t="s">
        <v>294</v>
      </c>
      <c r="F3">
        <v>1</v>
      </c>
      <c r="K3" s="5" t="str" cm="1">
        <f t="array" ref="K3">CONCATENATE("                  ""    ",Liste(B3:J3),IF(K4&lt;&gt;"",", \n""",""")"))</f>
        <v xml:space="preserve">                  "    (1, 'Hauptadresse', 'HA', 'Hauptadresse für die Anwendung', 1), \n"</v>
      </c>
    </row>
    <row r="4" spans="1:11" x14ac:dyDescent="0.45">
      <c r="A4" t="s">
        <v>101</v>
      </c>
      <c r="B4">
        <v>2</v>
      </c>
      <c r="C4" s="3" t="s">
        <v>291</v>
      </c>
      <c r="D4" s="3" t="s">
        <v>296</v>
      </c>
      <c r="E4" s="3" t="s">
        <v>295</v>
      </c>
      <c r="F4">
        <v>0</v>
      </c>
      <c r="K4" s="5" t="str" cm="1">
        <f t="array" ref="K4">CONCATENATE("                  ""    ",Liste(B4:J4),IF(K5&lt;&gt;"",", \n""",""")"))</f>
        <v xml:space="preserve">                  "    (2, 'Rechnungsadresse', 'RA', 'Rechnungsadresse für die Anwendung', 0), \n"</v>
      </c>
    </row>
    <row r="5" spans="1:11" x14ac:dyDescent="0.45">
      <c r="A5" t="s">
        <v>101</v>
      </c>
      <c r="B5">
        <v>3</v>
      </c>
      <c r="C5" s="3" t="s">
        <v>290</v>
      </c>
      <c r="D5" s="3" t="s">
        <v>297</v>
      </c>
      <c r="E5" s="3" t="s">
        <v>299</v>
      </c>
      <c r="F5">
        <v>0</v>
      </c>
      <c r="K5" s="5" t="str" cm="1">
        <f t="array" ref="K5">CONCATENATE("                  ""    ",Liste(B5:J5),IF(K6&lt;&gt;"",", \n""",""")"))</f>
        <v xml:space="preserve">                  "    (3, 'Lieferadresse', 'LA', 'Lieferadresse für die Trainingsanwendung', 0), \n"</v>
      </c>
    </row>
    <row r="6" spans="1:11" x14ac:dyDescent="0.45">
      <c r="A6" t="s">
        <v>101</v>
      </c>
      <c r="B6">
        <v>4</v>
      </c>
      <c r="C6" s="3" t="s">
        <v>292</v>
      </c>
      <c r="D6" s="3" t="s">
        <v>298</v>
      </c>
      <c r="E6" s="3" t="s">
        <v>300</v>
      </c>
      <c r="F6">
        <v>0</v>
      </c>
      <c r="K6" s="5" t="str" cm="1">
        <f t="array" ref="K6">CONCATENATE("                  ""    ",Liste(B6:J6),IF(K7&lt;&gt;"",", \n""",""")"))</f>
        <v xml:space="preserve">                  "    (4, 'Urlaubsadresse', 'UA', 'eine Adresse, in der die Person im Urlaub erreichbar ist', 0)")</v>
      </c>
    </row>
    <row r="7" spans="1:11" x14ac:dyDescent="0.45">
      <c r="K7" s="5"/>
    </row>
    <row r="8" spans="1:11" x14ac:dyDescent="0.45">
      <c r="A8" t="s">
        <v>301</v>
      </c>
      <c r="B8" t="s">
        <v>134</v>
      </c>
      <c r="C8" t="s">
        <v>129</v>
      </c>
      <c r="D8" t="s">
        <v>130</v>
      </c>
      <c r="E8" t="s">
        <v>131</v>
      </c>
      <c r="F8" t="s">
        <v>133</v>
      </c>
      <c r="K8" s="5" t="str" cm="1">
        <f t="array" ref="K8">CONCATENATE("   .AddRangeValue(""INSERT INTO ",A8," ",Liste((B8:J8)), " VALUES\n""")</f>
        <v xml:space="preserve">   .AddRangeValue("INSERT INTO PhoneTypes (ID, Denotation, Abbreviation, Description, UrgentValue) VALUES\n"</v>
      </c>
    </row>
    <row r="9" spans="1:11" x14ac:dyDescent="0.45">
      <c r="A9" t="s">
        <v>301</v>
      </c>
      <c r="B9">
        <v>1</v>
      </c>
      <c r="C9" s="3" t="s">
        <v>304</v>
      </c>
      <c r="D9" s="3" t="s">
        <v>305</v>
      </c>
      <c r="E9" s="3" t="s">
        <v>310</v>
      </c>
      <c r="F9">
        <v>1</v>
      </c>
      <c r="K9" s="5" t="str" cm="1">
        <f t="array" ref="K9">CONCATENATE("                  ""    ",Liste(B9:J9),IF(K10&lt;&gt;"",", \n""",""")"))</f>
        <v xml:space="preserve">                  "    (1, 'Telefon', 'Tel', 'Telefonnummer zu einer Person', 1), \n"</v>
      </c>
    </row>
    <row r="10" spans="1:11" x14ac:dyDescent="0.45">
      <c r="A10" t="s">
        <v>301</v>
      </c>
      <c r="B10">
        <v>2</v>
      </c>
      <c r="C10" s="3" t="s">
        <v>306</v>
      </c>
      <c r="D10" s="3" t="s">
        <v>307</v>
      </c>
      <c r="E10" s="3" t="s">
        <v>311</v>
      </c>
      <c r="F10">
        <v>1</v>
      </c>
      <c r="K10" s="5" t="str" cm="1">
        <f t="array" ref="K10">CONCATENATE("                  ""    ",Liste(B10:J10),IF(K11&lt;&gt;"",", \n""",""")"))</f>
        <v xml:space="preserve">                  "    (2, 'Fax', Fax', 'Faxnummer zu einer Person', 1), \n"</v>
      </c>
    </row>
    <row r="11" spans="1:11" x14ac:dyDescent="0.45">
      <c r="A11" t="s">
        <v>301</v>
      </c>
      <c r="B11">
        <v>3</v>
      </c>
      <c r="C11" s="3" t="s">
        <v>308</v>
      </c>
      <c r="D11" s="3" t="s">
        <v>309</v>
      </c>
      <c r="E11" s="3" t="s">
        <v>312</v>
      </c>
      <c r="F11">
        <v>1</v>
      </c>
      <c r="K11" s="5" t="str" cm="1">
        <f t="array" ref="K11">CONCATENATE("                  ""    ",Liste(B11:J11),IF(K12&lt;&gt;"",", \n""",""")"))</f>
        <v xml:space="preserve">                  "    (3, 'Mobil', 'Mbl', 'Mobiltelefonnummer zu einer Person', 1)")</v>
      </c>
    </row>
    <row r="12" spans="1:11" x14ac:dyDescent="0.45">
      <c r="K12" s="5"/>
    </row>
    <row r="13" spans="1:11" x14ac:dyDescent="0.45">
      <c r="A13" t="s">
        <v>103</v>
      </c>
      <c r="B13" t="s">
        <v>134</v>
      </c>
      <c r="C13" t="s">
        <v>129</v>
      </c>
      <c r="D13" t="s">
        <v>130</v>
      </c>
      <c r="E13" t="s">
        <v>131</v>
      </c>
      <c r="F13" t="s">
        <v>133</v>
      </c>
      <c r="K13" s="5" t="str" cm="1">
        <f t="array" ref="K13">CONCATENATE("   .AddRangeValue(""INSERT INTO ",A13," ",Liste((B13:J13)), " VALUES\n""")</f>
        <v xml:space="preserve">   .AddRangeValue("INSERT INTO BankingTypes (ID, Denotation, Abbreviation, Description, UrgentValue) VALUES\n"</v>
      </c>
    </row>
    <row r="14" spans="1:11" x14ac:dyDescent="0.45">
      <c r="A14" t="s">
        <v>103</v>
      </c>
      <c r="B14">
        <v>1</v>
      </c>
      <c r="C14" s="3" t="s">
        <v>313</v>
      </c>
      <c r="D14" s="3" t="s">
        <v>314</v>
      </c>
      <c r="E14" s="3" t="s">
        <v>315</v>
      </c>
      <c r="F14">
        <v>1</v>
      </c>
      <c r="K14" s="5" t="str" cm="1">
        <f t="array" ref="K14">CONCATENATE("                  ""    ",Liste(B14:J14),IF(K15&lt;&gt;"",", \n""",""")"))</f>
        <v xml:space="preserve">                  "    (1, 'Hauptkonto', 'HK', 'Hauptkonto für die Personen in der Anwendung', 1)")</v>
      </c>
    </row>
    <row r="15" spans="1:11" x14ac:dyDescent="0.45">
      <c r="K15" s="5"/>
    </row>
    <row r="16" spans="1:11" x14ac:dyDescent="0.45">
      <c r="A16" t="s">
        <v>110</v>
      </c>
      <c r="B16" t="s">
        <v>134</v>
      </c>
      <c r="C16" t="s">
        <v>129</v>
      </c>
      <c r="D16" t="s">
        <v>130</v>
      </c>
      <c r="E16" t="s">
        <v>131</v>
      </c>
      <c r="F16" t="s">
        <v>162</v>
      </c>
      <c r="G16" t="s">
        <v>133</v>
      </c>
      <c r="K16" s="5" t="str" cm="1">
        <f t="array" ref="K16">CONCATENATE("   .AddRangeValue(""INSERT INTO ",A16," ",Liste((B16:J16)), " VALUES\n""")</f>
        <v xml:space="preserve">   .AddRangeValue("INSERT INTO InternetTypes (ID, Denotation, Abbreviation, Description, Prefix, UrgentValue) VALUES\n"</v>
      </c>
    </row>
    <row r="17" spans="1:11" x14ac:dyDescent="0.45">
      <c r="A17" t="s">
        <v>110</v>
      </c>
      <c r="B17">
        <v>1</v>
      </c>
      <c r="C17" s="3" t="s">
        <v>316</v>
      </c>
      <c r="D17" s="3" t="s">
        <v>319</v>
      </c>
      <c r="E17" s="3" t="s">
        <v>322</v>
      </c>
      <c r="F17" s="3" t="s">
        <v>326</v>
      </c>
      <c r="G17">
        <v>1</v>
      </c>
      <c r="K17" s="5" t="str" cm="1">
        <f t="array" ref="K17">CONCATENATE("                  ""    ",Liste(B17:J17),IF(K18&lt;&gt;"",", \n""",""")"))</f>
        <v xml:space="preserve">                  "    (1, 'Internet', 'HTTP', 'Die Homepage einer Person', 'http://', 1), \n"</v>
      </c>
    </row>
    <row r="18" spans="1:11" x14ac:dyDescent="0.45">
      <c r="A18" t="s">
        <v>110</v>
      </c>
      <c r="B18">
        <v>2</v>
      </c>
      <c r="C18" s="3" t="s">
        <v>317</v>
      </c>
      <c r="D18" s="3" t="s">
        <v>320</v>
      </c>
      <c r="E18" s="3" t="s">
        <v>323</v>
      </c>
      <c r="F18" s="3" t="s">
        <v>327</v>
      </c>
      <c r="G18">
        <v>1</v>
      </c>
      <c r="K18" s="5" t="str" cm="1">
        <f t="array" ref="K18">CONCATENATE("                  ""    ",Liste(B18:J18),IF(K19&lt;&gt;"",", \n""",""")"))</f>
        <v xml:space="preserve">                  "    (2, 'Email', 'Mail', 'Email- Adresse einer Person', 'mailto:', 1), \n"</v>
      </c>
    </row>
    <row r="19" spans="1:11" x14ac:dyDescent="0.45">
      <c r="A19" t="s">
        <v>110</v>
      </c>
      <c r="B19">
        <v>3</v>
      </c>
      <c r="C19" s="3" t="s">
        <v>318</v>
      </c>
      <c r="D19" s="3" t="s">
        <v>318</v>
      </c>
      <c r="E19" s="3" t="s">
        <v>324</v>
      </c>
      <c r="F19" s="3" t="s">
        <v>328</v>
      </c>
      <c r="G19">
        <v>1</v>
      </c>
      <c r="K19" s="5" t="str" cm="1">
        <f t="array" ref="K19">CONCATENATE("                  ""    ",Liste(B19:J19),IF(K20&lt;&gt;"",", \n""",""")"))</f>
        <v xml:space="preserve">                  "    (3, 'Skype', 'Skype', 'Skype- Name einer Person', 'skype:', 1), \n"</v>
      </c>
    </row>
    <row r="20" spans="1:11" x14ac:dyDescent="0.45">
      <c r="A20" t="s">
        <v>110</v>
      </c>
      <c r="B20">
        <v>4</v>
      </c>
      <c r="C20" s="3" t="s">
        <v>304</v>
      </c>
      <c r="D20" s="3" t="s">
        <v>321</v>
      </c>
      <c r="E20" s="3" t="s">
        <v>325</v>
      </c>
      <c r="F20" s="3" t="s">
        <v>329</v>
      </c>
      <c r="G20">
        <v>1</v>
      </c>
      <c r="K20" s="5" t="str" cm="1">
        <f t="array" ref="K20">CONCATENATE("                  ""    ",Liste(B20:J20),IF(K21&lt;&gt;"",", \n""",""")"))</f>
        <v xml:space="preserve">                  "    (4, 'Telefon', 'VoIP', 'VoIP- Nummer einer Person', 'phone:', 1)")</v>
      </c>
    </row>
    <row r="21" spans="1:11" x14ac:dyDescent="0.45">
      <c r="K21" s="5"/>
    </row>
    <row r="22" spans="1:11" x14ac:dyDescent="0.45">
      <c r="A22" t="s">
        <v>107</v>
      </c>
      <c r="B22" t="s">
        <v>134</v>
      </c>
      <c r="C22" t="s">
        <v>129</v>
      </c>
      <c r="D22" t="s">
        <v>130</v>
      </c>
      <c r="E22" t="s">
        <v>131</v>
      </c>
      <c r="F22" t="s">
        <v>133</v>
      </c>
      <c r="K22" s="5" t="str" cm="1">
        <f t="array" ref="K22">CONCATENATE("   .AddRangeValue(""INSERT INTO ",A22," ",Liste((B22:J22)), " VALUES\n""")</f>
        <v xml:space="preserve">   .AddRangeValue("INSERT INTO FamilyTypes (ID, Denotation, Abbreviation, Description, UrgentValue) VALUES\n"</v>
      </c>
    </row>
    <row r="23" spans="1:11" x14ac:dyDescent="0.45">
      <c r="A23" t="s">
        <v>107</v>
      </c>
      <c r="B23">
        <v>1</v>
      </c>
      <c r="C23" s="3" t="s">
        <v>330</v>
      </c>
      <c r="D23" s="3" t="s">
        <v>491</v>
      </c>
      <c r="E23" s="3" t="s">
        <v>496</v>
      </c>
      <c r="F23">
        <v>1</v>
      </c>
      <c r="K23" s="5" t="str" cm="1">
        <f t="array" ref="K23">CONCATENATE("                  ""    ",Liste(B23:J23),IF(K24&lt;&gt;"",", \n""",""")"))</f>
        <v xml:space="preserve">                  "    (1, 'Mann', 'M', 'Person mit männlichem Geschlecht', 1), \n"</v>
      </c>
    </row>
    <row r="24" spans="1:11" x14ac:dyDescent="0.45">
      <c r="A24" t="s">
        <v>107</v>
      </c>
      <c r="B24">
        <v>2</v>
      </c>
      <c r="C24" s="3" t="s">
        <v>331</v>
      </c>
      <c r="D24" s="3" t="s">
        <v>490</v>
      </c>
      <c r="E24" s="3" t="s">
        <v>497</v>
      </c>
      <c r="F24">
        <v>1</v>
      </c>
      <c r="K24" s="5" t="str" cm="1">
        <f t="array" ref="K24">CONCATENATE("                  ""    ",Liste(B24:J24),IF(K25&lt;&gt;"",", \n""",""")"))</f>
        <v xml:space="preserve">                  "    (2, 'Frau, 'F', 'Person mit weiblichen Geschlecht', 1), \n"</v>
      </c>
    </row>
    <row r="25" spans="1:11" x14ac:dyDescent="0.45">
      <c r="A25" t="s">
        <v>107</v>
      </c>
      <c r="B25">
        <v>3</v>
      </c>
      <c r="C25" s="3" t="s">
        <v>332</v>
      </c>
      <c r="D25" s="3" t="s">
        <v>495</v>
      </c>
      <c r="E25" s="3" t="s">
        <v>498</v>
      </c>
      <c r="F25">
        <v>1</v>
      </c>
      <c r="K25" s="5" t="str" cm="1">
        <f t="array" ref="K25">CONCATENATE("                  ""    ",Liste(B25:J25),IF(K26&lt;&gt;"",", \n""",""")"))</f>
        <v xml:space="preserve">                  "    (3, 'Diverse', 'div', 'Eine Identität, die die Vielfalt der Geschlechteridentitäten umfasst und nicht in die traditionellen binären Kategorien männlich oder weiblich passt.', 1), \n"</v>
      </c>
    </row>
    <row r="26" spans="1:11" x14ac:dyDescent="0.45">
      <c r="A26" t="s">
        <v>107</v>
      </c>
      <c r="B26">
        <v>4</v>
      </c>
      <c r="C26" s="3" t="s">
        <v>333</v>
      </c>
      <c r="D26" s="3" t="s">
        <v>494</v>
      </c>
      <c r="E26" s="3" t="s">
        <v>499</v>
      </c>
      <c r="F26">
        <v>1</v>
      </c>
      <c r="K26" s="5" t="str" cm="1">
        <f t="array" ref="K26">CONCATENATE("                  ""    ",Liste(B26:J26),IF(K27&lt;&gt;"",", \n""",""")"))</f>
        <v xml:space="preserve">                  "    (4, Non-Binär', 'non', 'Eine Identität außerhalb der traditionellen binären Geschlechtkategorien männlich und weiblich, die sich jenseits dieser Konzepte befindet.', 1), \n"</v>
      </c>
    </row>
    <row r="27" spans="1:11" x14ac:dyDescent="0.45">
      <c r="A27" t="s">
        <v>107</v>
      </c>
      <c r="B27">
        <v>5</v>
      </c>
      <c r="C27" s="3" t="s">
        <v>334</v>
      </c>
      <c r="D27" s="3" t="s">
        <v>493</v>
      </c>
      <c r="E27" s="3" t="s">
        <v>500</v>
      </c>
      <c r="F27">
        <v>1</v>
      </c>
      <c r="K27" s="5" t="str" cm="1">
        <f t="array" ref="K27">CONCATENATE("                  ""    ",Liste(B27:J27),IF(K28&lt;&gt;"",", \n""",""")"))</f>
        <v xml:space="preserve">                  "    (5, 'Firma', 'FA', 'Eine rechtliche Einheit, die gegründet wird, um kommerzielle oder geschäftliche Aktivitäten auszuüben, die in der Regel einen oder mehrere Eigentümer haben.', 1), \n"</v>
      </c>
    </row>
    <row r="28" spans="1:11" x14ac:dyDescent="0.45">
      <c r="A28" t="s">
        <v>107</v>
      </c>
      <c r="B28">
        <v>6</v>
      </c>
      <c r="C28" s="3" t="s">
        <v>335</v>
      </c>
      <c r="D28" s="3" t="s">
        <v>492</v>
      </c>
      <c r="E28" s="3" t="s">
        <v>502</v>
      </c>
      <c r="F28">
        <v>1</v>
      </c>
      <c r="K28" s="5" t="str" cm="1">
        <f t="array" ref="K28">CONCATENATE("                  ""    ",Liste(B28:J28),IF(K29&lt;&gt;"",", \n""",""")"))</f>
        <v xml:space="preserve">                  "    (6, 'Familie', 'Fam', 'Eine soziale Einheit, die aus Eltern und ihren Kindern besteht, die zusammenleben und sich normalerweise gegenseitig unterstützen und emotional miteinander verbunden sind.', 1), \n"</v>
      </c>
    </row>
    <row r="29" spans="1:11" x14ac:dyDescent="0.45">
      <c r="A29" t="s">
        <v>107</v>
      </c>
      <c r="B29">
        <v>7</v>
      </c>
      <c r="C29" s="3" t="s">
        <v>503</v>
      </c>
      <c r="D29" s="3" t="s">
        <v>504</v>
      </c>
      <c r="E29" s="3" t="s">
        <v>505</v>
      </c>
      <c r="F29">
        <v>1</v>
      </c>
      <c r="K29" s="5" t="str" cm="1">
        <f t="array" ref="K29">CONCATENATE("                  ""    ",Liste(B29:J29),IF(K30&lt;&gt;"",", \n""",""")"))</f>
        <v xml:space="preserve">                  "    (7, 'Gemeinschaft', 'eLG', 'Eine Form des Zusammenlebens von Menschen, die nicht notwendigerweise auf einer romantischen Beziehung basiert, sondern auf gemeinsamen Zielen, Werten oder Lebensweisen beruht, oft in einem gemeinsamen Haushalt.', 1), \n"</v>
      </c>
    </row>
    <row r="30" spans="1:11" x14ac:dyDescent="0.45">
      <c r="A30" t="s">
        <v>107</v>
      </c>
      <c r="B30">
        <v>8</v>
      </c>
      <c r="C30" s="3" t="s">
        <v>336</v>
      </c>
      <c r="D30" s="3" t="s">
        <v>366</v>
      </c>
      <c r="E30" s="3" t="s">
        <v>501</v>
      </c>
      <c r="F30">
        <v>1</v>
      </c>
      <c r="K30" s="5" t="str" cm="1">
        <f t="array" ref="K30">CONCATENATE("                  ""    ",Liste(B30:J30),IF(K31&lt;&gt;"",", \n""",""")"))</f>
        <v xml:space="preserve">                  "    (8, 'Verein', 'EV', 'Eine rechtliche und organisatorische Struktur, die von einer Gruppe von Personen gegründet wurde, um gemeinsame Interessen oder Ziele zu verfolgen, oft auf gemeinnütziger Basis.', 1)")</v>
      </c>
    </row>
    <row r="31" spans="1:11" x14ac:dyDescent="0.45">
      <c r="K31" s="5"/>
    </row>
    <row r="32" spans="1:11" x14ac:dyDescent="0.45">
      <c r="A32" t="s">
        <v>108</v>
      </c>
      <c r="B32" t="s">
        <v>134</v>
      </c>
      <c r="C32" t="s">
        <v>129</v>
      </c>
      <c r="D32" t="s">
        <v>130</v>
      </c>
      <c r="E32" t="s">
        <v>131</v>
      </c>
      <c r="K32" s="5" t="str" cm="1">
        <f t="array" ref="K32">CONCATENATE("INSERT INTO ",A32," ",Liste((B32:J32)), " VALUES")</f>
        <v>INSERT INTO FormOfAddress (ID, Denotation, Abbreviation, Description) VALUES</v>
      </c>
    </row>
    <row r="33" spans="1:11" x14ac:dyDescent="0.45">
      <c r="A33" t="s">
        <v>108</v>
      </c>
      <c r="B33">
        <v>1</v>
      </c>
      <c r="K33" s="5"/>
    </row>
    <row r="34" spans="1:11" x14ac:dyDescent="0.45">
      <c r="A34" t="s">
        <v>108</v>
      </c>
      <c r="B34">
        <v>2</v>
      </c>
      <c r="K34" s="5"/>
    </row>
    <row r="35" spans="1:11" x14ac:dyDescent="0.45">
      <c r="A35" t="s">
        <v>108</v>
      </c>
      <c r="B35">
        <v>3</v>
      </c>
      <c r="K35" s="5"/>
    </row>
    <row r="36" spans="1:11" x14ac:dyDescent="0.45">
      <c r="K36" s="5"/>
    </row>
    <row r="37" spans="1:11" x14ac:dyDescent="0.45">
      <c r="A37" t="s">
        <v>175</v>
      </c>
      <c r="B37" t="s">
        <v>134</v>
      </c>
      <c r="C37" t="s">
        <v>129</v>
      </c>
      <c r="D37" t="s">
        <v>130</v>
      </c>
      <c r="E37" t="s">
        <v>131</v>
      </c>
      <c r="K37" s="5" t="str" cm="1">
        <f t="array" ref="K37">CONCATENATE("INSERT INTO ",A37," ",Liste((B37:J37)), " VALUES")</f>
        <v>INSERT INTO FamilyStatus (ID, Denotation, Abbreviation, Description) VALUES</v>
      </c>
    </row>
    <row r="38" spans="1:11" x14ac:dyDescent="0.45">
      <c r="A38" t="s">
        <v>175</v>
      </c>
      <c r="B38">
        <v>1</v>
      </c>
      <c r="K38" s="5"/>
    </row>
    <row r="39" spans="1:11" x14ac:dyDescent="0.45">
      <c r="A39" t="s">
        <v>175</v>
      </c>
      <c r="B39">
        <v>2</v>
      </c>
      <c r="K39" s="5"/>
    </row>
    <row r="40" spans="1:11" x14ac:dyDescent="0.45">
      <c r="A40" t="s">
        <v>175</v>
      </c>
      <c r="B40">
        <v>3</v>
      </c>
      <c r="K40" s="5"/>
    </row>
    <row r="41" spans="1:11" x14ac:dyDescent="0.45">
      <c r="A41" t="s">
        <v>175</v>
      </c>
      <c r="B41">
        <v>4</v>
      </c>
      <c r="K41" s="5"/>
    </row>
    <row r="42" spans="1:11" x14ac:dyDescent="0.45">
      <c r="A42" t="s">
        <v>175</v>
      </c>
      <c r="B42">
        <v>5</v>
      </c>
      <c r="K42" s="5"/>
    </row>
    <row r="43" spans="1:11" x14ac:dyDescent="0.45">
      <c r="A43" t="s">
        <v>175</v>
      </c>
      <c r="B43">
        <v>6</v>
      </c>
      <c r="K43" s="5"/>
    </row>
    <row r="44" spans="1:11" x14ac:dyDescent="0.45">
      <c r="K44" s="5"/>
    </row>
    <row r="45" spans="1:11" x14ac:dyDescent="0.45">
      <c r="A45" t="s">
        <v>303</v>
      </c>
      <c r="B45" t="s">
        <v>134</v>
      </c>
      <c r="C45" t="s">
        <v>129</v>
      </c>
      <c r="D45" t="s">
        <v>130</v>
      </c>
      <c r="E45" t="s">
        <v>131</v>
      </c>
      <c r="K45" s="5" t="str" cm="1">
        <f t="array" ref="K45">CONCATENATE("   .AddRangeValue(""INSERT INTO ",A45," ",Liste((B45:J45)), " VALUES\n""")</f>
        <v xml:space="preserve">   .AddRangeValue("INSERT INTO TaxClasses (ID, Denotation, Abbreviation, Description) VALUES\n"</v>
      </c>
    </row>
    <row r="46" spans="1:11" x14ac:dyDescent="0.45">
      <c r="A46" t="s">
        <v>303</v>
      </c>
      <c r="B46">
        <v>1</v>
      </c>
      <c r="C46" s="3" t="s">
        <v>349</v>
      </c>
      <c r="D46" s="3" t="s">
        <v>343</v>
      </c>
      <c r="E46" s="3" t="s">
        <v>516</v>
      </c>
      <c r="F46">
        <v>1</v>
      </c>
      <c r="K46" s="5" t="str" cm="1">
        <f t="array" ref="K46">CONCATENATE("                  ""    ",Liste(B46:J46),IF(K47&lt;&gt;"",", \n""",""")"))</f>
        <v xml:space="preserve">                  "    (1, 'Steuerklasse 1', 'I', 'Dies ist die Standardsteuerklasse für alleinstehende Personen ohne Kinder.', 1), \n"</v>
      </c>
    </row>
    <row r="47" spans="1:11" x14ac:dyDescent="0.45">
      <c r="A47" t="s">
        <v>303</v>
      </c>
      <c r="B47">
        <v>2</v>
      </c>
      <c r="C47" s="3" t="s">
        <v>350</v>
      </c>
      <c r="D47" s="3" t="s">
        <v>344</v>
      </c>
      <c r="E47" s="3" t="s">
        <v>360</v>
      </c>
      <c r="F47">
        <v>1</v>
      </c>
      <c r="K47" s="5" t="str" cm="1">
        <f t="array" ref="K47">CONCATENATE("                  ""    ",Liste(B47:J47),IF(K48&lt;&gt;"",", \n""",""")"))</f>
        <v xml:space="preserve">                  "    (2, 'Steuerklasse 2', 'II', 'Diese Steuerklasse ist für Alleinerziehende mit mindestens einem Kind gedacht.', 1), \n"</v>
      </c>
    </row>
    <row r="48" spans="1:11" x14ac:dyDescent="0.45">
      <c r="A48" t="s">
        <v>303</v>
      </c>
      <c r="B48">
        <v>3</v>
      </c>
      <c r="C48" s="3" t="s">
        <v>351</v>
      </c>
      <c r="D48" s="3" t="s">
        <v>345</v>
      </c>
      <c r="E48" s="3" t="s">
        <v>361</v>
      </c>
      <c r="F48">
        <v>1</v>
      </c>
      <c r="K48" s="5" t="str" cm="1">
        <f t="array" ref="K48">CONCATENATE("                  ""    ",Liste(B48:J48),IF(K49&lt;&gt;"",", \n""",""")"))</f>
        <v xml:space="preserve">                  "    (3, 'Steuerklasse 3', 'III', 'Diese Klasse ist für verheiratete oder in einer eingetragenen Lebenspartnerschaft lebende Personen, wenn der Ehe- oder Lebenspartner in Steuerklasse V eingestuft ist oder keine Einkünfte hat.', 1), \n"</v>
      </c>
    </row>
    <row r="49" spans="1:11" x14ac:dyDescent="0.45">
      <c r="A49" t="s">
        <v>303</v>
      </c>
      <c r="B49">
        <v>4</v>
      </c>
      <c r="C49" s="3" t="s">
        <v>352</v>
      </c>
      <c r="D49" s="3" t="s">
        <v>346</v>
      </c>
      <c r="E49" s="3" t="s">
        <v>362</v>
      </c>
      <c r="F49">
        <v>1</v>
      </c>
      <c r="K49" s="5" t="str" cm="1">
        <f t="array" ref="K49">CONCATENATE("                  ""    ",Liste(B49:J49),IF(K50&lt;&gt;"",", \n""",""")"))</f>
        <v xml:space="preserve">                  "    (4, 'Steuerklasse 4', 'IV', 'Dies ist die Standardsteuerklasse für verheiratete oder in einer eingetragenen Lebenspartnerschaft lebende Personen, wenn beide Partner ein ähnliches Einkommen haben.', 1), \n"</v>
      </c>
    </row>
    <row r="50" spans="1:11" x14ac:dyDescent="0.45">
      <c r="A50" t="s">
        <v>303</v>
      </c>
      <c r="B50">
        <v>5</v>
      </c>
      <c r="C50" s="3" t="s">
        <v>353</v>
      </c>
      <c r="D50" s="3" t="s">
        <v>347</v>
      </c>
      <c r="E50" s="3" t="s">
        <v>363</v>
      </c>
      <c r="F50">
        <v>1</v>
      </c>
      <c r="K50" s="5" t="str" cm="1">
        <f t="array" ref="K50">CONCATENATE("                  ""    ",Liste(B50:J50),IF(K51&lt;&gt;"",", \n""",""")"))</f>
        <v xml:space="preserve">                  "    (5, 'Steuerklasse 5', 'V', 'Diese Klasse wird für den Ehe- oder Lebenspartner verwendet, wenn der andere Partner in Steuerklasse III eingestuft ist.', 1), \n"</v>
      </c>
    </row>
    <row r="51" spans="1:11" x14ac:dyDescent="0.45">
      <c r="A51" t="s">
        <v>303</v>
      </c>
      <c r="B51">
        <v>6</v>
      </c>
      <c r="C51" s="3" t="s">
        <v>359</v>
      </c>
      <c r="D51" s="3" t="s">
        <v>348</v>
      </c>
      <c r="E51" s="3" t="s">
        <v>365</v>
      </c>
      <c r="F51">
        <v>1</v>
      </c>
      <c r="K51" s="5" t="str" cm="1">
        <f t="array" ref="K51">CONCATENATE("                  ""    ",Liste(B51:J51),IF(K52&lt;&gt;"",", \n""",""")"))</f>
        <v xml:space="preserve">                  "    (6, 'Steuerklasse 6', 'VI', 'Diese Klasse wird verwendet, wenn eine Person mehrere Jobs hat oder zusätzliche Einkünfte aus einer geringfügigen Beschäftigung hat.', 1), \n"</v>
      </c>
    </row>
    <row r="52" spans="1:11" x14ac:dyDescent="0.45">
      <c r="A52" t="s">
        <v>303</v>
      </c>
      <c r="B52">
        <v>7</v>
      </c>
      <c r="C52" s="3" t="s">
        <v>354</v>
      </c>
      <c r="D52" s="3" t="s">
        <v>357</v>
      </c>
      <c r="E52" s="3" t="s">
        <v>358</v>
      </c>
      <c r="F52">
        <v>1</v>
      </c>
      <c r="K52" s="5" t="str" cm="1">
        <f t="array" ref="K52">CONCATENATE("                  ""    ",Liste(B52:J52),IF(K53&lt;&gt;"",", \n""",""")"))</f>
        <v xml:space="preserve">                  "    (7, 'Ausland', 'A', 'Person wohnt im Ausland, Steuer individuell bestimmen ', 1), \n"</v>
      </c>
    </row>
    <row r="53" spans="1:11" x14ac:dyDescent="0.45">
      <c r="A53" t="s">
        <v>303</v>
      </c>
      <c r="B53">
        <v>8</v>
      </c>
      <c r="C53" s="3" t="s">
        <v>355</v>
      </c>
      <c r="D53" s="3" t="s">
        <v>356</v>
      </c>
      <c r="E53" s="3" t="s">
        <v>364</v>
      </c>
      <c r="F53">
        <v>1</v>
      </c>
      <c r="K53" s="5" t="str" cm="1">
        <f t="array" ref="K53">CONCATENATE("                  ""    ",Liste(B53:J53),IF(K54&lt;&gt;"",", \n""",""")"))</f>
        <v xml:space="preserve">                  "    (8, 'unbekannt', '-', 'Steuerklasse noch unbekannt, unbedingt nachfragen, vorläufig als Steuerklasse 6 abrechnen', 1)")</v>
      </c>
    </row>
    <row r="54" spans="1:11" x14ac:dyDescent="0.45">
      <c r="K54" s="5"/>
    </row>
    <row r="55" spans="1:11" x14ac:dyDescent="0.45">
      <c r="K55" s="5"/>
    </row>
    <row r="56" spans="1:11" x14ac:dyDescent="0.45">
      <c r="K56" s="5"/>
    </row>
    <row r="57" spans="1:11" x14ac:dyDescent="0.45">
      <c r="K57" s="5"/>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CAD30-C0DC-4E40-AB44-1F0865B3DA0B}">
  <dimension ref="A2:F12"/>
  <sheetViews>
    <sheetView tabSelected="1" workbookViewId="0">
      <selection activeCell="D5" sqref="D5"/>
    </sheetView>
  </sheetViews>
  <sheetFormatPr baseColWidth="10" defaultRowHeight="14.25" x14ac:dyDescent="0.45"/>
  <cols>
    <col min="1" max="1" width="13.46484375" customWidth="1"/>
    <col min="2" max="2" width="19.1328125" customWidth="1"/>
    <col min="4" max="4" width="86.1328125" style="5" customWidth="1"/>
    <col min="5" max="5" width="6.86328125" customWidth="1"/>
    <col min="6" max="6" width="99.33203125" style="5" customWidth="1"/>
  </cols>
  <sheetData>
    <row r="2" spans="1:6" x14ac:dyDescent="0.45">
      <c r="A2" t="s">
        <v>104</v>
      </c>
      <c r="B2" t="s">
        <v>523</v>
      </c>
      <c r="D2" s="5" t="s">
        <v>527</v>
      </c>
      <c r="F2" s="5" t="str">
        <f>CONCATENATE("   .",B2,"(""",D2,IF(D3&lt;&gt;"","\n""",""")"))</f>
        <v xml:space="preserve">   .AddPostConditions("CREATE FUNCTION [dbo].[Country_Dialing] (@id AS INTEGER) RETURNS VARCHAR(10)\n"</v>
      </c>
    </row>
    <row r="3" spans="1:6" x14ac:dyDescent="0.45">
      <c r="A3" t="s">
        <v>104</v>
      </c>
      <c r="B3" t="s">
        <v>523</v>
      </c>
      <c r="D3" s="5" t="s">
        <v>521</v>
      </c>
      <c r="F3" s="5" t="str">
        <f>CONCATENATE(REPT(" ",LEN(B3)+5),"""",D3,IF(F4&lt;&gt;"","\n""",""")"))</f>
        <v xml:space="preserve">                      "BEGIN\n"</v>
      </c>
    </row>
    <row r="4" spans="1:6" x14ac:dyDescent="0.45">
      <c r="A4" t="s">
        <v>104</v>
      </c>
      <c r="B4" t="s">
        <v>523</v>
      </c>
      <c r="D4" s="5" t="s">
        <v>517</v>
      </c>
      <c r="F4" s="5" t="str">
        <f>CONCATENATE(REPT(" ",LEN(B4)+5),"""",D4,IF(F5&lt;&gt;"","\n""",""")"))</f>
        <v xml:space="preserve">                      "   DECLARE @retval VARCHAR(10);\n"</v>
      </c>
    </row>
    <row r="5" spans="1:6" x14ac:dyDescent="0.45">
      <c r="A5" t="s">
        <v>104</v>
      </c>
      <c r="B5" t="s">
        <v>523</v>
      </c>
      <c r="D5" s="5" t="s">
        <v>518</v>
      </c>
      <c r="F5" s="5" t="str">
        <f>CONCATENATE(REPT(" ",LEN(B5)+5),"""",D5,IF(F6&lt;&gt;"","\n""",""")"))</f>
        <v xml:space="preserve">                      "   SELECT @retval = CountryDialing\n"</v>
      </c>
    </row>
    <row r="6" spans="1:6" x14ac:dyDescent="0.45">
      <c r="A6" t="s">
        <v>104</v>
      </c>
      <c r="B6" t="s">
        <v>523</v>
      </c>
      <c r="D6" s="5" t="s">
        <v>519</v>
      </c>
      <c r="F6" s="5" t="str">
        <f>CONCATENATE(REPT(" ",LEN(B6)+5),"""",D6,IF(F7&lt;&gt;"","\n""",""")"))</f>
        <v xml:space="preserve">                      "   FROM dbo.Countries\n"</v>
      </c>
    </row>
    <row r="7" spans="1:6" x14ac:dyDescent="0.45">
      <c r="A7" t="s">
        <v>104</v>
      </c>
      <c r="B7" t="s">
        <v>523</v>
      </c>
      <c r="D7" s="5" t="s">
        <v>520</v>
      </c>
      <c r="F7" s="5" t="str">
        <f>CONCATENATE(REPT(" ",LEN(B7)+5),"""",D7,IF(F8&lt;&gt;"","\n""",""")"))</f>
        <v xml:space="preserve">                      "   WHERE ID = @id;\n"</v>
      </c>
    </row>
    <row r="8" spans="1:6" x14ac:dyDescent="0.45">
      <c r="A8" t="s">
        <v>104</v>
      </c>
      <c r="B8" t="s">
        <v>523</v>
      </c>
      <c r="D8" s="5" t="s">
        <v>522</v>
      </c>
      <c r="F8" s="5" t="str">
        <f>CONCATENATE(REPT(" ",LEN(B8)+5),"""",D8,IF(F9&lt;&gt;"","\n""",""")"))</f>
        <v xml:space="preserve">                      "   RETURN @retval;\n"</v>
      </c>
    </row>
    <row r="9" spans="1:6" x14ac:dyDescent="0.45">
      <c r="A9" t="s">
        <v>104</v>
      </c>
      <c r="B9" t="s">
        <v>523</v>
      </c>
      <c r="D9" s="5" t="s">
        <v>524</v>
      </c>
      <c r="F9" s="5" t="str">
        <f>CONCATENATE(REPT(" ",LEN(B9)+5),"""",D9,IF(F10&lt;&gt;"","\n""",""")"))</f>
        <v xml:space="preserve">                      "END")</v>
      </c>
    </row>
    <row r="10" spans="1:6" x14ac:dyDescent="0.45">
      <c r="A10" t="s">
        <v>104</v>
      </c>
      <c r="B10" t="s">
        <v>523</v>
      </c>
    </row>
    <row r="12" spans="1:6" x14ac:dyDescent="0.45">
      <c r="A12" t="s">
        <v>104</v>
      </c>
      <c r="B12" t="s">
        <v>525</v>
      </c>
      <c r="D12" s="5" t="s">
        <v>526</v>
      </c>
      <c r="F12" s="5" t="str">
        <f>CONCATENATE("   .",B12,"(""",D12,IF(D13&lt;&gt;"","\n""",""")"))</f>
        <v xml:space="preserve">   .AddCleanings("DROP FUNCTION [dbo].[Country_Dialing]")</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D6B9B-BEE9-432C-ABE0-B388EABA38A1}">
  <sheetPr codeName="Tabelle6"/>
  <dimension ref="A1:P177"/>
  <sheetViews>
    <sheetView topLeftCell="L1" workbookViewId="0">
      <selection activeCell="P3" sqref="P3"/>
    </sheetView>
  </sheetViews>
  <sheetFormatPr baseColWidth="10" defaultRowHeight="14.25" x14ac:dyDescent="0.45"/>
  <cols>
    <col min="1" max="1" width="12.86328125" bestFit="1" customWidth="1"/>
    <col min="2" max="2" width="4.19921875" customWidth="1"/>
    <col min="3" max="3" width="20.06640625" customWidth="1"/>
    <col min="4" max="4" width="19.9296875" customWidth="1"/>
    <col min="5" max="5" width="9.265625" customWidth="1"/>
    <col min="6" max="6" width="4.6640625" customWidth="1"/>
    <col min="7" max="7" width="4.1328125" customWidth="1"/>
    <col min="8" max="8" width="8" customWidth="1"/>
    <col min="9" max="9" width="7.796875" customWidth="1"/>
    <col min="10" max="10" width="6.3984375" customWidth="1"/>
    <col min="11" max="13" width="14.6640625" customWidth="1"/>
    <col min="14" max="14" width="5.53125" customWidth="1"/>
    <col min="15" max="15" width="68.6640625" customWidth="1"/>
    <col min="16" max="16" width="118.3984375" customWidth="1"/>
  </cols>
  <sheetData>
    <row r="1" spans="1:16" x14ac:dyDescent="0.45">
      <c r="P1" t="s">
        <v>60</v>
      </c>
    </row>
    <row r="2" spans="1:16" x14ac:dyDescent="0.45">
      <c r="A2" t="s">
        <v>23</v>
      </c>
      <c r="B2">
        <v>0</v>
      </c>
      <c r="C2" t="s">
        <v>79</v>
      </c>
      <c r="D2" t="s">
        <v>80</v>
      </c>
      <c r="E2" t="s">
        <v>167</v>
      </c>
      <c r="H2" t="s">
        <v>168</v>
      </c>
      <c r="I2" t="s">
        <v>169</v>
      </c>
      <c r="O2" t="s">
        <v>55</v>
      </c>
      <c r="P2" s="2" t="str">
        <f>CONCATENATE("   ",$P$1,".AddTable(","""",A2,""", ",CONCATENATE("EMyEntityType::",E2),", """,IF(ISERROR(FIND(".",C2)),"",RIGHT(C2, LEN(C2) - FIND(".",C2))),""", """,IF(ISERROR(FIND(".",C2)),"",LEFT(C2, FIND(".",C2)-1)),""", """,IF(ISERROR(FIND("::",D2)),"",RIGHT(D2, LEN(D2) - FIND("::",D2)-1)),""", """,IF(ISERROR(FIND("::",D2)),"",LEFT(D2, FIND("::",D2)-1)),""", """,H2,""", """,I2,""", """,O2,""")")</f>
        <v xml:space="preserve">   dictionary.AddTable("Berlin", EMyEntityType::table, "Berlin_olddata", "dbo", "Berlin", "myDataOld", "System", "SQL", "Tabelle mit den Berliner Adresspunkten")</v>
      </c>
    </row>
    <row r="3" spans="1:16" x14ac:dyDescent="0.45">
      <c r="A3" t="s">
        <v>23</v>
      </c>
      <c r="B3">
        <v>1</v>
      </c>
      <c r="C3" t="s">
        <v>0</v>
      </c>
      <c r="D3" t="s">
        <v>39</v>
      </c>
      <c r="E3" t="s">
        <v>20</v>
      </c>
      <c r="F3">
        <v>0</v>
      </c>
      <c r="G3">
        <v>0</v>
      </c>
      <c r="H3" t="s">
        <v>57</v>
      </c>
      <c r="I3" t="s">
        <v>57</v>
      </c>
      <c r="O3" t="s">
        <v>56</v>
      </c>
      <c r="P3" s="2" t="str">
        <f t="shared" ref="P3:P21" si="0">CONCATENATE("      .AddAttribute(",REPT(" ",3-LEN(TEXT(B3, "0"))),TEXT(B3, "0"),", """,C3,""", """,D3,""", """,E3,""", ",F3,", ",G3,", ",H3,", ",I3,", """,K3,""", """,L3,""", """,O3,"""",    ")")</f>
        <v xml:space="preserve">      .AddAttribute(  1, "State_ID", "Land_ID", "integer", 0, 0, false, false, "", "", "Identifikationsnummer (NUTS) für das Bundesland")</v>
      </c>
    </row>
    <row r="4" spans="1:16" x14ac:dyDescent="0.45">
      <c r="A4" t="s">
        <v>23</v>
      </c>
      <c r="B4">
        <v>2</v>
      </c>
      <c r="C4" t="s">
        <v>1</v>
      </c>
      <c r="D4" t="s">
        <v>40</v>
      </c>
      <c r="E4" t="s">
        <v>20</v>
      </c>
      <c r="F4">
        <v>0</v>
      </c>
      <c r="G4">
        <v>0</v>
      </c>
      <c r="H4" t="s">
        <v>57</v>
      </c>
      <c r="I4" t="s">
        <v>57</v>
      </c>
      <c r="N4">
        <v>11</v>
      </c>
      <c r="P4" s="2" t="str">
        <f t="shared" si="0"/>
        <v xml:space="preserve">      .AddAttribute(  2, "District_ID", "Bezirk_ID", "integer", 0, 0, false, false, "", "", "")</v>
      </c>
    </row>
    <row r="5" spans="1:16" x14ac:dyDescent="0.45">
      <c r="A5" t="s">
        <v>23</v>
      </c>
      <c r="B5">
        <v>3</v>
      </c>
      <c r="C5" t="s">
        <v>2</v>
      </c>
      <c r="D5" t="s">
        <v>41</v>
      </c>
      <c r="E5" t="s">
        <v>20</v>
      </c>
      <c r="F5">
        <v>0</v>
      </c>
      <c r="G5">
        <v>0</v>
      </c>
      <c r="H5" t="s">
        <v>57</v>
      </c>
      <c r="I5" t="s">
        <v>57</v>
      </c>
      <c r="N5">
        <v>13</v>
      </c>
      <c r="P5" s="2" t="str">
        <f t="shared" si="0"/>
        <v xml:space="preserve">      .AddAttribute(  3, "Neighborhood_ID", "Ortsteil_ID", "integer", 0, 0, false, false, "", "", "")</v>
      </c>
    </row>
    <row r="6" spans="1:16" x14ac:dyDescent="0.45">
      <c r="A6" t="s">
        <v>23</v>
      </c>
      <c r="B6">
        <v>4</v>
      </c>
      <c r="C6" t="s">
        <v>3</v>
      </c>
      <c r="D6" t="s">
        <v>42</v>
      </c>
      <c r="E6" t="s">
        <v>20</v>
      </c>
      <c r="F6">
        <v>0</v>
      </c>
      <c r="G6">
        <v>0</v>
      </c>
      <c r="H6" t="s">
        <v>57</v>
      </c>
      <c r="I6" t="s">
        <v>57</v>
      </c>
      <c r="N6">
        <v>7</v>
      </c>
      <c r="P6" s="2" t="str">
        <f t="shared" si="0"/>
        <v xml:space="preserve">      .AddAttribute(  4, "Street_ID", "Strasse_ID", "integer", 0, 0, false, false, "", "", "")</v>
      </c>
    </row>
    <row r="7" spans="1:16" x14ac:dyDescent="0.45">
      <c r="A7" t="s">
        <v>23</v>
      </c>
      <c r="B7">
        <v>5</v>
      </c>
      <c r="C7" t="s">
        <v>4</v>
      </c>
      <c r="D7" t="s">
        <v>43</v>
      </c>
      <c r="E7" t="s">
        <v>19</v>
      </c>
      <c r="F7">
        <v>75</v>
      </c>
      <c r="G7">
        <v>0</v>
      </c>
      <c r="H7" t="s">
        <v>57</v>
      </c>
      <c r="I7" t="s">
        <v>57</v>
      </c>
      <c r="N7">
        <v>22</v>
      </c>
      <c r="P7" s="2" t="str">
        <f t="shared" si="0"/>
        <v xml:space="preserve">      .AddAttribute(  5, "State", "Land", "varchar", 75, 0, false, false, "", "", "")</v>
      </c>
    </row>
    <row r="8" spans="1:16" x14ac:dyDescent="0.45">
      <c r="A8" t="s">
        <v>23</v>
      </c>
      <c r="B8">
        <v>6</v>
      </c>
      <c r="C8" t="s">
        <v>5</v>
      </c>
      <c r="D8" t="s">
        <v>44</v>
      </c>
      <c r="E8" t="s">
        <v>19</v>
      </c>
      <c r="F8">
        <v>75</v>
      </c>
      <c r="G8">
        <v>0</v>
      </c>
      <c r="H8" t="s">
        <v>57</v>
      </c>
      <c r="I8" t="s">
        <v>57</v>
      </c>
      <c r="N8">
        <v>22</v>
      </c>
      <c r="P8" s="2" t="str">
        <f t="shared" si="0"/>
        <v xml:space="preserve">      .AddAttribute(  6, "City", "Stadt", "varchar", 75, 0, false, false, "", "", "")</v>
      </c>
    </row>
    <row r="9" spans="1:16" x14ac:dyDescent="0.45">
      <c r="A9" t="s">
        <v>23</v>
      </c>
      <c r="B9">
        <v>7</v>
      </c>
      <c r="C9" t="s">
        <v>6</v>
      </c>
      <c r="D9" t="s">
        <v>45</v>
      </c>
      <c r="E9" t="s">
        <v>19</v>
      </c>
      <c r="F9">
        <v>75</v>
      </c>
      <c r="G9">
        <v>0</v>
      </c>
      <c r="H9" t="s">
        <v>57</v>
      </c>
      <c r="I9" t="s">
        <v>57</v>
      </c>
      <c r="N9">
        <v>10</v>
      </c>
      <c r="P9" s="2" t="str">
        <f t="shared" si="0"/>
        <v xml:space="preserve">      .AddAttribute(  7, "District", "Bezirk", "varchar", 75, 0, false, false, "", "", "")</v>
      </c>
    </row>
    <row r="10" spans="1:16" x14ac:dyDescent="0.45">
      <c r="A10" t="s">
        <v>23</v>
      </c>
      <c r="B10">
        <v>8</v>
      </c>
      <c r="C10" t="s">
        <v>7</v>
      </c>
      <c r="D10" t="s">
        <v>46</v>
      </c>
      <c r="E10" t="s">
        <v>19</v>
      </c>
      <c r="F10">
        <v>75</v>
      </c>
      <c r="G10">
        <v>0</v>
      </c>
      <c r="H10" t="s">
        <v>57</v>
      </c>
      <c r="I10" t="s">
        <v>57</v>
      </c>
      <c r="N10">
        <v>12</v>
      </c>
      <c r="P10" s="2" t="str">
        <f t="shared" si="0"/>
        <v xml:space="preserve">      .AddAttribute(  8, "Neighborhood", "Ortsteil", "varchar", 75, 0, false, false, "", "", "")</v>
      </c>
    </row>
    <row r="11" spans="1:16" x14ac:dyDescent="0.45">
      <c r="A11" t="s">
        <v>23</v>
      </c>
      <c r="B11">
        <v>9</v>
      </c>
      <c r="C11" t="s">
        <v>8</v>
      </c>
      <c r="D11" t="s">
        <v>47</v>
      </c>
      <c r="E11" t="s">
        <v>19</v>
      </c>
      <c r="F11">
        <v>75</v>
      </c>
      <c r="G11">
        <v>0</v>
      </c>
      <c r="H11" t="s">
        <v>57</v>
      </c>
      <c r="I11" t="s">
        <v>57</v>
      </c>
      <c r="N11">
        <v>8</v>
      </c>
      <c r="P11" s="2" t="str">
        <f t="shared" si="0"/>
        <v xml:space="preserve">      .AddAttribute(  9, "Street", "Strasse", "varchar", 75, 0, false, false, "", "", "")</v>
      </c>
    </row>
    <row r="12" spans="1:16" x14ac:dyDescent="0.45">
      <c r="A12" t="s">
        <v>23</v>
      </c>
      <c r="B12">
        <v>10</v>
      </c>
      <c r="C12" t="s">
        <v>9</v>
      </c>
      <c r="D12" t="s">
        <v>48</v>
      </c>
      <c r="E12" t="s">
        <v>19</v>
      </c>
      <c r="F12">
        <v>5</v>
      </c>
      <c r="G12">
        <v>0</v>
      </c>
      <c r="H12" t="s">
        <v>57</v>
      </c>
      <c r="I12" t="s">
        <v>57</v>
      </c>
      <c r="N12">
        <v>9</v>
      </c>
      <c r="P12" s="2" t="str">
        <f t="shared" si="0"/>
        <v xml:space="preserve">      .AddAttribute( 10, "Postal_Code", "PLZ", "varchar", 5, 0, false, false, "", "", "")</v>
      </c>
    </row>
    <row r="13" spans="1:16" x14ac:dyDescent="0.45">
      <c r="A13" t="s">
        <v>23</v>
      </c>
      <c r="B13">
        <v>11</v>
      </c>
      <c r="C13" t="s">
        <v>10</v>
      </c>
      <c r="D13" t="s">
        <v>49</v>
      </c>
      <c r="E13" t="s">
        <v>20</v>
      </c>
      <c r="F13">
        <v>0</v>
      </c>
      <c r="G13">
        <v>0</v>
      </c>
      <c r="H13" t="s">
        <v>57</v>
      </c>
      <c r="I13" t="s">
        <v>57</v>
      </c>
      <c r="N13">
        <v>5</v>
      </c>
      <c r="P13" s="2" t="str">
        <f t="shared" si="0"/>
        <v xml:space="preserve">      .AddAttribute( 11, "House_Number", "HNR", "integer", 0, 0, false, false, "", "", "")</v>
      </c>
    </row>
    <row r="14" spans="1:16" x14ac:dyDescent="0.45">
      <c r="A14" t="s">
        <v>23</v>
      </c>
      <c r="B14">
        <v>12</v>
      </c>
      <c r="C14" t="s">
        <v>11</v>
      </c>
      <c r="D14" t="s">
        <v>50</v>
      </c>
      <c r="E14" t="s">
        <v>19</v>
      </c>
      <c r="F14">
        <v>5</v>
      </c>
      <c r="G14">
        <v>0</v>
      </c>
      <c r="H14" t="s">
        <v>57</v>
      </c>
      <c r="I14" t="s">
        <v>57</v>
      </c>
      <c r="N14">
        <v>6</v>
      </c>
      <c r="P14" s="2" t="str">
        <f t="shared" si="0"/>
        <v xml:space="preserve">      .AddAttribute( 12, "Address_Addendum", "ADZ", "varchar", 5, 0, false, false, "", "", "")</v>
      </c>
    </row>
    <row r="15" spans="1:16" x14ac:dyDescent="0.45">
      <c r="A15" t="s">
        <v>23</v>
      </c>
      <c r="B15">
        <v>13</v>
      </c>
      <c r="C15" t="s">
        <v>12</v>
      </c>
      <c r="D15" t="s">
        <v>12</v>
      </c>
      <c r="E15" t="s">
        <v>21</v>
      </c>
      <c r="F15">
        <v>0</v>
      </c>
      <c r="G15">
        <v>0</v>
      </c>
      <c r="H15" t="s">
        <v>57</v>
      </c>
      <c r="I15" t="s">
        <v>57</v>
      </c>
      <c r="N15">
        <v>1</v>
      </c>
      <c r="P15" s="2" t="str">
        <f t="shared" si="0"/>
        <v xml:space="preserve">      .AddAttribute( 13, "Latitude", "Latitude", "double", 0, 0, false, false, "", "", "")</v>
      </c>
    </row>
    <row r="16" spans="1:16" x14ac:dyDescent="0.45">
      <c r="A16" t="s">
        <v>23</v>
      </c>
      <c r="B16">
        <v>14</v>
      </c>
      <c r="C16" t="s">
        <v>13</v>
      </c>
      <c r="D16" t="s">
        <v>13</v>
      </c>
      <c r="E16" t="s">
        <v>21</v>
      </c>
      <c r="F16">
        <v>0</v>
      </c>
      <c r="G16">
        <v>0</v>
      </c>
      <c r="H16" t="s">
        <v>57</v>
      </c>
      <c r="I16" t="s">
        <v>57</v>
      </c>
      <c r="N16">
        <v>2</v>
      </c>
      <c r="P16" s="2" t="str">
        <f t="shared" si="0"/>
        <v xml:space="preserve">      .AddAttribute( 14, "Longitude", "Longitude", "double", 0, 0, false, false, "", "", "")</v>
      </c>
    </row>
    <row r="17" spans="1:16" x14ac:dyDescent="0.45">
      <c r="A17" t="s">
        <v>23</v>
      </c>
      <c r="B17">
        <v>15</v>
      </c>
      <c r="C17" t="s">
        <v>14</v>
      </c>
      <c r="D17" t="s">
        <v>53</v>
      </c>
      <c r="E17" t="s">
        <v>22</v>
      </c>
      <c r="F17">
        <v>0</v>
      </c>
      <c r="G17">
        <v>0</v>
      </c>
      <c r="H17" t="s">
        <v>57</v>
      </c>
      <c r="I17" t="s">
        <v>57</v>
      </c>
      <c r="N17">
        <v>17</v>
      </c>
      <c r="P17" s="2" t="str">
        <f t="shared" si="0"/>
        <v xml:space="preserve">      .AddAttribute( 15, "Address_Date", "Adr_Datum", "date", 0, 0, false, false, "", "", "")</v>
      </c>
    </row>
    <row r="18" spans="1:16" x14ac:dyDescent="0.45">
      <c r="A18" t="s">
        <v>23</v>
      </c>
      <c r="B18">
        <v>16</v>
      </c>
      <c r="C18" t="s">
        <v>15</v>
      </c>
      <c r="D18" t="s">
        <v>54</v>
      </c>
      <c r="E18" t="s">
        <v>22</v>
      </c>
      <c r="F18">
        <v>0</v>
      </c>
      <c r="G18">
        <v>0</v>
      </c>
      <c r="H18" t="s">
        <v>57</v>
      </c>
      <c r="I18" t="s">
        <v>57</v>
      </c>
      <c r="N18">
        <v>18</v>
      </c>
      <c r="P18" s="2" t="str">
        <f t="shared" si="0"/>
        <v xml:space="preserve">      .AddAttribute( 16, "Street_Date", "Strasse_Datum", "date", 0, 0, false, false, "", "", "")</v>
      </c>
    </row>
    <row r="19" spans="1:16" x14ac:dyDescent="0.45">
      <c r="A19" t="s">
        <v>23</v>
      </c>
      <c r="B19">
        <v>17</v>
      </c>
      <c r="C19" t="s">
        <v>16</v>
      </c>
      <c r="D19" t="s">
        <v>51</v>
      </c>
      <c r="E19" t="s">
        <v>19</v>
      </c>
      <c r="F19">
        <v>100</v>
      </c>
      <c r="G19">
        <v>0</v>
      </c>
      <c r="H19" t="s">
        <v>57</v>
      </c>
      <c r="I19" t="s">
        <v>57</v>
      </c>
      <c r="N19">
        <v>19</v>
      </c>
      <c r="P19" s="2" t="str">
        <f t="shared" si="0"/>
        <v xml:space="preserve">      .AddAttribute( 17, "Quality", "Qualitaet", "varchar", 100, 0, false, false, "", "", "")</v>
      </c>
    </row>
    <row r="20" spans="1:16" x14ac:dyDescent="0.45">
      <c r="A20" t="s">
        <v>23</v>
      </c>
      <c r="B20">
        <v>18</v>
      </c>
      <c r="C20" t="s">
        <v>17</v>
      </c>
      <c r="D20" t="s">
        <v>52</v>
      </c>
      <c r="E20" t="s">
        <v>19</v>
      </c>
      <c r="F20">
        <v>100</v>
      </c>
      <c r="G20">
        <v>0</v>
      </c>
      <c r="H20" t="s">
        <v>57</v>
      </c>
      <c r="I20" t="s">
        <v>57</v>
      </c>
      <c r="N20">
        <v>20</v>
      </c>
      <c r="P20" s="2" t="str">
        <f t="shared" si="0"/>
        <v xml:space="preserve">      .AddAttribute( 18, "Address_Type", "Adr_Typ", "varchar", 100, 0, false, false, "", "", "")</v>
      </c>
    </row>
    <row r="21" spans="1:16" x14ac:dyDescent="0.45">
      <c r="A21" t="s">
        <v>23</v>
      </c>
      <c r="B21">
        <v>19</v>
      </c>
      <c r="C21" t="s">
        <v>18</v>
      </c>
      <c r="D21" t="s">
        <v>18</v>
      </c>
      <c r="E21" t="s">
        <v>19</v>
      </c>
      <c r="F21">
        <v>20</v>
      </c>
      <c r="G21">
        <v>0</v>
      </c>
      <c r="H21" t="s">
        <v>57</v>
      </c>
      <c r="I21" t="s">
        <v>57</v>
      </c>
      <c r="N21">
        <v>21</v>
      </c>
      <c r="P21" s="2" t="str">
        <f t="shared" si="0"/>
        <v xml:space="preserve">      .AddAttribute( 19, "HKO_ID", "HKO_ID", "varchar", 20, 0, false, false, "", "", "")</v>
      </c>
    </row>
    <row r="22" spans="1:16" x14ac:dyDescent="0.45">
      <c r="P22" s="2" t="s">
        <v>68</v>
      </c>
    </row>
    <row r="24" spans="1:16" x14ac:dyDescent="0.45">
      <c r="K24" t="s">
        <v>281</v>
      </c>
      <c r="L24" t="s">
        <v>189</v>
      </c>
      <c r="M24" t="s">
        <v>477</v>
      </c>
    </row>
    <row r="25" spans="1:16" x14ac:dyDescent="0.45">
      <c r="A25" t="s">
        <v>100</v>
      </c>
      <c r="B25">
        <v>0</v>
      </c>
      <c r="C25" t="s">
        <v>114</v>
      </c>
      <c r="D25" t="s">
        <v>463</v>
      </c>
      <c r="E25" t="s">
        <v>167</v>
      </c>
      <c r="H25" t="s">
        <v>168</v>
      </c>
      <c r="I25" t="s">
        <v>169</v>
      </c>
      <c r="K25" s="2"/>
      <c r="L25" s="2"/>
      <c r="M25" s="2"/>
      <c r="O25" s="4" t="s">
        <v>199</v>
      </c>
      <c r="P25" s="2" t="str">
        <f>CONCATENATE("   ",$P$1,".AddTable(","""",A25,""", ",CONCATENATE("EMyEntityType::",E25),", """,IF(ISERROR(FIND(".",C25)),"",RIGHT(C25, LEN(C25) - FIND(".",C25))),""", """,IF(ISERROR(FIND(".",C25)),"",LEFT(C25, FIND(".",C25)-1)),""", """,IF(ISERROR(FIND("::",D25)),"",RIGHT(D25, LEN(D25) - FIND("::",D25)-1)),""", """,IF(ISERROR(FIND("::",D25)),"",LEFT(D25, FIND("::",D25)-1)),""", """,H25,""", """,I25,""", """,O25,""")")</f>
        <v xml:space="preserve">   dictionary.AddTable("Address", EMyEntityType::table, "Address", "dbo", "Address", "myCorporate", "System", "SQL", "information on the addresses where a person lives, works or has any other relationship with them")</v>
      </c>
    </row>
    <row r="26" spans="1:16" x14ac:dyDescent="0.45">
      <c r="A26" t="s">
        <v>100</v>
      </c>
      <c r="B26">
        <v>1</v>
      </c>
      <c r="C26" t="s">
        <v>134</v>
      </c>
      <c r="D26" t="s">
        <v>134</v>
      </c>
      <c r="E26" t="s">
        <v>20</v>
      </c>
      <c r="F26">
        <v>0</v>
      </c>
      <c r="G26">
        <v>0</v>
      </c>
      <c r="H26" t="s">
        <v>58</v>
      </c>
      <c r="I26" t="s">
        <v>58</v>
      </c>
      <c r="J26" t="s">
        <v>57</v>
      </c>
      <c r="K26" s="2"/>
      <c r="L26" s="2"/>
      <c r="M26" s="2"/>
      <c r="O26" s="4" t="s">
        <v>263</v>
      </c>
      <c r="P26" s="2" t="str">
        <f>CONCATENATE("      .AddAttribute(",REPT(" ",3-LEN(TEXT(B26, "0"))),TEXT(B26, "0"),", """,C26,""", """,D26,""", """,E26,""", ",F26,", ",G26,", ",H26,", ",I26,", """,K26,""", """,L26,""", """,O26,"""",    ")")</f>
        <v xml:space="preserve">      .AddAttribute(  1, "ID", "ID", "integer", 0, 0, true, true, "", "", "attribute as Foreign key from an attribute ID of the person entity to whom the address belongs")</v>
      </c>
    </row>
    <row r="27" spans="1:16" x14ac:dyDescent="0.45">
      <c r="A27" t="s">
        <v>100</v>
      </c>
      <c r="B27">
        <v>2</v>
      </c>
      <c r="C27" t="s">
        <v>136</v>
      </c>
      <c r="D27" t="s">
        <v>136</v>
      </c>
      <c r="E27" t="s">
        <v>20</v>
      </c>
      <c r="F27">
        <v>0</v>
      </c>
      <c r="G27">
        <v>0</v>
      </c>
      <c r="H27" t="s">
        <v>58</v>
      </c>
      <c r="I27" t="s">
        <v>58</v>
      </c>
      <c r="J27" t="s">
        <v>58</v>
      </c>
      <c r="K27" s="2"/>
      <c r="L27" s="2"/>
      <c r="M27" s="2"/>
      <c r="O27" s="4" t="s">
        <v>200</v>
      </c>
      <c r="P27" s="2" t="str">
        <f t="shared" ref="P27:P32" si="1">CONCATENATE("      .AddAttribute(",REPT(" ",3-LEN(TEXT(B27, "0"))),TEXT(B27, "0"),", """,C27,""", """,D27,""", """,E27,""", ",F27,", ",G27,", ",H27,", ",I27,", """,K27,""", """,L27,""", """,O27,"""",    ")")</f>
        <v xml:space="preserve">      .AddAttribute(  2, "AddressType", "AddressType", "integer", 0, 0, true, true, "", "", "extension of the key by the address type to manage different addresses for one person")</v>
      </c>
    </row>
    <row r="28" spans="1:16" x14ac:dyDescent="0.45">
      <c r="A28" t="s">
        <v>100</v>
      </c>
      <c r="B28">
        <v>3</v>
      </c>
      <c r="C28" t="s">
        <v>138</v>
      </c>
      <c r="D28" t="s">
        <v>138</v>
      </c>
      <c r="E28" t="s">
        <v>19</v>
      </c>
      <c r="F28">
        <v>10</v>
      </c>
      <c r="G28">
        <v>0</v>
      </c>
      <c r="H28" t="s">
        <v>58</v>
      </c>
      <c r="I28" t="s">
        <v>57</v>
      </c>
      <c r="J28" t="s">
        <v>57</v>
      </c>
      <c r="K28" s="2"/>
      <c r="L28" s="2"/>
      <c r="M28" s="2"/>
      <c r="O28" s="4" t="s">
        <v>190</v>
      </c>
      <c r="P28" s="2" t="str">
        <f t="shared" si="1"/>
        <v xml:space="preserve">      .AddAttribute(  3, "Zipcode", "Zipcode", "varchar", 10, 0, true, false, "", "", "Zip code for the address")</v>
      </c>
    </row>
    <row r="29" spans="1:16" x14ac:dyDescent="0.45">
      <c r="A29" t="s">
        <v>100</v>
      </c>
      <c r="B29">
        <v>4</v>
      </c>
      <c r="C29" t="s">
        <v>5</v>
      </c>
      <c r="D29" t="s">
        <v>5</v>
      </c>
      <c r="E29" t="s">
        <v>19</v>
      </c>
      <c r="F29">
        <v>50</v>
      </c>
      <c r="G29">
        <v>0</v>
      </c>
      <c r="H29" t="s">
        <v>58</v>
      </c>
      <c r="I29" t="s">
        <v>57</v>
      </c>
      <c r="J29" t="s">
        <v>57</v>
      </c>
      <c r="K29" s="2"/>
      <c r="L29" s="2"/>
      <c r="M29" s="2"/>
      <c r="O29" s="4" t="s">
        <v>198</v>
      </c>
      <c r="P29" s="2" t="str">
        <f t="shared" si="1"/>
        <v xml:space="preserve">      .AddAttribute(  4, "City", "City", "varchar", 50, 0, true, false, "", "", "name of the city/county (possibly with district) for this address")</v>
      </c>
    </row>
    <row r="30" spans="1:16" x14ac:dyDescent="0.45">
      <c r="A30" t="s">
        <v>100</v>
      </c>
      <c r="B30">
        <v>5</v>
      </c>
      <c r="C30" t="s">
        <v>8</v>
      </c>
      <c r="D30" t="s">
        <v>8</v>
      </c>
      <c r="E30" t="s">
        <v>19</v>
      </c>
      <c r="F30">
        <v>50</v>
      </c>
      <c r="G30">
        <v>0</v>
      </c>
      <c r="H30" t="s">
        <v>58</v>
      </c>
      <c r="I30" t="s">
        <v>57</v>
      </c>
      <c r="J30" t="s">
        <v>57</v>
      </c>
      <c r="K30" s="2"/>
      <c r="L30" s="2"/>
      <c r="M30" s="2"/>
      <c r="O30" s="4" t="s">
        <v>197</v>
      </c>
      <c r="P30" s="2" t="str">
        <f t="shared" si="1"/>
        <v xml:space="preserve">      .AddAttribute(  5, "Street", "Street", "varchar", 50, 0, true, false, "", "", "name of the street belonging to this address")</v>
      </c>
    </row>
    <row r="31" spans="1:16" x14ac:dyDescent="0.45">
      <c r="A31" t="s">
        <v>100</v>
      </c>
      <c r="B31">
        <v>6</v>
      </c>
      <c r="C31" t="s">
        <v>137</v>
      </c>
      <c r="D31" t="s">
        <v>137</v>
      </c>
      <c r="E31" t="s">
        <v>19</v>
      </c>
      <c r="F31">
        <v>10</v>
      </c>
      <c r="G31">
        <v>0</v>
      </c>
      <c r="H31" t="s">
        <v>57</v>
      </c>
      <c r="I31" t="s">
        <v>57</v>
      </c>
      <c r="J31" t="s">
        <v>57</v>
      </c>
      <c r="K31" s="2"/>
      <c r="L31" s="2"/>
      <c r="M31" s="2"/>
      <c r="O31" s="4" t="s">
        <v>201</v>
      </c>
      <c r="P31" s="2" t="str">
        <f t="shared" si="1"/>
        <v xml:space="preserve">      .AddAttribute(  6, "StreetNumber", "StreetNumber", "varchar", 10, 0, false, false, "", "", "house number with addition for this address")</v>
      </c>
    </row>
    <row r="32" spans="1:16" x14ac:dyDescent="0.45">
      <c r="A32" t="s">
        <v>100</v>
      </c>
      <c r="B32">
        <v>7</v>
      </c>
      <c r="C32" t="s">
        <v>139</v>
      </c>
      <c r="D32" t="s">
        <v>139</v>
      </c>
      <c r="E32" t="s">
        <v>20</v>
      </c>
      <c r="F32">
        <v>0</v>
      </c>
      <c r="G32">
        <v>0</v>
      </c>
      <c r="H32" t="s">
        <v>58</v>
      </c>
      <c r="I32" t="s">
        <v>57</v>
      </c>
      <c r="J32" t="s">
        <v>57</v>
      </c>
      <c r="K32" s="2"/>
      <c r="L32" s="2"/>
      <c r="M32" s="2"/>
      <c r="O32" s="4" t="s">
        <v>195</v>
      </c>
      <c r="P32" s="2" t="str">
        <f t="shared" si="1"/>
        <v xml:space="preserve">      .AddAttribute(  7, "Country", "Country", "integer", 0, 0, true, false, "", "", "ID of the country for the address, key attribute from the \"Countries\" entity")</v>
      </c>
    </row>
    <row r="33" spans="1:16" x14ac:dyDescent="0.45">
      <c r="O33" s="4"/>
    </row>
    <row r="34" spans="1:16" x14ac:dyDescent="0.45">
      <c r="A34" t="s">
        <v>101</v>
      </c>
      <c r="B34">
        <v>0</v>
      </c>
      <c r="C34" t="s">
        <v>115</v>
      </c>
      <c r="D34" t="s">
        <v>462</v>
      </c>
      <c r="E34" t="s">
        <v>167</v>
      </c>
      <c r="H34" t="s">
        <v>168</v>
      </c>
      <c r="I34" t="s">
        <v>169</v>
      </c>
      <c r="K34" s="2"/>
      <c r="L34" s="2"/>
      <c r="M34" s="2"/>
      <c r="O34" s="4" t="s">
        <v>196</v>
      </c>
      <c r="P34" s="2" t="str">
        <f>CONCATENATE("   ",$P$1,".AddTable(","""",A34,""", ",CONCATENATE("EMyEntityType::",E34),", """,IF(ISERROR(FIND(".",C34)),"",RIGHT(C34, LEN(C34) - FIND(".",C34))),""", """,IF(ISERROR(FIND(".",C34)),"",LEFT(C34, FIND(".",C34)-1)),""", """,IF(ISERROR(FIND("::",D34)),"",RIGHT(D34, LEN(D34) - FIND("::",D34)-1)),""", """,IF(ISERROR(FIND("::",D34)),"",LEFT(D34, FIND("::",D34)-1)),""", """,H34,""", """,I34,""", """,O34,""")")</f>
        <v xml:space="preserve">   dictionary.AddTable("AddressTypes", EMyEntityType::table, "AddressTypes", "dbo", "AddressTypes", "myCorporate", "System", "SQL", "domain / range of values for address types, this is an extension of the relationship between persons and addresses.")</v>
      </c>
    </row>
    <row r="35" spans="1:16" x14ac:dyDescent="0.45">
      <c r="A35" t="s">
        <v>101</v>
      </c>
      <c r="B35">
        <v>1</v>
      </c>
      <c r="C35" t="s">
        <v>134</v>
      </c>
      <c r="D35" t="s">
        <v>134</v>
      </c>
      <c r="E35" t="s">
        <v>20</v>
      </c>
      <c r="F35">
        <v>0</v>
      </c>
      <c r="G35">
        <v>0</v>
      </c>
      <c r="H35" t="s">
        <v>58</v>
      </c>
      <c r="I35" t="s">
        <v>58</v>
      </c>
      <c r="J35" t="s">
        <v>57</v>
      </c>
      <c r="K35" s="2"/>
      <c r="L35" s="2"/>
      <c r="M35" s="2"/>
      <c r="O35" s="4" t="s">
        <v>219</v>
      </c>
      <c r="P35" s="2" t="str">
        <f t="shared" ref="P35:P40" si="2">CONCATENATE("      .AddAttribute(",REPT(" ",3-LEN(TEXT(B35, "0"))),TEXT(B35, "0"),", """,C35,""", """,D35,""", """,E35,""", ",F35,", ",G35,", ",H35,", ",I35,", """,K35,""", """,L35,""", """,O35,"""",    ")")</f>
        <v xml:space="preserve">      .AddAttribute(  1, "ID", "ID", "integer", 0, 0, true, true, "", "", "unique identification number for a record in this domain with address types")</v>
      </c>
    </row>
    <row r="36" spans="1:16" x14ac:dyDescent="0.45">
      <c r="A36" t="s">
        <v>101</v>
      </c>
      <c r="B36">
        <v>2</v>
      </c>
      <c r="C36" t="s">
        <v>129</v>
      </c>
      <c r="D36" t="s">
        <v>129</v>
      </c>
      <c r="E36" t="s">
        <v>19</v>
      </c>
      <c r="F36">
        <v>50</v>
      </c>
      <c r="G36">
        <v>0</v>
      </c>
      <c r="H36" t="s">
        <v>58</v>
      </c>
      <c r="I36" t="s">
        <v>57</v>
      </c>
      <c r="J36" t="s">
        <v>58</v>
      </c>
      <c r="K36" s="2"/>
      <c r="L36" s="2"/>
      <c r="M36" s="2"/>
      <c r="O36" s="4" t="s">
        <v>202</v>
      </c>
      <c r="P36" s="2" t="str">
        <f t="shared" si="2"/>
        <v xml:space="preserve">      .AddAttribute(  2, "Denotation", "Denotation", "varchar", 50, 0, true, false, "", "", "unique description of an entry in the domain, display in selections, comboboxes, … (key canditate)")</v>
      </c>
    </row>
    <row r="37" spans="1:16" x14ac:dyDescent="0.45">
      <c r="A37" t="s">
        <v>101</v>
      </c>
      <c r="B37">
        <v>3</v>
      </c>
      <c r="C37" t="s">
        <v>130</v>
      </c>
      <c r="D37" t="s">
        <v>130</v>
      </c>
      <c r="E37" t="s">
        <v>19</v>
      </c>
      <c r="F37">
        <v>10</v>
      </c>
      <c r="G37">
        <v>0</v>
      </c>
      <c r="H37" t="s">
        <v>57</v>
      </c>
      <c r="I37" t="s">
        <v>57</v>
      </c>
      <c r="J37" t="s">
        <v>57</v>
      </c>
      <c r="K37" s="2"/>
      <c r="L37" s="2"/>
      <c r="M37" s="2"/>
      <c r="O37" s="4" t="s">
        <v>203</v>
      </c>
      <c r="P37" s="2" t="str">
        <f t="shared" si="2"/>
        <v xml:space="preserve">      .AddAttribute(  3, "Abbreviation", "Abbreviation", "varchar", 10, 0, false, false, "", "", "non-representative abbreviation that can be used for a short advertisement for this address")</v>
      </c>
    </row>
    <row r="38" spans="1:16" x14ac:dyDescent="0.45">
      <c r="A38" t="s">
        <v>101</v>
      </c>
      <c r="B38">
        <v>4</v>
      </c>
      <c r="C38" t="s">
        <v>131</v>
      </c>
      <c r="D38" t="s">
        <v>131</v>
      </c>
      <c r="E38" t="s">
        <v>77</v>
      </c>
      <c r="F38">
        <v>0</v>
      </c>
      <c r="G38">
        <v>0</v>
      </c>
      <c r="H38" t="s">
        <v>57</v>
      </c>
      <c r="I38" t="s">
        <v>57</v>
      </c>
      <c r="J38" t="s">
        <v>57</v>
      </c>
      <c r="K38" s="2"/>
      <c r="L38" s="2"/>
      <c r="M38" s="2"/>
      <c r="O38" s="4" t="s">
        <v>204</v>
      </c>
      <c r="P38" s="2" t="str">
        <f t="shared" si="2"/>
        <v xml:space="preserve">      .AddAttribute(  4, "Description", "Description", "text", 0, 0, false, false, "", "", "detailed description of these address types, what is associated with them. Self documentation, possible use as hint")</v>
      </c>
    </row>
    <row r="39" spans="1:16" x14ac:dyDescent="0.45">
      <c r="A39" t="s">
        <v>101</v>
      </c>
      <c r="B39">
        <v>5</v>
      </c>
      <c r="C39" t="s">
        <v>132</v>
      </c>
      <c r="D39" t="s">
        <v>132</v>
      </c>
      <c r="E39" t="s">
        <v>77</v>
      </c>
      <c r="F39">
        <v>0</v>
      </c>
      <c r="G39">
        <v>0</v>
      </c>
      <c r="H39" t="s">
        <v>57</v>
      </c>
      <c r="I39" t="s">
        <v>57</v>
      </c>
      <c r="J39" t="s">
        <v>57</v>
      </c>
      <c r="K39" s="2"/>
      <c r="L39" s="2"/>
      <c r="M39" s="2"/>
      <c r="O39" s="4" t="s">
        <v>205</v>
      </c>
      <c r="P39" s="2" t="str">
        <f t="shared" si="2"/>
        <v xml:space="preserve">      .AddAttribute(  5, "Notes", "Notes", "text", 0, 0, false, false, "", "", "notes, with additional / free information for this AddressType, not used in application")</v>
      </c>
    </row>
    <row r="40" spans="1:16" x14ac:dyDescent="0.45">
      <c r="A40" t="s">
        <v>101</v>
      </c>
      <c r="B40">
        <v>6</v>
      </c>
      <c r="C40" t="s">
        <v>133</v>
      </c>
      <c r="D40" t="s">
        <v>133</v>
      </c>
      <c r="E40" t="s">
        <v>27</v>
      </c>
      <c r="F40">
        <v>0</v>
      </c>
      <c r="G40">
        <v>0</v>
      </c>
      <c r="H40" t="s">
        <v>57</v>
      </c>
      <c r="I40" t="s">
        <v>57</v>
      </c>
      <c r="J40" t="s">
        <v>57</v>
      </c>
      <c r="K40" s="2"/>
      <c r="L40" s="2"/>
      <c r="M40" s="2"/>
      <c r="O40" s="4" t="s">
        <v>220</v>
      </c>
      <c r="P40" s="2" t="str">
        <f t="shared" si="2"/>
        <v xml:space="preserve">      .AddAttribute(  6, "UrgentValue", "UrgentValue", "bool", 0, 0, false, false, "", "", "boolean value that makes this entity of address type to a system value (cannot be changed as it is used directly by the program)")</v>
      </c>
    </row>
    <row r="41" spans="1:16" x14ac:dyDescent="0.45">
      <c r="O41" s="4"/>
    </row>
    <row r="42" spans="1:16" x14ac:dyDescent="0.45">
      <c r="A42" t="s">
        <v>102</v>
      </c>
      <c r="B42">
        <v>0</v>
      </c>
      <c r="C42" t="s">
        <v>116</v>
      </c>
      <c r="D42" t="s">
        <v>460</v>
      </c>
      <c r="E42" t="s">
        <v>167</v>
      </c>
      <c r="H42" t="s">
        <v>168</v>
      </c>
      <c r="I42" t="s">
        <v>169</v>
      </c>
      <c r="K42" s="2"/>
      <c r="L42" s="2"/>
      <c r="M42" s="2"/>
      <c r="O42" s="4" t="s">
        <v>211</v>
      </c>
      <c r="P42" s="2" t="str">
        <f>CONCATENATE("   ",$P$1,".AddTable(","""",A42,""", ",CONCATENATE("EMyEntityType::",E42),", """,IF(ISERROR(FIND(".",C42)),"",RIGHT(C42, LEN(C42) - FIND(".",C42))),""", """,IF(ISERROR(FIND(".",C42)),"",LEFT(C42, FIND(".",C42)-1)),""", """,IF(ISERROR(FIND("::",D42)),"",RIGHT(D42, LEN(D42) - FIND("::",D42)-1)),""", """,IF(ISERROR(FIND("::",D42)),"",LEFT(D42, FIND("::",D42)-1)),""", """,H42,""", """,I42,""", """,O42,""")")</f>
        <v xml:space="preserve">   dictionary.AddTable("Banking", EMyEntityType::table, "Banking", "dbo", "Banking", "myCorporate", "System", "SQL", "informations about the account details provided by a person and used in a specific context")</v>
      </c>
    </row>
    <row r="43" spans="1:16" x14ac:dyDescent="0.45">
      <c r="A43" t="s">
        <v>102</v>
      </c>
      <c r="B43">
        <v>1</v>
      </c>
      <c r="C43" t="s">
        <v>134</v>
      </c>
      <c r="D43" t="s">
        <v>134</v>
      </c>
      <c r="E43" t="s">
        <v>20</v>
      </c>
      <c r="F43">
        <v>0</v>
      </c>
      <c r="G43">
        <v>0</v>
      </c>
      <c r="H43" t="s">
        <v>58</v>
      </c>
      <c r="I43" t="s">
        <v>58</v>
      </c>
      <c r="J43" t="s">
        <v>57</v>
      </c>
      <c r="K43" s="2"/>
      <c r="L43" s="2"/>
      <c r="M43" s="2"/>
      <c r="O43" s="4" t="s">
        <v>264</v>
      </c>
      <c r="P43" s="2" t="str">
        <f t="shared" ref="P43:P49" si="3">CONCATENATE("      .AddAttribute(",REPT(" ",3-LEN(TEXT(B43, "0"))),TEXT(B43, "0"),", """,C43,""", """,D43,""", """,E43,""", ",F43,", ",G43,", ",H43,", ",I43,", """,K43,""", """,L43,""", """,O43,"""",    ")")</f>
        <v xml:space="preserve">      .AddAttribute(  1, "ID", "ID", "integer", 0, 0, true, true, "", "", "attribute as foreign key from an attribute ID of a person entity to which these account details belong")</v>
      </c>
    </row>
    <row r="44" spans="1:16" x14ac:dyDescent="0.45">
      <c r="A44" t="s">
        <v>102</v>
      </c>
      <c r="B44">
        <v>2</v>
      </c>
      <c r="C44" t="s">
        <v>144</v>
      </c>
      <c r="D44" t="s">
        <v>144</v>
      </c>
      <c r="E44" t="s">
        <v>20</v>
      </c>
      <c r="F44">
        <v>0</v>
      </c>
      <c r="G44">
        <v>0</v>
      </c>
      <c r="H44" t="s">
        <v>58</v>
      </c>
      <c r="I44" t="s">
        <v>58</v>
      </c>
      <c r="J44" t="s">
        <v>57</v>
      </c>
      <c r="K44" s="2"/>
      <c r="L44" s="2"/>
      <c r="M44" s="2"/>
      <c r="O44" s="4" t="s">
        <v>212</v>
      </c>
      <c r="P44" s="2" t="str">
        <f t="shared" si="3"/>
        <v xml:space="preserve">      .AddAttribute(  2, "BankingType", "BankingType", "integer", 0, 0, true, true, "", "", "extension of the account details key in order to be able to save several / different bank details in a standardized way")</v>
      </c>
    </row>
    <row r="45" spans="1:16" x14ac:dyDescent="0.45">
      <c r="A45" t="s">
        <v>102</v>
      </c>
      <c r="B45">
        <v>3</v>
      </c>
      <c r="C45" t="s">
        <v>145</v>
      </c>
      <c r="D45" t="s">
        <v>145</v>
      </c>
      <c r="E45" t="s">
        <v>19</v>
      </c>
      <c r="F45">
        <v>50</v>
      </c>
      <c r="G45">
        <v>0</v>
      </c>
      <c r="H45" t="s">
        <v>57</v>
      </c>
      <c r="I45" t="s">
        <v>57</v>
      </c>
      <c r="J45" t="s">
        <v>57</v>
      </c>
      <c r="K45" s="2"/>
      <c r="L45" s="2"/>
      <c r="M45" s="2"/>
      <c r="O45" s="4" t="s">
        <v>213</v>
      </c>
      <c r="P45" s="2" t="str">
        <f t="shared" si="3"/>
        <v xml:space="preserve">      .AddAttribute(  3, "BankName", "BankName", "varchar", 50, 0, false, false, "", "", "name of the bank that manages this account (not necessarily required)")</v>
      </c>
    </row>
    <row r="46" spans="1:16" x14ac:dyDescent="0.45">
      <c r="A46" t="s">
        <v>102</v>
      </c>
      <c r="B46">
        <v>4</v>
      </c>
      <c r="C46" t="s">
        <v>146</v>
      </c>
      <c r="D46" t="s">
        <v>146</v>
      </c>
      <c r="E46" t="s">
        <v>19</v>
      </c>
      <c r="F46">
        <v>33</v>
      </c>
      <c r="G46">
        <v>0</v>
      </c>
      <c r="H46" t="s">
        <v>58</v>
      </c>
      <c r="I46" t="s">
        <v>57</v>
      </c>
      <c r="J46" t="s">
        <v>57</v>
      </c>
      <c r="K46" s="2"/>
      <c r="L46" s="2"/>
      <c r="M46" s="2"/>
      <c r="O46" s="4" t="s">
        <v>214</v>
      </c>
      <c r="P46" s="2" t="str">
        <f t="shared" si="3"/>
        <v xml:space="preserve">      .AddAttribute(  4, "IBAN", "IBAN", "varchar", 33, 0, true, false, "", "", "IBAN number (account identification) for this bank account (required)")</v>
      </c>
    </row>
    <row r="47" spans="1:16" x14ac:dyDescent="0.45">
      <c r="A47" t="s">
        <v>102</v>
      </c>
      <c r="B47">
        <v>5</v>
      </c>
      <c r="C47" t="s">
        <v>147</v>
      </c>
      <c r="D47" t="s">
        <v>147</v>
      </c>
      <c r="E47" t="s">
        <v>19</v>
      </c>
      <c r="F47">
        <v>12</v>
      </c>
      <c r="G47">
        <v>0</v>
      </c>
      <c r="H47" t="s">
        <v>57</v>
      </c>
      <c r="I47" t="s">
        <v>57</v>
      </c>
      <c r="J47" t="s">
        <v>57</v>
      </c>
      <c r="K47" s="2"/>
      <c r="L47" s="2"/>
      <c r="M47" s="2"/>
      <c r="O47" s="4" t="s">
        <v>215</v>
      </c>
      <c r="P47" s="2" t="str">
        <f t="shared" si="3"/>
        <v xml:space="preserve">      .AddAttribute(  5, "BIC", "BIC", "varchar", 12, 0, false, false, "", "", "BIC number of the bank that manages this account (not necessarily required for transactions inside europe)")</v>
      </c>
    </row>
    <row r="48" spans="1:16" x14ac:dyDescent="0.45">
      <c r="A48" t="s">
        <v>102</v>
      </c>
      <c r="B48">
        <v>6</v>
      </c>
      <c r="C48" t="s">
        <v>148</v>
      </c>
      <c r="D48" t="s">
        <v>148</v>
      </c>
      <c r="E48" t="s">
        <v>19</v>
      </c>
      <c r="F48">
        <v>27</v>
      </c>
      <c r="G48">
        <v>0</v>
      </c>
      <c r="H48" t="s">
        <v>57</v>
      </c>
      <c r="I48" t="s">
        <v>57</v>
      </c>
      <c r="J48" t="s">
        <v>57</v>
      </c>
      <c r="K48" s="2"/>
      <c r="L48" s="2"/>
      <c r="M48" s="2"/>
      <c r="O48" s="4" t="s">
        <v>216</v>
      </c>
      <c r="P48" s="2" t="str">
        <f t="shared" si="3"/>
        <v xml:space="preserve">      .AddAttribute(  6, "BankOwner", "BankOwner", "varchar", 27, 0, false, false, "", "", "optionally the name of the owner of the bank details, if this differs from the assigned person")</v>
      </c>
    </row>
    <row r="49" spans="1:16" x14ac:dyDescent="0.45">
      <c r="A49" t="s">
        <v>102</v>
      </c>
      <c r="B49">
        <v>7</v>
      </c>
      <c r="C49" t="s">
        <v>139</v>
      </c>
      <c r="D49" t="s">
        <v>139</v>
      </c>
      <c r="E49" t="s">
        <v>20</v>
      </c>
      <c r="F49">
        <v>0</v>
      </c>
      <c r="G49">
        <v>0</v>
      </c>
      <c r="H49" t="s">
        <v>57</v>
      </c>
      <c r="I49" t="s">
        <v>57</v>
      </c>
      <c r="J49" t="s">
        <v>57</v>
      </c>
      <c r="K49" s="2"/>
      <c r="L49" s="2"/>
      <c r="M49" s="2"/>
      <c r="O49" s="4" t="s">
        <v>210</v>
      </c>
      <c r="P49" s="2" t="str">
        <f t="shared" si="3"/>
        <v xml:space="preserve">      .AddAttribute(  7, "Country", "Country", "integer", 0, 0, false, false, "", "", "ID of the country for the banking entity, key attribute from the \"Countries\" entity")</v>
      </c>
    </row>
    <row r="50" spans="1:16" x14ac:dyDescent="0.45">
      <c r="O50" s="4"/>
    </row>
    <row r="51" spans="1:16" x14ac:dyDescent="0.45">
      <c r="A51" t="s">
        <v>103</v>
      </c>
      <c r="B51">
        <v>0</v>
      </c>
      <c r="C51" t="s">
        <v>117</v>
      </c>
      <c r="D51" t="s">
        <v>461</v>
      </c>
      <c r="E51" t="s">
        <v>167</v>
      </c>
      <c r="H51" t="s">
        <v>168</v>
      </c>
      <c r="I51" t="s">
        <v>169</v>
      </c>
      <c r="K51" s="2"/>
      <c r="L51" s="2"/>
      <c r="M51" s="2"/>
      <c r="O51" s="4" t="s">
        <v>217</v>
      </c>
      <c r="P51" s="2" t="str">
        <f>CONCATENATE("   ",$P$1,".AddTable(","""",A51,""", ",CONCATENATE("EMyEntityType::",E51),", """,IF(ISERROR(FIND(".",C51)),"",RIGHT(C51, LEN(C51) - FIND(".",C51))),""", """,IF(ISERROR(FIND(".",C51)),"",LEFT(C51, FIND(".",C51)-1)),""", """,IF(ISERROR(FIND("::",D51)),"",RIGHT(D51, LEN(D51) - FIND("::",D51)-1)),""", """,IF(ISERROR(FIND("::",D51)),"",LEFT(D51, FIND("::",D51)-1)),""", """,H51,""", """,I51,""", """,O51,""")")</f>
        <v xml:space="preserve">   dictionary.AddTable("BankingTypes", EMyEntityType::table, "BankingTypes", "dbo", "BankingTypes", "myCorporate", "System", "SQL", "domain / range of values for banking types, this is an extension of the relationship between persons and banking accounts.")</v>
      </c>
    </row>
    <row r="52" spans="1:16" x14ac:dyDescent="0.45">
      <c r="A52" t="s">
        <v>103</v>
      </c>
      <c r="B52">
        <v>1</v>
      </c>
      <c r="C52" t="s">
        <v>134</v>
      </c>
      <c r="D52" t="s">
        <v>134</v>
      </c>
      <c r="E52" t="s">
        <v>20</v>
      </c>
      <c r="F52">
        <v>0</v>
      </c>
      <c r="G52">
        <v>0</v>
      </c>
      <c r="H52" t="s">
        <v>58</v>
      </c>
      <c r="I52" t="s">
        <v>58</v>
      </c>
      <c r="J52" t="s">
        <v>57</v>
      </c>
      <c r="K52" s="2"/>
      <c r="L52" s="2"/>
      <c r="M52" s="2"/>
      <c r="O52" s="4" t="s">
        <v>218</v>
      </c>
      <c r="P52" s="2" t="str">
        <f t="shared" ref="P52:P57" si="4">CONCATENATE("      .AddAttribute(",REPT(" ",3-LEN(TEXT(B52, "0"))),TEXT(B52, "0"),", """,C52,""", """,D52,""", """,E52,""", ",F52,", ",G52,", ",H52,", ",I52,", """,K52,""", """,L52,""", """,O52,"""",    ")")</f>
        <v xml:space="preserve">      .AddAttribute(  1, "ID", "ID", "integer", 0, 0, true, true, "", "", "unique identification number for a record in this domain with banking types")</v>
      </c>
    </row>
    <row r="53" spans="1:16" x14ac:dyDescent="0.45">
      <c r="A53" t="s">
        <v>103</v>
      </c>
      <c r="B53">
        <v>2</v>
      </c>
      <c r="C53" t="s">
        <v>129</v>
      </c>
      <c r="D53" t="s">
        <v>129</v>
      </c>
      <c r="E53" t="s">
        <v>19</v>
      </c>
      <c r="F53">
        <v>50</v>
      </c>
      <c r="G53">
        <v>0</v>
      </c>
      <c r="H53" t="s">
        <v>58</v>
      </c>
      <c r="I53" t="s">
        <v>57</v>
      </c>
      <c r="J53" t="s">
        <v>58</v>
      </c>
      <c r="K53" s="2"/>
      <c r="L53" s="2"/>
      <c r="M53" s="2"/>
      <c r="O53" s="4" t="s">
        <v>225</v>
      </c>
      <c r="P53" s="2" t="str">
        <f t="shared" si="4"/>
        <v xml:space="preserve">      .AddAttribute(  2, "Denotation", "Denotation", "varchar", 50, 0, true, false, "", "", "unique description of an banking type entity in the domain, used in selections, comboboxes, … (key canditate)")</v>
      </c>
    </row>
    <row r="54" spans="1:16" x14ac:dyDescent="0.45">
      <c r="A54" t="s">
        <v>103</v>
      </c>
      <c r="B54">
        <v>3</v>
      </c>
      <c r="C54" t="s">
        <v>130</v>
      </c>
      <c r="D54" t="s">
        <v>130</v>
      </c>
      <c r="E54" t="s">
        <v>19</v>
      </c>
      <c r="F54">
        <v>10</v>
      </c>
      <c r="G54">
        <v>0</v>
      </c>
      <c r="H54" t="s">
        <v>57</v>
      </c>
      <c r="I54" t="s">
        <v>57</v>
      </c>
      <c r="J54" t="s">
        <v>57</v>
      </c>
      <c r="K54" s="2"/>
      <c r="L54" s="2"/>
      <c r="M54" s="2"/>
      <c r="O54" s="4" t="s">
        <v>224</v>
      </c>
      <c r="P54" s="2" t="str">
        <f t="shared" si="4"/>
        <v xml:space="preserve">      .AddAttribute(  3, "Abbreviation", "Abbreviation", "varchar", 10, 0, false, false, "", "", "non-representative abbreviation that can be used for a short advertisement for this banking type")</v>
      </c>
    </row>
    <row r="55" spans="1:16" x14ac:dyDescent="0.45">
      <c r="A55" t="s">
        <v>103</v>
      </c>
      <c r="B55">
        <v>4</v>
      </c>
      <c r="C55" t="s">
        <v>131</v>
      </c>
      <c r="D55" t="s">
        <v>131</v>
      </c>
      <c r="E55" t="s">
        <v>77</v>
      </c>
      <c r="F55">
        <v>0</v>
      </c>
      <c r="G55">
        <v>0</v>
      </c>
      <c r="H55" t="s">
        <v>57</v>
      </c>
      <c r="I55" t="s">
        <v>57</v>
      </c>
      <c r="J55" t="s">
        <v>57</v>
      </c>
      <c r="K55" s="2"/>
      <c r="L55" s="2"/>
      <c r="M55" s="2"/>
      <c r="O55" s="4" t="s">
        <v>223</v>
      </c>
      <c r="P55" s="2" t="str">
        <f t="shared" si="4"/>
        <v xml:space="preserve">      .AddAttribute(  4, "Description", "Description", "text", 0, 0, false, false, "", "", "detailed description of these banking type,this is a self documentation, possible use as hint or to information in the programm")</v>
      </c>
    </row>
    <row r="56" spans="1:16" x14ac:dyDescent="0.45">
      <c r="A56" t="s">
        <v>103</v>
      </c>
      <c r="B56">
        <v>5</v>
      </c>
      <c r="C56" t="s">
        <v>132</v>
      </c>
      <c r="D56" t="s">
        <v>132</v>
      </c>
      <c r="E56" t="s">
        <v>77</v>
      </c>
      <c r="F56">
        <v>0</v>
      </c>
      <c r="G56">
        <v>0</v>
      </c>
      <c r="H56" t="s">
        <v>57</v>
      </c>
      <c r="I56" t="s">
        <v>57</v>
      </c>
      <c r="J56" t="s">
        <v>57</v>
      </c>
      <c r="K56" s="2"/>
      <c r="L56" s="2"/>
      <c r="M56" s="2"/>
      <c r="O56" s="4" t="s">
        <v>222</v>
      </c>
      <c r="P56" s="2" t="str">
        <f t="shared" si="4"/>
        <v xml:space="preserve">      .AddAttribute(  5, "Notes", "Notes", "text", 0, 0, false, false, "", "", "notes, with additional / free information for this type of banking, not used in application")</v>
      </c>
    </row>
    <row r="57" spans="1:16" x14ac:dyDescent="0.45">
      <c r="A57" t="s">
        <v>103</v>
      </c>
      <c r="B57">
        <v>6</v>
      </c>
      <c r="C57" t="s">
        <v>133</v>
      </c>
      <c r="D57" t="s">
        <v>133</v>
      </c>
      <c r="E57" t="s">
        <v>27</v>
      </c>
      <c r="F57">
        <v>0</v>
      </c>
      <c r="G57">
        <v>0</v>
      </c>
      <c r="H57" t="s">
        <v>57</v>
      </c>
      <c r="I57" t="s">
        <v>57</v>
      </c>
      <c r="J57" t="s">
        <v>57</v>
      </c>
      <c r="K57" s="2"/>
      <c r="L57" s="2"/>
      <c r="M57" s="2"/>
      <c r="O57" s="4" t="s">
        <v>221</v>
      </c>
      <c r="P57" s="2" t="str">
        <f t="shared" si="4"/>
        <v xml:space="preserve">      .AddAttribute(  6, "UrgentValue", "UrgentValue", "bool", 0, 0, false, false, "", "", "boolean value that makes this entity of banking type to a system value (cannot be changed as it is used directly by the program)")</v>
      </c>
    </row>
    <row r="58" spans="1:16" x14ac:dyDescent="0.45">
      <c r="O58" s="4"/>
    </row>
    <row r="59" spans="1:16" x14ac:dyDescent="0.45">
      <c r="A59" t="s">
        <v>104</v>
      </c>
      <c r="B59">
        <v>0</v>
      </c>
      <c r="C59" t="s">
        <v>118</v>
      </c>
      <c r="D59" t="s">
        <v>459</v>
      </c>
      <c r="E59" t="s">
        <v>167</v>
      </c>
      <c r="H59" t="s">
        <v>168</v>
      </c>
      <c r="I59" t="s">
        <v>169</v>
      </c>
      <c r="K59" s="2"/>
      <c r="L59" s="2"/>
      <c r="M59" s="2"/>
      <c r="O59" s="4" t="s">
        <v>404</v>
      </c>
      <c r="P59" s="2" t="str">
        <f>CONCATENATE("   ",$P$1,".AddTable(","""",A59,""", ",CONCATENATE("EMyEntityType::",E59),", """,IF(ISERROR(FIND(".",C59)),"",RIGHT(C59, LEN(C59) - FIND(".",C59))),""", """,IF(ISERROR(FIND(".",C59)),"",LEFT(C59, FIND(".",C59)-1)),""", """,IF(ISERROR(FIND("::",D59)),"",RIGHT(D59, LEN(D59) - FIND("::",D59)-1)),""", """,IF(ISERROR(FIND("::",D59)),"",LEFT(D59, FIND("::",D59)-1)),""", """,H59,""", """,I59,""", """,O59,""")")</f>
        <v xml:space="preserve">   dictionary.AddTable("Countries", EMyEntityType::table, "Countries", "dbo", "Countries", "myCorporate", "System", "SQL", "table with the countries and additional values for the countries. Used by others for assoziation.")</v>
      </c>
    </row>
    <row r="60" spans="1:16" x14ac:dyDescent="0.45">
      <c r="A60" t="s">
        <v>104</v>
      </c>
      <c r="B60">
        <v>1</v>
      </c>
      <c r="C60" t="s">
        <v>134</v>
      </c>
      <c r="D60" t="s">
        <v>134</v>
      </c>
      <c r="E60" t="s">
        <v>20</v>
      </c>
      <c r="F60">
        <v>0</v>
      </c>
      <c r="G60">
        <v>0</v>
      </c>
      <c r="H60" t="s">
        <v>58</v>
      </c>
      <c r="I60" t="s">
        <v>58</v>
      </c>
      <c r="J60" t="s">
        <v>57</v>
      </c>
      <c r="K60" s="2"/>
      <c r="L60" s="2"/>
      <c r="M60" s="2"/>
      <c r="O60" s="4" t="s">
        <v>405</v>
      </c>
      <c r="P60" s="2" t="str">
        <f t="shared" ref="P60:P67" si="5">CONCATENATE("      .AddAttribute(",REPT(" ",3-LEN(TEXT(B60, "0"))),TEXT(B60, "0"),", """,C60,""", """,D60,""", """,E60,""", ",F60,", ",G60,", ",H60,", ",I60,", """,K60,""", """,L60,""", """,O60,"""",    ")")</f>
        <v xml:space="preserve">      .AddAttribute(  1, "ID", "ID", "integer", 0, 0, true, true, "", "", "unique identification number for a record in the table Countries")</v>
      </c>
    </row>
    <row r="61" spans="1:16" x14ac:dyDescent="0.45">
      <c r="A61" t="s">
        <v>104</v>
      </c>
      <c r="B61">
        <v>2</v>
      </c>
      <c r="C61" t="s">
        <v>129</v>
      </c>
      <c r="D61" t="s">
        <v>129</v>
      </c>
      <c r="E61" t="s">
        <v>19</v>
      </c>
      <c r="F61">
        <v>50</v>
      </c>
      <c r="G61">
        <v>0</v>
      </c>
      <c r="H61" t="s">
        <v>58</v>
      </c>
      <c r="I61" t="s">
        <v>57</v>
      </c>
      <c r="J61" t="s">
        <v>58</v>
      </c>
      <c r="K61" s="2"/>
      <c r="L61" s="2"/>
      <c r="M61" s="2"/>
      <c r="O61" s="4" t="s">
        <v>406</v>
      </c>
      <c r="P61" s="2" t="str">
        <f t="shared" si="5"/>
        <v xml:space="preserve">      .AddAttribute(  2, "Denotation", "Denotation", "varchar", 50, 0, true, false, "", "", "unique, official designation of the country, key candidate")</v>
      </c>
    </row>
    <row r="62" spans="1:16" x14ac:dyDescent="0.45">
      <c r="A62" t="s">
        <v>104</v>
      </c>
      <c r="B62">
        <v>3</v>
      </c>
      <c r="C62" t="s">
        <v>130</v>
      </c>
      <c r="D62" t="s">
        <v>130</v>
      </c>
      <c r="E62" t="s">
        <v>19</v>
      </c>
      <c r="F62">
        <v>10</v>
      </c>
      <c r="G62">
        <v>0</v>
      </c>
      <c r="H62" t="s">
        <v>57</v>
      </c>
      <c r="I62" t="s">
        <v>57</v>
      </c>
      <c r="J62" t="s">
        <v>57</v>
      </c>
      <c r="K62" s="2"/>
      <c r="L62" s="2"/>
      <c r="M62" s="2"/>
      <c r="O62" s="4" t="s">
        <v>407</v>
      </c>
      <c r="P62" s="2" t="str">
        <f t="shared" si="5"/>
        <v xml:space="preserve">      .AddAttribute(  3, "Abbreviation", "Abbreviation", "varchar", 10, 0, false, false, "", "", "abbreviation of the country for the program")</v>
      </c>
    </row>
    <row r="63" spans="1:16" x14ac:dyDescent="0.45">
      <c r="A63" t="s">
        <v>104</v>
      </c>
      <c r="B63">
        <v>4</v>
      </c>
      <c r="C63" t="s">
        <v>131</v>
      </c>
      <c r="D63" t="s">
        <v>131</v>
      </c>
      <c r="E63" t="s">
        <v>77</v>
      </c>
      <c r="F63">
        <v>0</v>
      </c>
      <c r="G63">
        <v>0</v>
      </c>
      <c r="H63" t="s">
        <v>57</v>
      </c>
      <c r="I63" t="s">
        <v>57</v>
      </c>
      <c r="J63" t="s">
        <v>57</v>
      </c>
      <c r="K63" s="2"/>
      <c r="L63" s="2"/>
      <c r="M63" s="2"/>
      <c r="O63" s="4" t="s">
        <v>409</v>
      </c>
      <c r="P63" s="2" t="str">
        <f t="shared" si="5"/>
        <v xml:space="preserve">      .AddAttribute(  4, "Description", "Description", "text", 0, 0, false, false, "", "", "text field for the description of the country. can be used by the program to provide additional information, for example in the status bar or a hint")</v>
      </c>
    </row>
    <row r="64" spans="1:16" x14ac:dyDescent="0.45">
      <c r="A64" t="s">
        <v>104</v>
      </c>
      <c r="B64">
        <v>5</v>
      </c>
      <c r="C64" t="s">
        <v>149</v>
      </c>
      <c r="D64" t="s">
        <v>149</v>
      </c>
      <c r="E64" t="s">
        <v>19</v>
      </c>
      <c r="F64">
        <v>10</v>
      </c>
      <c r="G64">
        <v>0</v>
      </c>
      <c r="H64" t="s">
        <v>57</v>
      </c>
      <c r="I64" t="s">
        <v>57</v>
      </c>
      <c r="J64" t="s">
        <v>57</v>
      </c>
      <c r="K64" s="2"/>
      <c r="L64" s="2"/>
      <c r="M64" s="2"/>
      <c r="O64" s="4" t="s">
        <v>410</v>
      </c>
      <c r="P64" s="2" t="str">
        <f t="shared" si="5"/>
        <v xml:space="preserve">      .AddAttribute(  5, "CountryDialing", "CountryDialing", "varchar", 10, 0, false, false, "", "", "international country code for telephone for this country (not unique)")</v>
      </c>
    </row>
    <row r="65" spans="1:16" x14ac:dyDescent="0.45">
      <c r="A65" t="s">
        <v>104</v>
      </c>
      <c r="B65">
        <v>6</v>
      </c>
      <c r="C65" t="s">
        <v>150</v>
      </c>
      <c r="D65" t="s">
        <v>150</v>
      </c>
      <c r="E65" t="s">
        <v>19</v>
      </c>
      <c r="F65">
        <v>5</v>
      </c>
      <c r="G65">
        <v>0</v>
      </c>
      <c r="H65" t="s">
        <v>57</v>
      </c>
      <c r="I65" t="s">
        <v>57</v>
      </c>
      <c r="J65" t="s">
        <v>57</v>
      </c>
      <c r="K65" s="2"/>
      <c r="L65" s="2"/>
      <c r="M65" s="2"/>
      <c r="O65" s="4" t="s">
        <v>408</v>
      </c>
      <c r="P65" s="2" t="str">
        <f t="shared" si="5"/>
        <v xml:space="preserve">      .AddAttribute(  6, "ISO_Code", "ISO_Code", "varchar", 5, 0, false, false, "", "", "unique, official international code (ISO) for the country in the communication")</v>
      </c>
    </row>
    <row r="66" spans="1:16" x14ac:dyDescent="0.45">
      <c r="A66" t="s">
        <v>104</v>
      </c>
      <c r="B66">
        <v>7</v>
      </c>
      <c r="C66" t="s">
        <v>132</v>
      </c>
      <c r="D66" t="s">
        <v>132</v>
      </c>
      <c r="E66" t="s">
        <v>77</v>
      </c>
      <c r="F66">
        <v>0</v>
      </c>
      <c r="G66">
        <v>0</v>
      </c>
      <c r="H66" t="s">
        <v>57</v>
      </c>
      <c r="I66" t="s">
        <v>57</v>
      </c>
      <c r="J66" t="s">
        <v>57</v>
      </c>
      <c r="K66" s="2"/>
      <c r="L66" s="2"/>
      <c r="M66" s="2"/>
      <c r="O66" s="4" t="s">
        <v>411</v>
      </c>
      <c r="P66" s="2" t="str">
        <f t="shared" si="5"/>
        <v xml:space="preserve">      .AddAttribute(  7, "Notes", "Notes", "text", 0, 0, false, false, "", "", "notes, with additional / free information for this country, not used in application")</v>
      </c>
    </row>
    <row r="67" spans="1:16" x14ac:dyDescent="0.45">
      <c r="A67" t="s">
        <v>104</v>
      </c>
      <c r="B67">
        <v>8</v>
      </c>
      <c r="C67" t="s">
        <v>133</v>
      </c>
      <c r="D67" t="s">
        <v>133</v>
      </c>
      <c r="E67" t="s">
        <v>27</v>
      </c>
      <c r="F67">
        <v>0</v>
      </c>
      <c r="G67">
        <v>0</v>
      </c>
      <c r="H67" t="s">
        <v>57</v>
      </c>
      <c r="I67" t="s">
        <v>57</v>
      </c>
      <c r="J67" t="s">
        <v>57</v>
      </c>
      <c r="K67" s="2"/>
      <c r="L67" s="2"/>
      <c r="M67" s="2"/>
      <c r="O67" s="4" t="s">
        <v>256</v>
      </c>
      <c r="P67" s="2" t="str">
        <f t="shared" si="5"/>
        <v xml:space="preserve">      .AddAttribute(  8, "UrgentValue", "UrgentValue", "bool", 0, 0, false, false, "", "", "boolean value that makes this entity of country to a system value (cannot be changed as it is used directly by the program)")</v>
      </c>
    </row>
    <row r="68" spans="1:16" x14ac:dyDescent="0.45">
      <c r="O68" s="4"/>
    </row>
    <row r="69" spans="1:16" x14ac:dyDescent="0.45">
      <c r="A69" t="s">
        <v>105</v>
      </c>
      <c r="B69">
        <v>0</v>
      </c>
      <c r="C69" t="s">
        <v>119</v>
      </c>
      <c r="D69" t="s">
        <v>458</v>
      </c>
      <c r="E69" t="s">
        <v>167</v>
      </c>
      <c r="H69" t="s">
        <v>168</v>
      </c>
      <c r="I69" t="s">
        <v>169</v>
      </c>
      <c r="K69" s="2"/>
      <c r="L69" s="2"/>
      <c r="M69" s="2"/>
      <c r="O69" s="4"/>
      <c r="P69" s="2" t="str">
        <f>CONCATENATE("   ",$P$1,".AddTable(","""",A69,""", ",CONCATENATE("EMyEntityType::",E69),", """,IF(ISERROR(FIND(".",C69)),"",RIGHT(C69, LEN(C69) - FIND(".",C69))),""", """,IF(ISERROR(FIND(".",C69)),"",LEFT(C69, FIND(".",C69)-1)),""", """,IF(ISERROR(FIND("::",D69)),"",RIGHT(D69, LEN(D69) - FIND("::",D69)-1)),""", """,IF(ISERROR(FIND("::",D69)),"",LEFT(D69, FIND("::",D69)-1)),""", """,H69,""", """,I69,""", """,O69,""")")</f>
        <v xml:space="preserve">   dictionary.AddTable("Departments", EMyEntityType::table, "Departments", "dbo", "Departments", "myHR", "System", "SQL", "")</v>
      </c>
    </row>
    <row r="70" spans="1:16" x14ac:dyDescent="0.45">
      <c r="A70" t="s">
        <v>105</v>
      </c>
      <c r="B70">
        <v>1</v>
      </c>
      <c r="C70" t="s">
        <v>134</v>
      </c>
      <c r="D70" t="s">
        <v>134</v>
      </c>
      <c r="E70" t="s">
        <v>20</v>
      </c>
      <c r="F70">
        <v>0</v>
      </c>
      <c r="G70">
        <v>0</v>
      </c>
      <c r="H70" t="s">
        <v>58</v>
      </c>
      <c r="I70" t="s">
        <v>58</v>
      </c>
      <c r="J70" t="s">
        <v>57</v>
      </c>
      <c r="K70" s="2"/>
      <c r="L70" s="2"/>
      <c r="M70" s="2"/>
      <c r="O70" s="4" t="s">
        <v>468</v>
      </c>
      <c r="P70" s="2" t="str">
        <f t="shared" ref="P70:P75" si="6">CONCATENATE("      .AddAttribute(",REPT(" ",3-LEN(TEXT(B70, "0"))),TEXT(B70, "0"),", """,C70,""", """,D70,""", """,E70,""", ",F70,", ",G70,", ",H70,", ",I70,", """,K70,""", """,L70,""", """,O70,"""",    ")")</f>
        <v xml:space="preserve">      .AddAttribute(  1, "ID", "ID", "integer", 0, 0, true, true, "", "", "unique identifications number of the department. primary key and used for assoziations")</v>
      </c>
    </row>
    <row r="71" spans="1:16" x14ac:dyDescent="0.45">
      <c r="A71" t="s">
        <v>105</v>
      </c>
      <c r="B71">
        <v>2</v>
      </c>
      <c r="C71" t="s">
        <v>129</v>
      </c>
      <c r="D71" t="s">
        <v>129</v>
      </c>
      <c r="E71" t="s">
        <v>19</v>
      </c>
      <c r="F71">
        <v>50</v>
      </c>
      <c r="G71">
        <v>0</v>
      </c>
      <c r="H71" t="s">
        <v>58</v>
      </c>
      <c r="I71" t="s">
        <v>57</v>
      </c>
      <c r="J71" t="s">
        <v>58</v>
      </c>
      <c r="K71" s="2"/>
      <c r="L71" s="2"/>
      <c r="M71" s="2"/>
      <c r="O71" s="4" t="s">
        <v>470</v>
      </c>
      <c r="P71" s="2" t="str">
        <f t="shared" si="6"/>
        <v xml:space="preserve">      .AddAttribute(  2, "Denotation", "Denotation", "varchar", 50, 0, true, false, "", "", "distinct name of the department in the company. used to identify this and use in application for select")</v>
      </c>
    </row>
    <row r="72" spans="1:16" x14ac:dyDescent="0.45">
      <c r="A72" t="s">
        <v>105</v>
      </c>
      <c r="B72">
        <v>3</v>
      </c>
      <c r="C72" t="s">
        <v>130</v>
      </c>
      <c r="D72" t="s">
        <v>130</v>
      </c>
      <c r="E72" t="s">
        <v>19</v>
      </c>
      <c r="F72">
        <v>10</v>
      </c>
      <c r="G72">
        <v>0</v>
      </c>
      <c r="H72" t="s">
        <v>57</v>
      </c>
      <c r="I72" t="s">
        <v>57</v>
      </c>
      <c r="J72" t="s">
        <v>57</v>
      </c>
      <c r="K72" s="2"/>
      <c r="L72" s="2"/>
      <c r="M72" s="2"/>
      <c r="O72" s="4" t="s">
        <v>469</v>
      </c>
      <c r="P72" s="2" t="str">
        <f t="shared" si="6"/>
        <v xml:space="preserve">      .AddAttribute(  3, "Abbreviation", "Abbreviation", "varchar", 10, 0, false, false, "", "", "used abbreviation of the department for list and such")</v>
      </c>
    </row>
    <row r="73" spans="1:16" x14ac:dyDescent="0.45">
      <c r="A73" t="s">
        <v>105</v>
      </c>
      <c r="B73">
        <v>4</v>
      </c>
      <c r="C73" t="s">
        <v>131</v>
      </c>
      <c r="D73" t="s">
        <v>131</v>
      </c>
      <c r="E73" t="s">
        <v>77</v>
      </c>
      <c r="F73">
        <v>0</v>
      </c>
      <c r="G73">
        <v>0</v>
      </c>
      <c r="H73" t="s">
        <v>57</v>
      </c>
      <c r="I73" t="s">
        <v>57</v>
      </c>
      <c r="J73" t="s">
        <v>57</v>
      </c>
      <c r="K73" s="2"/>
      <c r="L73" s="2"/>
      <c r="M73" s="2"/>
      <c r="O73" s="4"/>
      <c r="P73" s="2" t="str">
        <f t="shared" si="6"/>
        <v xml:space="preserve">      .AddAttribute(  4, "Description", "Description", "text", 0, 0, false, false, "", "", "")</v>
      </c>
    </row>
    <row r="74" spans="1:16" x14ac:dyDescent="0.45">
      <c r="A74" t="s">
        <v>105</v>
      </c>
      <c r="B74">
        <v>5</v>
      </c>
      <c r="C74" t="s">
        <v>464</v>
      </c>
      <c r="D74" t="s">
        <v>464</v>
      </c>
      <c r="E74" t="s">
        <v>20</v>
      </c>
      <c r="F74">
        <v>0</v>
      </c>
      <c r="G74">
        <v>0</v>
      </c>
      <c r="H74" t="s">
        <v>57</v>
      </c>
      <c r="I74" t="s">
        <v>57</v>
      </c>
      <c r="J74" t="s">
        <v>57</v>
      </c>
      <c r="K74" s="2"/>
      <c r="L74" s="2"/>
      <c r="M74" s="2"/>
      <c r="O74" s="4"/>
      <c r="P74" s="2" t="str">
        <f t="shared" si="6"/>
        <v xml:space="preserve">      .AddAttribute(  5, "Officer", "Officer", "integer", 0, 0, false, false, "", "", "")</v>
      </c>
    </row>
    <row r="75" spans="1:16" x14ac:dyDescent="0.45">
      <c r="A75" t="s">
        <v>105</v>
      </c>
      <c r="B75">
        <v>6</v>
      </c>
      <c r="C75" t="s">
        <v>132</v>
      </c>
      <c r="D75" t="s">
        <v>132</v>
      </c>
      <c r="E75" t="s">
        <v>77</v>
      </c>
      <c r="F75">
        <v>0</v>
      </c>
      <c r="G75">
        <v>0</v>
      </c>
      <c r="H75" t="s">
        <v>57</v>
      </c>
      <c r="I75" t="s">
        <v>57</v>
      </c>
      <c r="J75" t="s">
        <v>57</v>
      </c>
      <c r="K75" s="2"/>
      <c r="L75" s="2"/>
      <c r="M75" s="2"/>
      <c r="O75" s="4"/>
      <c r="P75" s="2" t="str">
        <f t="shared" si="6"/>
        <v xml:space="preserve">      .AddAttribute(  6, "Notes", "Notes", "text", 0, 0, false, false, "", "", "")</v>
      </c>
    </row>
    <row r="76" spans="1:16" x14ac:dyDescent="0.45">
      <c r="O76" s="4"/>
    </row>
    <row r="77" spans="1:16" x14ac:dyDescent="0.45">
      <c r="A77" t="s">
        <v>106</v>
      </c>
      <c r="B77">
        <v>0</v>
      </c>
      <c r="C77" t="s">
        <v>120</v>
      </c>
      <c r="D77" t="s">
        <v>390</v>
      </c>
      <c r="E77" t="s">
        <v>167</v>
      </c>
      <c r="H77" t="s">
        <v>168</v>
      </c>
      <c r="I77" t="s">
        <v>169</v>
      </c>
      <c r="K77" s="2"/>
      <c r="L77" s="2"/>
      <c r="M77" s="2"/>
      <c r="O77" s="4" t="s">
        <v>276</v>
      </c>
      <c r="P77" s="2" t="str">
        <f>CONCATENATE("   ",$P$1,".AddTable(","""",A77,""", ",CONCATENATE("EMyEntityType::",E77),", """,IF(ISERROR(FIND(".",C77)),"",RIGHT(C77, LEN(C77) - FIND(".",C77))),""", """,IF(ISERROR(FIND(".",C77)),"",LEFT(C77, FIND(".",C77)-1)),""", """,IF(ISERROR(FIND("::",D77)),"",RIGHT(D77, LEN(D77) - FIND("::",D77)-1)),""", """,IF(ISERROR(FIND("::",D77)),"",LEFT(D77, FIND("::",D77)-1)),""", """,H77,""", """,I77,""", """,O77,""")")</f>
        <v xml:space="preserve">   dictionary.AddTable("Employees", EMyEntityType::table, "Employees", "dbo", "Employees", "myHR", "System", "SQL", "information about the employees in the company (generalization of a person)")</v>
      </c>
    </row>
    <row r="78" spans="1:16" x14ac:dyDescent="0.45">
      <c r="A78" t="s">
        <v>106</v>
      </c>
      <c r="B78">
        <v>1</v>
      </c>
      <c r="C78" t="s">
        <v>134</v>
      </c>
      <c r="D78" t="s">
        <v>134</v>
      </c>
      <c r="E78" t="s">
        <v>20</v>
      </c>
      <c r="F78">
        <v>0</v>
      </c>
      <c r="G78">
        <v>0</v>
      </c>
      <c r="H78" t="s">
        <v>58</v>
      </c>
      <c r="I78" t="s">
        <v>58</v>
      </c>
      <c r="J78" t="s">
        <v>57</v>
      </c>
      <c r="K78" s="2"/>
      <c r="L78" s="2"/>
      <c r="M78" s="2"/>
      <c r="O78" s="4" t="s">
        <v>264</v>
      </c>
      <c r="P78" s="2" t="str">
        <f t="shared" ref="P78:P87" si="7">CONCATENATE("      .AddAttribute(",REPT(" ",3-LEN(TEXT(B78, "0"))),TEXT(B78, "0"),", """,C78,""", """,D78,""", """,E78,""", ",F78,", ",G78,", ",H78,", ",I78,", """,K78,""", """,L78,""", """,O78,"""",    ")")</f>
        <v xml:space="preserve">      .AddAttribute(  1, "ID", "ID", "integer", 0, 0, true, true, "", "", "attribute as foreign key from an attribute ID of a person entity to which these account details belong")</v>
      </c>
    </row>
    <row r="79" spans="1:16" x14ac:dyDescent="0.45">
      <c r="A79" t="s">
        <v>106</v>
      </c>
      <c r="B79">
        <v>2</v>
      </c>
      <c r="C79" t="s">
        <v>151</v>
      </c>
      <c r="D79" t="s">
        <v>151</v>
      </c>
      <c r="E79" t="s">
        <v>19</v>
      </c>
      <c r="F79">
        <v>15</v>
      </c>
      <c r="G79">
        <v>0</v>
      </c>
      <c r="H79" t="s">
        <v>58</v>
      </c>
      <c r="I79" t="s">
        <v>57</v>
      </c>
      <c r="J79" t="s">
        <v>58</v>
      </c>
      <c r="K79" s="2"/>
      <c r="L79" s="2"/>
      <c r="M79" s="2"/>
      <c r="O79" s="4" t="s">
        <v>275</v>
      </c>
      <c r="P79" s="2" t="str">
        <f t="shared" si="7"/>
        <v xml:space="preserve">      .AddAttribute(  2, "PersonNumber", "PersonNumber", "varchar", 15, 0, true, false, "", "", "unique HR number of the employee in the company, assigned by the HR department")</v>
      </c>
    </row>
    <row r="80" spans="1:16" x14ac:dyDescent="0.45">
      <c r="A80" t="s">
        <v>106</v>
      </c>
      <c r="B80">
        <v>3</v>
      </c>
      <c r="C80" t="s">
        <v>152</v>
      </c>
      <c r="D80" t="s">
        <v>152</v>
      </c>
      <c r="E80" t="s">
        <v>25</v>
      </c>
      <c r="F80">
        <v>10</v>
      </c>
      <c r="G80">
        <v>2</v>
      </c>
      <c r="H80" t="s">
        <v>57</v>
      </c>
      <c r="I80" t="s">
        <v>57</v>
      </c>
      <c r="J80" t="s">
        <v>57</v>
      </c>
      <c r="K80" s="2" t="s">
        <v>287</v>
      </c>
      <c r="L80" s="2"/>
      <c r="M80" s="2"/>
      <c r="O80" s="4" t="s">
        <v>274</v>
      </c>
      <c r="P80" s="2" t="str">
        <f t="shared" si="7"/>
        <v xml:space="preserve">      .AddAttribute(  3, "Salery", "Salery", "decimal", 10, 2, false, false, "&gt;= 0.0", "", "salary / income that the employee currently receives")</v>
      </c>
    </row>
    <row r="81" spans="1:16" x14ac:dyDescent="0.45">
      <c r="A81" t="s">
        <v>106</v>
      </c>
      <c r="B81">
        <v>4</v>
      </c>
      <c r="C81" t="s">
        <v>339</v>
      </c>
      <c r="D81" t="s">
        <v>339</v>
      </c>
      <c r="E81" t="s">
        <v>20</v>
      </c>
      <c r="F81">
        <v>0</v>
      </c>
      <c r="G81">
        <v>0</v>
      </c>
      <c r="H81" t="s">
        <v>58</v>
      </c>
      <c r="I81" t="s">
        <v>57</v>
      </c>
      <c r="J81" t="s">
        <v>57</v>
      </c>
      <c r="K81" s="2"/>
      <c r="L81" s="2"/>
      <c r="M81" s="2"/>
      <c r="O81" s="4" t="s">
        <v>340</v>
      </c>
      <c r="P81" s="2" t="str">
        <f t="shared" si="7"/>
        <v xml:space="preserve">      .AddAttribute(  4, "TaxClass", "TaxClass", "integer", 0, 0, true, false, "", "", "Tax class currently held by the employee")</v>
      </c>
    </row>
    <row r="82" spans="1:16" x14ac:dyDescent="0.45">
      <c r="A82" t="s">
        <v>106</v>
      </c>
      <c r="B82">
        <v>5</v>
      </c>
      <c r="C82" t="s">
        <v>153</v>
      </c>
      <c r="D82" t="s">
        <v>153</v>
      </c>
      <c r="E82" t="s">
        <v>22</v>
      </c>
      <c r="F82">
        <v>0</v>
      </c>
      <c r="G82">
        <v>0</v>
      </c>
      <c r="H82" t="s">
        <v>58</v>
      </c>
      <c r="I82" t="s">
        <v>57</v>
      </c>
      <c r="J82" t="s">
        <v>57</v>
      </c>
      <c r="K82" s="2"/>
      <c r="L82" s="2"/>
      <c r="M82" s="2"/>
      <c r="O82" s="4" t="s">
        <v>273</v>
      </c>
      <c r="P82" s="2" t="str">
        <f t="shared" si="7"/>
        <v xml:space="preserve">      .AddAttribute(  5, "StartOfJob", "StartOfJob", "date", 0, 0, true, false, "", "", "starting date of the employee in the company (can be extended later for the start of the current position)")</v>
      </c>
    </row>
    <row r="83" spans="1:16" x14ac:dyDescent="0.45">
      <c r="A83" t="s">
        <v>106</v>
      </c>
      <c r="B83">
        <v>6</v>
      </c>
      <c r="C83" t="s">
        <v>154</v>
      </c>
      <c r="D83" t="s">
        <v>154</v>
      </c>
      <c r="E83" t="s">
        <v>20</v>
      </c>
      <c r="F83">
        <v>0</v>
      </c>
      <c r="G83">
        <v>0</v>
      </c>
      <c r="H83" t="s">
        <v>57</v>
      </c>
      <c r="I83" t="s">
        <v>57</v>
      </c>
      <c r="J83" t="s">
        <v>57</v>
      </c>
      <c r="K83" s="2"/>
      <c r="L83" s="2"/>
      <c r="M83" s="2"/>
      <c r="O83" s="4" t="s">
        <v>272</v>
      </c>
      <c r="P83" s="2" t="str">
        <f t="shared" si="7"/>
        <v xml:space="preserve">      .AddAttribute(  6, "JobPosition", "JobPosition", "integer", 0, 0, false, false, "", "", "current position / activity of the employee within the company")</v>
      </c>
    </row>
    <row r="84" spans="1:16" x14ac:dyDescent="0.45">
      <c r="A84" t="s">
        <v>106</v>
      </c>
      <c r="B84">
        <v>7</v>
      </c>
      <c r="C84" t="s">
        <v>155</v>
      </c>
      <c r="D84" t="s">
        <v>155</v>
      </c>
      <c r="E84" t="s">
        <v>19</v>
      </c>
      <c r="F84">
        <v>100</v>
      </c>
      <c r="G84">
        <v>0</v>
      </c>
      <c r="H84" t="s">
        <v>57</v>
      </c>
      <c r="I84" t="s">
        <v>57</v>
      </c>
      <c r="J84" t="s">
        <v>57</v>
      </c>
      <c r="K84" s="2"/>
      <c r="L84" s="2"/>
      <c r="M84" s="2"/>
      <c r="O84" s="4" t="s">
        <v>288</v>
      </c>
      <c r="P84" s="2" t="str">
        <f t="shared" si="7"/>
        <v xml:space="preserve">      .AddAttribute(  7, "JobSpec", "JobSpec", "varchar", 100, 0, false, false, "", "", "specification of the job as free text to concretize this")</v>
      </c>
    </row>
    <row r="85" spans="1:16" x14ac:dyDescent="0.45">
      <c r="A85" t="s">
        <v>106</v>
      </c>
      <c r="B85">
        <v>8</v>
      </c>
      <c r="C85" t="s">
        <v>156</v>
      </c>
      <c r="D85" t="s">
        <v>156</v>
      </c>
      <c r="E85" t="s">
        <v>20</v>
      </c>
      <c r="F85">
        <v>0</v>
      </c>
      <c r="G85">
        <v>0</v>
      </c>
      <c r="H85" t="s">
        <v>58</v>
      </c>
      <c r="I85" t="s">
        <v>57</v>
      </c>
      <c r="J85" t="s">
        <v>57</v>
      </c>
      <c r="K85" s="2"/>
      <c r="L85" s="2"/>
      <c r="M85" s="2"/>
      <c r="O85" s="4" t="s">
        <v>271</v>
      </c>
      <c r="P85" s="2" t="str">
        <f t="shared" si="7"/>
        <v xml:space="preserve">      .AddAttribute(  8, "Department", "Department", "integer", 0, 0, true, false, "", "", "id of the department where the employee currently work")</v>
      </c>
    </row>
    <row r="86" spans="1:16" x14ac:dyDescent="0.45">
      <c r="A86" t="s">
        <v>106</v>
      </c>
      <c r="B86">
        <v>9</v>
      </c>
      <c r="C86" t="s">
        <v>157</v>
      </c>
      <c r="D86" t="s">
        <v>157</v>
      </c>
      <c r="E86" t="s">
        <v>19</v>
      </c>
      <c r="F86">
        <v>20</v>
      </c>
      <c r="G86">
        <v>0</v>
      </c>
      <c r="H86" t="s">
        <v>58</v>
      </c>
      <c r="I86" t="s">
        <v>57</v>
      </c>
      <c r="J86" t="s">
        <v>58</v>
      </c>
      <c r="K86" s="2"/>
      <c r="L86" s="2"/>
      <c r="M86" s="2"/>
      <c r="O86" s="4" t="s">
        <v>277</v>
      </c>
      <c r="P86" s="2" t="str">
        <f t="shared" si="7"/>
        <v xml:space="preserve">      .AddAttribute(  9, "SocialNummer", "SocialNummer", "varchar", 20, 0, true, false, "", "", "social insurance number of the employee")</v>
      </c>
    </row>
    <row r="87" spans="1:16" x14ac:dyDescent="0.45">
      <c r="A87" t="s">
        <v>106</v>
      </c>
      <c r="B87">
        <v>10</v>
      </c>
      <c r="C87" t="s">
        <v>158</v>
      </c>
      <c r="D87" t="s">
        <v>158</v>
      </c>
      <c r="E87" t="s">
        <v>27</v>
      </c>
      <c r="F87">
        <v>0</v>
      </c>
      <c r="G87">
        <v>0</v>
      </c>
      <c r="H87" t="s">
        <v>57</v>
      </c>
      <c r="I87" t="s">
        <v>57</v>
      </c>
      <c r="J87" t="s">
        <v>57</v>
      </c>
      <c r="K87" s="2"/>
      <c r="L87" s="2"/>
      <c r="M87" s="2"/>
      <c r="O87" s="4" t="s">
        <v>278</v>
      </c>
      <c r="P87" s="2" t="str">
        <f t="shared" si="7"/>
        <v xml:space="preserve">      .AddAttribute( 10, "Active", "Active", "bool", 0, 0, false, false, "", "", "boolean value indicating whether the person is active in the company")</v>
      </c>
    </row>
    <row r="88" spans="1:16" x14ac:dyDescent="0.45">
      <c r="O88" s="4"/>
    </row>
    <row r="89" spans="1:16" x14ac:dyDescent="0.45">
      <c r="A89" t="s">
        <v>107</v>
      </c>
      <c r="B89">
        <v>0</v>
      </c>
      <c r="C89" t="s">
        <v>121</v>
      </c>
      <c r="D89" t="s">
        <v>457</v>
      </c>
      <c r="E89" t="s">
        <v>167</v>
      </c>
      <c r="H89" t="s">
        <v>168</v>
      </c>
      <c r="I89" t="s">
        <v>169</v>
      </c>
      <c r="K89" s="2"/>
      <c r="L89" s="2"/>
      <c r="M89" s="2"/>
      <c r="O89" s="4" t="s">
        <v>302</v>
      </c>
      <c r="P89" s="2" t="str">
        <f>CONCATENATE("   ",$P$1,".AddTable(","""",A89,""", ",CONCATENATE("EMyEntityType::",E89),", """,IF(ISERROR(FIND(".",C89)),"",RIGHT(C89, LEN(C89) - FIND(".",C89))),""", """,IF(ISERROR(FIND(".",C89)),"",LEFT(C89, FIND(".",C89)-1)),""", """,IF(ISERROR(FIND("::",D89)),"",RIGHT(D89, LEN(D89) - FIND("::",D89)-1)),""", """,IF(ISERROR(FIND("::",D89)),"",LEFT(D89, FIND("::",D89)-1)),""", """,H89,""", """,I89,""", """,O89,""")")</f>
        <v xml:space="preserve">   dictionary.AddTable("FamilyTypes", EMyEntityType::table, "FamilyTypes", "dbo", "FamilyTypes", "myCorporate", "System", "SQL", "domain / range of values for family types, this is used in form of address to qualifify the person gender")</v>
      </c>
    </row>
    <row r="90" spans="1:16" x14ac:dyDescent="0.45">
      <c r="A90" t="s">
        <v>107</v>
      </c>
      <c r="B90">
        <v>1</v>
      </c>
      <c r="C90" t="s">
        <v>134</v>
      </c>
      <c r="D90" t="s">
        <v>134</v>
      </c>
      <c r="E90" t="s">
        <v>20</v>
      </c>
      <c r="F90">
        <v>0</v>
      </c>
      <c r="G90">
        <v>0</v>
      </c>
      <c r="H90" t="s">
        <v>58</v>
      </c>
      <c r="I90" t="s">
        <v>58</v>
      </c>
      <c r="J90" t="s">
        <v>57</v>
      </c>
      <c r="K90" s="2"/>
      <c r="L90" s="2"/>
      <c r="M90" s="2"/>
      <c r="O90" s="4" t="s">
        <v>250</v>
      </c>
      <c r="P90" s="2" t="str">
        <f t="shared" ref="P90:P96" si="8">CONCATENATE("      .AddAttribute(",REPT(" ",3-LEN(TEXT(B90, "0"))),TEXT(B90, "0"),", """,C90,""", """,D90,""", """,E90,""", ",F90,", ",G90,", ",H90,", ",I90,", """,K90,""", """,L90,""", """,O90,"""",    ")")</f>
        <v xml:space="preserve">      .AddAttribute(  1, "ID", "ID", "integer", 0, 0, true, true, "", "", "unique identification number for a record in this domain with family types")</v>
      </c>
    </row>
    <row r="91" spans="1:16" x14ac:dyDescent="0.45">
      <c r="A91" t="s">
        <v>107</v>
      </c>
      <c r="B91">
        <v>2</v>
      </c>
      <c r="C91" t="s">
        <v>129</v>
      </c>
      <c r="D91" t="s">
        <v>129</v>
      </c>
      <c r="E91" t="s">
        <v>19</v>
      </c>
      <c r="F91">
        <v>50</v>
      </c>
      <c r="G91">
        <v>0</v>
      </c>
      <c r="H91" t="s">
        <v>58</v>
      </c>
      <c r="I91" t="s">
        <v>57</v>
      </c>
      <c r="J91" t="s">
        <v>58</v>
      </c>
      <c r="K91" s="2"/>
      <c r="L91" s="2"/>
      <c r="M91" s="2"/>
      <c r="O91" s="4" t="s">
        <v>251</v>
      </c>
      <c r="P91" s="2" t="str">
        <f t="shared" si="8"/>
        <v xml:space="preserve">      .AddAttribute(  2, "Denotation", "Denotation", "varchar", 50, 0, true, false, "", "", "unique description of a family type entity in the domain, used in selections, comboboxes, … (key canditate)")</v>
      </c>
    </row>
    <row r="92" spans="1:16" x14ac:dyDescent="0.45">
      <c r="A92" t="s">
        <v>107</v>
      </c>
      <c r="B92">
        <v>3</v>
      </c>
      <c r="C92" t="s">
        <v>130</v>
      </c>
      <c r="D92" t="s">
        <v>130</v>
      </c>
      <c r="E92" t="s">
        <v>19</v>
      </c>
      <c r="F92">
        <v>10</v>
      </c>
      <c r="G92">
        <v>0</v>
      </c>
      <c r="H92" t="s">
        <v>57</v>
      </c>
      <c r="I92" t="s">
        <v>57</v>
      </c>
      <c r="J92" t="s">
        <v>57</v>
      </c>
      <c r="K92" s="2"/>
      <c r="L92" s="2"/>
      <c r="M92" s="2"/>
      <c r="O92" s="4" t="s">
        <v>224</v>
      </c>
      <c r="P92" s="2" t="str">
        <f t="shared" si="8"/>
        <v xml:space="preserve">      .AddAttribute(  3, "Abbreviation", "Abbreviation", "varchar", 10, 0, false, false, "", "", "non-representative abbreviation that can be used for a short advertisement for this banking type")</v>
      </c>
    </row>
    <row r="93" spans="1:16" x14ac:dyDescent="0.45">
      <c r="A93" t="s">
        <v>107</v>
      </c>
      <c r="B93">
        <v>4</v>
      </c>
      <c r="C93" t="s">
        <v>367</v>
      </c>
      <c r="D93" t="s">
        <v>367</v>
      </c>
      <c r="E93" t="s">
        <v>27</v>
      </c>
      <c r="F93">
        <v>0</v>
      </c>
      <c r="G93">
        <v>0</v>
      </c>
      <c r="H93" t="s">
        <v>57</v>
      </c>
      <c r="I93" t="s">
        <v>57</v>
      </c>
      <c r="J93" t="s">
        <v>57</v>
      </c>
      <c r="K93" s="2"/>
      <c r="L93" s="2"/>
      <c r="M93" s="2"/>
      <c r="O93" s="4" t="s">
        <v>368</v>
      </c>
      <c r="P93" s="2" t="str">
        <f t="shared" si="8"/>
        <v xml:space="preserve">      .AddAttribute(  4, "IsNaturalPerson", "IsNaturalPerson", "bool", 0, 0, false, false, "", "", "boolean indicator whether this entity is a natural person when true, otherwise ist a legal entity")</v>
      </c>
    </row>
    <row r="94" spans="1:16" x14ac:dyDescent="0.45">
      <c r="A94" t="s">
        <v>107</v>
      </c>
      <c r="B94">
        <v>5</v>
      </c>
      <c r="C94" t="s">
        <v>131</v>
      </c>
      <c r="D94" t="s">
        <v>131</v>
      </c>
      <c r="E94" t="s">
        <v>77</v>
      </c>
      <c r="F94">
        <v>0</v>
      </c>
      <c r="G94">
        <v>0</v>
      </c>
      <c r="H94" t="s">
        <v>57</v>
      </c>
      <c r="I94" t="s">
        <v>57</v>
      </c>
      <c r="J94" t="s">
        <v>57</v>
      </c>
      <c r="K94" s="2"/>
      <c r="L94" s="2"/>
      <c r="M94" s="2"/>
      <c r="O94" s="4" t="s">
        <v>252</v>
      </c>
      <c r="P94" s="2" t="str">
        <f t="shared" si="8"/>
        <v xml:space="preserve">      .AddAttribute(  5, "Description", "Description", "text", 0, 0, false, false, "", "", "detailed description of these family type,this is a self documentation, possible use as hint or to information in the programm")</v>
      </c>
    </row>
    <row r="95" spans="1:16" x14ac:dyDescent="0.45">
      <c r="A95" t="s">
        <v>107</v>
      </c>
      <c r="B95">
        <v>6</v>
      </c>
      <c r="C95" t="s">
        <v>132</v>
      </c>
      <c r="D95" t="s">
        <v>132</v>
      </c>
      <c r="E95" t="s">
        <v>77</v>
      </c>
      <c r="F95">
        <v>0</v>
      </c>
      <c r="G95">
        <v>0</v>
      </c>
      <c r="H95" t="s">
        <v>57</v>
      </c>
      <c r="I95" t="s">
        <v>57</v>
      </c>
      <c r="J95" t="s">
        <v>57</v>
      </c>
      <c r="K95" s="2"/>
      <c r="L95" s="2"/>
      <c r="M95" s="2"/>
      <c r="O95" s="4" t="s">
        <v>253</v>
      </c>
      <c r="P95" s="2" t="str">
        <f t="shared" si="8"/>
        <v xml:space="preserve">      .AddAttribute(  6, "Notes", "Notes", "text", 0, 0, false, false, "", "", "notes, with additional / free information for this type of family status, not used in application")</v>
      </c>
    </row>
    <row r="96" spans="1:16" x14ac:dyDescent="0.45">
      <c r="A96" t="s">
        <v>107</v>
      </c>
      <c r="B96">
        <v>7</v>
      </c>
      <c r="C96" t="s">
        <v>133</v>
      </c>
      <c r="D96" t="s">
        <v>133</v>
      </c>
      <c r="E96" t="s">
        <v>27</v>
      </c>
      <c r="F96">
        <v>0</v>
      </c>
      <c r="G96">
        <v>0</v>
      </c>
      <c r="H96" t="s">
        <v>57</v>
      </c>
      <c r="I96" t="s">
        <v>57</v>
      </c>
      <c r="J96" t="s">
        <v>57</v>
      </c>
      <c r="K96" s="2"/>
      <c r="L96" s="2"/>
      <c r="M96" s="2"/>
      <c r="O96" s="4" t="s">
        <v>254</v>
      </c>
      <c r="P96" s="2" t="str">
        <f t="shared" si="8"/>
        <v xml:space="preserve">      .AddAttribute(  7, "UrgentValue", "UrgentValue", "bool", 0, 0, false, false, "", "", "boolean value that makes this entity of family type to a system value (cannot be changed as it is used directly by the program)")</v>
      </c>
    </row>
    <row r="97" spans="1:16" x14ac:dyDescent="0.45">
      <c r="O97" s="4"/>
    </row>
    <row r="98" spans="1:16" x14ac:dyDescent="0.45">
      <c r="A98" t="s">
        <v>108</v>
      </c>
      <c r="B98">
        <v>0</v>
      </c>
      <c r="C98" t="s">
        <v>122</v>
      </c>
      <c r="D98" t="s">
        <v>456</v>
      </c>
      <c r="E98" t="s">
        <v>167</v>
      </c>
      <c r="H98" t="s">
        <v>168</v>
      </c>
      <c r="I98" t="s">
        <v>169</v>
      </c>
      <c r="K98" s="2"/>
      <c r="L98" s="2"/>
      <c r="M98" s="2"/>
      <c r="O98" s="4"/>
      <c r="P98" s="2" t="str">
        <f>CONCATENATE("   ",$P$1,".AddTable(","""",A98,""", ",CONCATENATE("EMyEntityType::",E98),", """,IF(ISERROR(FIND(".",C98)),"",RIGHT(C98, LEN(C98) - FIND(".",C98))),""", """,IF(ISERROR(FIND(".",C98)),"",LEFT(C98, FIND(".",C98)-1)),""", """,IF(ISERROR(FIND("::",D98)),"",RIGHT(D98, LEN(D98) - FIND("::",D98)-1)),""", """,IF(ISERROR(FIND("::",D98)),"",LEFT(D98, FIND("::",D98)-1)),""", """,H98,""", """,I98,""", """,O98,""")")</f>
        <v xml:space="preserve">   dictionary.AddTable("FormOfAddress", EMyEntityType::table, "FormOfAddress", "dbo", "FormOfAddress", "myCorporate", "System", "SQL", "")</v>
      </c>
    </row>
    <row r="99" spans="1:16" x14ac:dyDescent="0.45">
      <c r="A99" t="s">
        <v>108</v>
      </c>
      <c r="B99">
        <v>1</v>
      </c>
      <c r="C99" t="s">
        <v>134</v>
      </c>
      <c r="D99" t="s">
        <v>134</v>
      </c>
      <c r="E99" t="s">
        <v>20</v>
      </c>
      <c r="F99">
        <v>0</v>
      </c>
      <c r="G99">
        <v>0</v>
      </c>
      <c r="H99" t="s">
        <v>58</v>
      </c>
      <c r="I99" t="s">
        <v>58</v>
      </c>
      <c r="J99" t="s">
        <v>57</v>
      </c>
      <c r="K99" s="2"/>
      <c r="L99" s="2"/>
      <c r="M99" s="2"/>
      <c r="O99" s="4"/>
      <c r="P99" s="2" t="str">
        <f t="shared" ref="P99:P107" si="9">CONCATENATE("      .AddAttribute(",REPT(" ",3-LEN(TEXT(B99, "0"))),TEXT(B99, "0"),", """,C99,""", """,D99,""", """,E99,""", ",F99,", ",G99,", ",H99,", ",I99,", """,K99,""", """,L99,""", """,O99,"""",    ")")</f>
        <v xml:space="preserve">      .AddAttribute(  1, "ID", "ID", "integer", 0, 0, true, true, "", "", "")</v>
      </c>
    </row>
    <row r="100" spans="1:16" x14ac:dyDescent="0.45">
      <c r="A100" t="s">
        <v>108</v>
      </c>
      <c r="B100">
        <v>2</v>
      </c>
      <c r="C100" t="s">
        <v>129</v>
      </c>
      <c r="D100" t="s">
        <v>129</v>
      </c>
      <c r="E100" t="s">
        <v>19</v>
      </c>
      <c r="F100">
        <v>50</v>
      </c>
      <c r="G100">
        <v>0</v>
      </c>
      <c r="H100" t="s">
        <v>58</v>
      </c>
      <c r="I100" t="s">
        <v>57</v>
      </c>
      <c r="J100" t="s">
        <v>58</v>
      </c>
      <c r="K100" s="2"/>
      <c r="L100" s="2"/>
      <c r="M100" s="2"/>
      <c r="O100" s="4"/>
      <c r="P100" s="2" t="str">
        <f t="shared" si="9"/>
        <v xml:space="preserve">      .AddAttribute(  2, "Denotation", "Denotation", "varchar", 50, 0, true, false, "", "", "")</v>
      </c>
    </row>
    <row r="101" spans="1:16" x14ac:dyDescent="0.45">
      <c r="A101" t="s">
        <v>108</v>
      </c>
      <c r="B101">
        <v>3</v>
      </c>
      <c r="C101" t="s">
        <v>130</v>
      </c>
      <c r="D101" t="s">
        <v>130</v>
      </c>
      <c r="E101" t="s">
        <v>19</v>
      </c>
      <c r="F101">
        <v>10</v>
      </c>
      <c r="G101">
        <v>0</v>
      </c>
      <c r="H101" t="s">
        <v>57</v>
      </c>
      <c r="I101" t="s">
        <v>57</v>
      </c>
      <c r="J101" t="s">
        <v>57</v>
      </c>
      <c r="K101" s="2"/>
      <c r="L101" s="2"/>
      <c r="M101" s="2"/>
      <c r="O101" s="4"/>
      <c r="P101" s="2" t="str">
        <f t="shared" si="9"/>
        <v xml:space="preserve">      .AddAttribute(  3, "Abbreviation", "Abbreviation", "varchar", 10, 0, false, false, "", "", "")</v>
      </c>
    </row>
    <row r="102" spans="1:16" x14ac:dyDescent="0.45">
      <c r="A102" t="s">
        <v>108</v>
      </c>
      <c r="B102">
        <v>4</v>
      </c>
      <c r="C102" t="s">
        <v>131</v>
      </c>
      <c r="D102" t="s">
        <v>131</v>
      </c>
      <c r="E102" t="s">
        <v>77</v>
      </c>
      <c r="F102">
        <v>0</v>
      </c>
      <c r="G102">
        <v>0</v>
      </c>
      <c r="H102" t="s">
        <v>57</v>
      </c>
      <c r="I102" t="s">
        <v>57</v>
      </c>
      <c r="J102" t="s">
        <v>57</v>
      </c>
      <c r="K102" s="2"/>
      <c r="L102" s="2"/>
      <c r="M102" s="2"/>
      <c r="O102" s="4"/>
      <c r="P102" s="2" t="str">
        <f t="shared" si="9"/>
        <v xml:space="preserve">      .AddAttribute(  4, "Description", "Description", "text", 0, 0, false, false, "", "", "")</v>
      </c>
    </row>
    <row r="103" spans="1:16" x14ac:dyDescent="0.45">
      <c r="A103" t="s">
        <v>108</v>
      </c>
      <c r="B103">
        <v>5</v>
      </c>
      <c r="C103" t="s">
        <v>159</v>
      </c>
      <c r="D103" t="s">
        <v>159</v>
      </c>
      <c r="E103" t="s">
        <v>20</v>
      </c>
      <c r="F103">
        <v>0</v>
      </c>
      <c r="G103">
        <v>0</v>
      </c>
      <c r="H103" t="s">
        <v>57</v>
      </c>
      <c r="I103" t="s">
        <v>57</v>
      </c>
      <c r="J103" t="s">
        <v>57</v>
      </c>
      <c r="K103" s="2"/>
      <c r="L103" s="2"/>
      <c r="M103" s="2"/>
      <c r="O103" s="4"/>
      <c r="P103" s="2" t="str">
        <f t="shared" si="9"/>
        <v xml:space="preserve">      .AddAttribute(  5, "TypeSpec", "TypeSpec", "integer", 0, 0, false, false, "", "", "")</v>
      </c>
    </row>
    <row r="104" spans="1:16" x14ac:dyDescent="0.45">
      <c r="A104" t="s">
        <v>108</v>
      </c>
      <c r="B104">
        <v>6</v>
      </c>
      <c r="C104" t="s">
        <v>160</v>
      </c>
      <c r="D104" t="s">
        <v>160</v>
      </c>
      <c r="E104" t="s">
        <v>19</v>
      </c>
      <c r="F104">
        <v>50</v>
      </c>
      <c r="G104">
        <v>0</v>
      </c>
      <c r="H104" t="s">
        <v>57</v>
      </c>
      <c r="I104" t="s">
        <v>57</v>
      </c>
      <c r="J104" t="s">
        <v>57</v>
      </c>
      <c r="K104" s="2"/>
      <c r="L104" s="2"/>
      <c r="M104" s="2"/>
      <c r="O104" s="4"/>
      <c r="P104" s="2" t="str">
        <f t="shared" si="9"/>
        <v xml:space="preserve">      .AddAttribute(  6, "Salutation", "Salutation", "varchar", 50, 0, false, false, "", "", "")</v>
      </c>
    </row>
    <row r="105" spans="1:16" x14ac:dyDescent="0.45">
      <c r="A105" t="s">
        <v>108</v>
      </c>
      <c r="B105">
        <v>7</v>
      </c>
      <c r="C105" t="s">
        <v>161</v>
      </c>
      <c r="D105" t="s">
        <v>161</v>
      </c>
      <c r="E105" t="s">
        <v>19</v>
      </c>
      <c r="F105">
        <v>50</v>
      </c>
      <c r="G105">
        <v>0</v>
      </c>
      <c r="H105" t="s">
        <v>57</v>
      </c>
      <c r="I105" t="s">
        <v>57</v>
      </c>
      <c r="J105" t="s">
        <v>57</v>
      </c>
      <c r="K105" s="2"/>
      <c r="L105" s="2"/>
      <c r="M105" s="2"/>
      <c r="O105" s="4"/>
      <c r="P105" s="2" t="str">
        <f t="shared" si="9"/>
        <v xml:space="preserve">      .AddAttribute(  7, "Valediction", "Valediction", "varchar", 50, 0, false, false, "", "", "")</v>
      </c>
    </row>
    <row r="106" spans="1:16" x14ac:dyDescent="0.45">
      <c r="A106" t="s">
        <v>108</v>
      </c>
      <c r="B106">
        <v>8</v>
      </c>
      <c r="C106" t="s">
        <v>132</v>
      </c>
      <c r="D106" t="s">
        <v>132</v>
      </c>
      <c r="E106" t="s">
        <v>77</v>
      </c>
      <c r="F106">
        <v>0</v>
      </c>
      <c r="G106">
        <v>0</v>
      </c>
      <c r="H106" t="s">
        <v>57</v>
      </c>
      <c r="I106" t="s">
        <v>57</v>
      </c>
      <c r="J106" t="s">
        <v>57</v>
      </c>
      <c r="K106" s="2"/>
      <c r="L106" s="2"/>
      <c r="M106" s="2"/>
      <c r="O106" s="4"/>
      <c r="P106" s="2" t="str">
        <f t="shared" si="9"/>
        <v xml:space="preserve">      .AddAttribute(  8, "Notes", "Notes", "text", 0, 0, false, false, "", "", "")</v>
      </c>
    </row>
    <row r="107" spans="1:16" x14ac:dyDescent="0.45">
      <c r="A107" t="s">
        <v>108</v>
      </c>
      <c r="B107">
        <v>9</v>
      </c>
      <c r="C107" t="s">
        <v>133</v>
      </c>
      <c r="D107" t="s">
        <v>133</v>
      </c>
      <c r="E107" t="s">
        <v>27</v>
      </c>
      <c r="F107">
        <v>0</v>
      </c>
      <c r="G107">
        <v>0</v>
      </c>
      <c r="H107" t="s">
        <v>57</v>
      </c>
      <c r="I107" t="s">
        <v>57</v>
      </c>
      <c r="J107" t="s">
        <v>57</v>
      </c>
      <c r="K107" s="2"/>
      <c r="L107" s="2"/>
      <c r="M107" s="2"/>
      <c r="O107" s="4" t="s">
        <v>255</v>
      </c>
      <c r="P107" s="2" t="str">
        <f t="shared" si="9"/>
        <v xml:space="preserve">      .AddAttribute(  9, "UrgentValue", "UrgentValue", "bool", 0, 0, false, false, "", "", "boolean value that makes this entity of form of address type to a system value (cannot be changed as it is used directly by the program)")</v>
      </c>
    </row>
    <row r="108" spans="1:16" x14ac:dyDescent="0.45">
      <c r="O108" s="4"/>
    </row>
    <row r="109" spans="1:16" x14ac:dyDescent="0.45">
      <c r="A109" t="s">
        <v>109</v>
      </c>
      <c r="B109">
        <v>0</v>
      </c>
      <c r="C109" t="s">
        <v>123</v>
      </c>
      <c r="D109" t="s">
        <v>455</v>
      </c>
      <c r="E109" t="s">
        <v>167</v>
      </c>
      <c r="H109" t="s">
        <v>168</v>
      </c>
      <c r="I109" t="s">
        <v>169</v>
      </c>
      <c r="K109" s="2"/>
      <c r="L109" s="2"/>
      <c r="M109" s="2"/>
      <c r="O109" s="4"/>
      <c r="P109" s="2" t="str">
        <f>CONCATENATE("   ",$P$1,".AddTable(","""",A109,""", ",CONCATENATE("EMyEntityType::",E109),", """,IF(ISERROR(FIND(".",C109)),"",RIGHT(C109, LEN(C109) - FIND(".",C109))),""", """,IF(ISERROR(FIND(".",C109)),"",LEFT(C109, FIND(".",C109)-1)),""", """,IF(ISERROR(FIND("::",D109)),"",RIGHT(D109, LEN(D109) - FIND("::",D109)-1)),""", """,IF(ISERROR(FIND("::",D109)),"",LEFT(D109, FIND("::",D109)-1)),""", """,H109,""", """,I109,""", """,O109,""")")</f>
        <v xml:space="preserve">   dictionary.AddTable("Internet", EMyEntityType::table, "Internet", "dbo", "Internet", "myCorporate", "System", "SQL", "")</v>
      </c>
    </row>
    <row r="110" spans="1:16" x14ac:dyDescent="0.45">
      <c r="A110" t="s">
        <v>109</v>
      </c>
      <c r="B110">
        <v>1</v>
      </c>
      <c r="C110" t="s">
        <v>134</v>
      </c>
      <c r="D110" t="s">
        <v>134</v>
      </c>
      <c r="E110" t="s">
        <v>20</v>
      </c>
      <c r="F110">
        <v>0</v>
      </c>
      <c r="G110">
        <v>0</v>
      </c>
      <c r="H110" t="s">
        <v>58</v>
      </c>
      <c r="I110" t="s">
        <v>58</v>
      </c>
      <c r="J110" t="s">
        <v>57</v>
      </c>
      <c r="K110" s="2"/>
      <c r="L110" s="2"/>
      <c r="M110" s="2"/>
      <c r="O110" s="4"/>
      <c r="P110" s="2" t="str">
        <f t="shared" ref="P110:P112" si="10">CONCATENATE("      .AddAttribute(",REPT(" ",3-LEN(TEXT(B110, "0"))),TEXT(B110, "0"),", """,C110,""", """,D110,""", """,E110,""", ",F110,", ",G110,", ",H110,", ",I110,", """,K110,""", """,L110,""", """,O110,"""",    ")")</f>
        <v xml:space="preserve">      .AddAttribute(  1, "ID", "ID", "integer", 0, 0, true, true, "", "", "")</v>
      </c>
    </row>
    <row r="111" spans="1:16" x14ac:dyDescent="0.45">
      <c r="A111" t="s">
        <v>109</v>
      </c>
      <c r="B111">
        <v>2</v>
      </c>
      <c r="C111" t="s">
        <v>163</v>
      </c>
      <c r="D111" t="s">
        <v>163</v>
      </c>
      <c r="E111" t="s">
        <v>20</v>
      </c>
      <c r="F111">
        <v>0</v>
      </c>
      <c r="G111">
        <v>0</v>
      </c>
      <c r="H111" t="s">
        <v>58</v>
      </c>
      <c r="I111" t="s">
        <v>58</v>
      </c>
      <c r="J111" t="s">
        <v>58</v>
      </c>
      <c r="K111" s="2"/>
      <c r="L111" s="2"/>
      <c r="M111" s="2"/>
      <c r="O111" s="4"/>
      <c r="P111" s="2" t="str">
        <f t="shared" si="10"/>
        <v xml:space="preserve">      .AddAttribute(  2, "InternetType", "InternetType", "integer", 0, 0, true, true, "", "", "")</v>
      </c>
    </row>
    <row r="112" spans="1:16" x14ac:dyDescent="0.45">
      <c r="A112" t="s">
        <v>109</v>
      </c>
      <c r="B112">
        <v>3</v>
      </c>
      <c r="C112" t="s">
        <v>164</v>
      </c>
      <c r="D112" t="s">
        <v>164</v>
      </c>
      <c r="E112" t="s">
        <v>19</v>
      </c>
      <c r="F112">
        <v>100</v>
      </c>
      <c r="G112">
        <v>0</v>
      </c>
      <c r="H112" t="s">
        <v>58</v>
      </c>
      <c r="I112" t="s">
        <v>57</v>
      </c>
      <c r="J112" t="s">
        <v>57</v>
      </c>
      <c r="K112" s="2"/>
      <c r="L112" s="2"/>
      <c r="M112" s="2"/>
      <c r="O112" s="4"/>
      <c r="P112" s="2" t="str">
        <f t="shared" si="10"/>
        <v xml:space="preserve">      .AddAttribute(  3, "Adresse", "Adresse", "varchar", 100, 0, true, false, "", "", "")</v>
      </c>
    </row>
    <row r="113" spans="1:16" x14ac:dyDescent="0.45">
      <c r="O113" s="4"/>
    </row>
    <row r="114" spans="1:16" x14ac:dyDescent="0.45">
      <c r="A114" t="s">
        <v>110</v>
      </c>
      <c r="B114">
        <v>0</v>
      </c>
      <c r="C114" t="s">
        <v>124</v>
      </c>
      <c r="D114" t="s">
        <v>454</v>
      </c>
      <c r="E114" t="s">
        <v>167</v>
      </c>
      <c r="H114" t="s">
        <v>168</v>
      </c>
      <c r="I114" t="s">
        <v>169</v>
      </c>
      <c r="K114" s="2"/>
      <c r="L114" s="2"/>
      <c r="M114" s="2"/>
      <c r="O114" s="4" t="s">
        <v>249</v>
      </c>
      <c r="P114" s="2" t="str">
        <f>CONCATENATE("   ",$P$1,".AddTable(","""",A114,""", ",CONCATENATE("EMyEntityType::",E114),", """,IF(ISERROR(FIND(".",C114)),"",RIGHT(C114, LEN(C114) - FIND(".",C114))),""", """,IF(ISERROR(FIND(".",C114)),"",LEFT(C114, FIND(".",C114)-1)),""", """,IF(ISERROR(FIND("::",D114)),"",RIGHT(D114, LEN(D114) - FIND("::",D114)-1)),""", """,IF(ISERROR(FIND("::",D114)),"",LEFT(D114, FIND("::",D114)-1)),""", """,H114,""", """,I114,""", """,O114,""")")</f>
        <v xml:space="preserve">   dictionary.AddTable("InternetTypes", EMyEntityType::table, "InternetTypes", "dbo", "InternetTypes", "myCorporate", "System", "SQL", "domain / range of values for internet connection types, this is an extension of the relationship between persons and internet connections.")</v>
      </c>
    </row>
    <row r="115" spans="1:16" x14ac:dyDescent="0.45">
      <c r="A115" t="s">
        <v>110</v>
      </c>
      <c r="B115">
        <v>1</v>
      </c>
      <c r="C115" t="s">
        <v>134</v>
      </c>
      <c r="D115" t="s">
        <v>134</v>
      </c>
      <c r="E115" t="s">
        <v>20</v>
      </c>
      <c r="F115">
        <v>0</v>
      </c>
      <c r="G115">
        <v>0</v>
      </c>
      <c r="H115" t="s">
        <v>58</v>
      </c>
      <c r="I115" t="s">
        <v>58</v>
      </c>
      <c r="J115" t="s">
        <v>57</v>
      </c>
      <c r="K115" s="2"/>
      <c r="L115" s="2"/>
      <c r="M115" s="2"/>
      <c r="O115" s="4" t="s">
        <v>248</v>
      </c>
      <c r="P115" s="2" t="str">
        <f t="shared" ref="P115:P121" si="11">CONCATENATE("      .AddAttribute(",REPT(" ",3-LEN(TEXT(B115, "0"))),TEXT(B115, "0"),", """,C115,""", """,D115,""", """,E115,""", ",F115,", ",G115,", ",H115,", ",I115,", """,K115,""", """,L115,""", """,O115,"""",    ")")</f>
        <v xml:space="preserve">      .AddAttribute(  1, "ID", "ID", "integer", 0, 0, true, true, "", "", "unique identification number for a record in this domain with internet connection types")</v>
      </c>
    </row>
    <row r="116" spans="1:16" x14ac:dyDescent="0.45">
      <c r="A116" t="s">
        <v>110</v>
      </c>
      <c r="B116">
        <v>2</v>
      </c>
      <c r="C116" t="s">
        <v>129</v>
      </c>
      <c r="D116" t="s">
        <v>129</v>
      </c>
      <c r="E116" t="s">
        <v>19</v>
      </c>
      <c r="F116">
        <v>50</v>
      </c>
      <c r="G116">
        <v>0</v>
      </c>
      <c r="H116" t="s">
        <v>58</v>
      </c>
      <c r="I116" t="s">
        <v>57</v>
      </c>
      <c r="J116" t="s">
        <v>58</v>
      </c>
      <c r="K116" s="2"/>
      <c r="L116" s="2"/>
      <c r="M116" s="2"/>
      <c r="O116" s="4" t="s">
        <v>247</v>
      </c>
      <c r="P116" s="2" t="str">
        <f t="shared" si="11"/>
        <v xml:space="preserve">      .AddAttribute(  2, "Denotation", "Denotation", "varchar", 50, 0, true, false, "", "", "unique description of an internet connection type entity in the domain, used in selections, comboboxes, … (key canditate)")</v>
      </c>
    </row>
    <row r="117" spans="1:16" x14ac:dyDescent="0.45">
      <c r="A117" t="s">
        <v>110</v>
      </c>
      <c r="B117">
        <v>3</v>
      </c>
      <c r="C117" t="s">
        <v>130</v>
      </c>
      <c r="D117" t="s">
        <v>130</v>
      </c>
      <c r="E117" t="s">
        <v>19</v>
      </c>
      <c r="F117">
        <v>10</v>
      </c>
      <c r="G117">
        <v>0</v>
      </c>
      <c r="H117" t="s">
        <v>57</v>
      </c>
      <c r="I117" t="s">
        <v>57</v>
      </c>
      <c r="J117" t="s">
        <v>57</v>
      </c>
      <c r="K117" s="2"/>
      <c r="L117" s="2"/>
      <c r="M117" s="2"/>
      <c r="O117" s="4" t="s">
        <v>246</v>
      </c>
      <c r="P117" s="2" t="str">
        <f t="shared" si="11"/>
        <v xml:space="preserve">      .AddAttribute(  3, "Abbreviation", "Abbreviation", "varchar", 10, 0, false, false, "", "", "non-representative abbreviation that can be used for a short advertisement for this internet connection type")</v>
      </c>
    </row>
    <row r="118" spans="1:16" x14ac:dyDescent="0.45">
      <c r="A118" t="s">
        <v>110</v>
      </c>
      <c r="B118">
        <v>4</v>
      </c>
      <c r="C118" t="s">
        <v>131</v>
      </c>
      <c r="D118" t="s">
        <v>131</v>
      </c>
      <c r="E118" t="s">
        <v>77</v>
      </c>
      <c r="F118">
        <v>0</v>
      </c>
      <c r="G118">
        <v>0</v>
      </c>
      <c r="H118" t="s">
        <v>57</v>
      </c>
      <c r="I118" t="s">
        <v>57</v>
      </c>
      <c r="J118" t="s">
        <v>57</v>
      </c>
      <c r="K118" s="2"/>
      <c r="L118" s="2"/>
      <c r="M118" s="2"/>
      <c r="O118" s="4" t="s">
        <v>245</v>
      </c>
      <c r="P118" s="2" t="str">
        <f t="shared" si="11"/>
        <v xml:space="preserve">      .AddAttribute(  4, "Description", "Description", "text", 0, 0, false, false, "", "", "detailed description of these internet connection type,this is a self documentation, possible use as hint or to information in the programm")</v>
      </c>
    </row>
    <row r="119" spans="1:16" x14ac:dyDescent="0.45">
      <c r="A119" t="s">
        <v>110</v>
      </c>
      <c r="B119">
        <v>5</v>
      </c>
      <c r="C119" t="s">
        <v>162</v>
      </c>
      <c r="D119" t="s">
        <v>162</v>
      </c>
      <c r="E119" t="s">
        <v>19</v>
      </c>
      <c r="F119">
        <v>10</v>
      </c>
      <c r="G119">
        <v>0</v>
      </c>
      <c r="H119" t="s">
        <v>57</v>
      </c>
      <c r="I119" t="s">
        <v>57</v>
      </c>
      <c r="J119" t="s">
        <v>57</v>
      </c>
      <c r="K119" s="2"/>
      <c r="L119" s="2"/>
      <c r="M119" s="2"/>
      <c r="O119" s="4"/>
      <c r="P119" s="2" t="str">
        <f t="shared" si="11"/>
        <v xml:space="preserve">      .AddAttribute(  5, "Prefix", "Prefix", "varchar", 10, 0, false, false, "", "", "")</v>
      </c>
    </row>
    <row r="120" spans="1:16" x14ac:dyDescent="0.45">
      <c r="A120" t="s">
        <v>110</v>
      </c>
      <c r="B120">
        <v>6</v>
      </c>
      <c r="C120" t="s">
        <v>132</v>
      </c>
      <c r="D120" t="s">
        <v>132</v>
      </c>
      <c r="E120" t="s">
        <v>77</v>
      </c>
      <c r="F120">
        <v>0</v>
      </c>
      <c r="G120">
        <v>0</v>
      </c>
      <c r="H120" t="s">
        <v>57</v>
      </c>
      <c r="I120" t="s">
        <v>57</v>
      </c>
      <c r="J120" t="s">
        <v>57</v>
      </c>
      <c r="K120" s="2"/>
      <c r="L120" s="2"/>
      <c r="M120" s="2"/>
      <c r="O120" s="4" t="s">
        <v>244</v>
      </c>
      <c r="P120" s="2" t="str">
        <f t="shared" si="11"/>
        <v xml:space="preserve">      .AddAttribute(  6, "Notes", "Notes", "text", 0, 0, false, false, "", "", "notes, with additional / free information for this type of internet connection, not used in application")</v>
      </c>
    </row>
    <row r="121" spans="1:16" x14ac:dyDescent="0.45">
      <c r="A121" t="s">
        <v>110</v>
      </c>
      <c r="B121">
        <v>7</v>
      </c>
      <c r="C121" t="s">
        <v>133</v>
      </c>
      <c r="D121" t="s">
        <v>133</v>
      </c>
      <c r="E121" t="s">
        <v>27</v>
      </c>
      <c r="F121">
        <v>0</v>
      </c>
      <c r="G121">
        <v>0</v>
      </c>
      <c r="H121" t="s">
        <v>57</v>
      </c>
      <c r="I121" t="s">
        <v>57</v>
      </c>
      <c r="J121" t="s">
        <v>57</v>
      </c>
      <c r="K121" s="2"/>
      <c r="L121" s="2"/>
      <c r="M121" s="2"/>
      <c r="O121" s="4" t="s">
        <v>243</v>
      </c>
      <c r="P121" s="2" t="str">
        <f t="shared" si="11"/>
        <v xml:space="preserve">      .AddAttribute(  7, "UrgentValue", "UrgentValue", "bool", 0, 0, false, false, "", "", "boolean value that makes this entity of internet connection type to a system value (cannot be changed as it is used directly by the program)")</v>
      </c>
    </row>
    <row r="122" spans="1:16" x14ac:dyDescent="0.45">
      <c r="O122" s="4"/>
    </row>
    <row r="123" spans="1:16" x14ac:dyDescent="0.45">
      <c r="A123" t="s">
        <v>111</v>
      </c>
      <c r="B123">
        <v>0</v>
      </c>
      <c r="C123" t="s">
        <v>125</v>
      </c>
      <c r="D123" t="s">
        <v>389</v>
      </c>
      <c r="E123" t="s">
        <v>167</v>
      </c>
      <c r="H123" t="s">
        <v>168</v>
      </c>
      <c r="I123" t="s">
        <v>169</v>
      </c>
      <c r="K123" s="2"/>
      <c r="L123" s="2"/>
      <c r="M123" s="2"/>
      <c r="O123" s="4"/>
      <c r="P123" s="2" t="str">
        <f>CONCATENATE("   ",$P$1,".AddTable(","""",A123,""", ",CONCATENATE("EMyEntityType::",E123),", """,IF(ISERROR(FIND(".",C123)),"",RIGHT(C123, LEN(C123) - FIND(".",C123))),""", """,IF(ISERROR(FIND(".",C123)),"",LEFT(C123, FIND(".",C123)-1)),""", """,IF(ISERROR(FIND("::",D123)),"",RIGHT(D123, LEN(D123) - FIND("::",D123)-1)),""", """,IF(ISERROR(FIND("::",D123)),"",LEFT(D123, FIND("::",D123)-1)),""", """,H123,""", """,I123,""", """,O123,""")")</f>
        <v xml:space="preserve">   dictionary.AddTable("JobPositions", EMyEntityType::table, "JobPositions", "dbo", "JobPositions", "myHR", "System", "SQL", "")</v>
      </c>
    </row>
    <row r="124" spans="1:16" x14ac:dyDescent="0.45">
      <c r="A124" t="s">
        <v>111</v>
      </c>
      <c r="B124">
        <v>1</v>
      </c>
      <c r="C124" t="s">
        <v>134</v>
      </c>
      <c r="D124" t="s">
        <v>134</v>
      </c>
      <c r="E124" t="s">
        <v>20</v>
      </c>
      <c r="F124">
        <v>0</v>
      </c>
      <c r="G124">
        <v>0</v>
      </c>
      <c r="H124" t="s">
        <v>58</v>
      </c>
      <c r="I124" t="s">
        <v>58</v>
      </c>
      <c r="J124" t="s">
        <v>57</v>
      </c>
      <c r="K124" s="2"/>
      <c r="L124" s="2"/>
      <c r="M124" s="2"/>
      <c r="O124" s="4"/>
      <c r="P124" s="2" t="str">
        <f t="shared" ref="P124:P129" si="12">CONCATENATE("      .AddAttribute(",REPT(" ",3-LEN(TEXT(B124, "0"))),TEXT(B124, "0"),", """,C124,""", """,D124,""", """,E124,""", ",F124,", ",G124,", ",H124,", ",I124,", """,K124,""", """,L124,""", """,O124,"""",    ")")</f>
        <v xml:space="preserve">      .AddAttribute(  1, "ID", "ID", "integer", 0, 0, true, true, "", "", "")</v>
      </c>
    </row>
    <row r="125" spans="1:16" x14ac:dyDescent="0.45">
      <c r="A125" t="s">
        <v>111</v>
      </c>
      <c r="B125">
        <v>2</v>
      </c>
      <c r="C125" t="s">
        <v>129</v>
      </c>
      <c r="D125" t="s">
        <v>129</v>
      </c>
      <c r="E125" t="s">
        <v>19</v>
      </c>
      <c r="F125">
        <v>50</v>
      </c>
      <c r="G125">
        <v>0</v>
      </c>
      <c r="H125" t="s">
        <v>58</v>
      </c>
      <c r="I125" t="s">
        <v>57</v>
      </c>
      <c r="J125" t="s">
        <v>58</v>
      </c>
      <c r="K125" s="2"/>
      <c r="L125" s="2"/>
      <c r="M125" s="2"/>
      <c r="O125" s="4"/>
      <c r="P125" s="2" t="str">
        <f t="shared" si="12"/>
        <v xml:space="preserve">      .AddAttribute(  2, "Denotation", "Denotation", "varchar", 50, 0, true, false, "", "", "")</v>
      </c>
    </row>
    <row r="126" spans="1:16" x14ac:dyDescent="0.45">
      <c r="A126" t="s">
        <v>111</v>
      </c>
      <c r="B126">
        <v>3</v>
      </c>
      <c r="C126" t="s">
        <v>130</v>
      </c>
      <c r="D126" t="s">
        <v>130</v>
      </c>
      <c r="E126" t="s">
        <v>19</v>
      </c>
      <c r="F126">
        <v>10</v>
      </c>
      <c r="G126">
        <v>0</v>
      </c>
      <c r="H126" t="s">
        <v>57</v>
      </c>
      <c r="I126" t="s">
        <v>57</v>
      </c>
      <c r="J126" t="s">
        <v>57</v>
      </c>
      <c r="K126" s="2"/>
      <c r="L126" s="2"/>
      <c r="M126" s="2"/>
      <c r="O126" s="4"/>
      <c r="P126" s="2" t="str">
        <f t="shared" si="12"/>
        <v xml:space="preserve">      .AddAttribute(  3, "Abbreviation", "Abbreviation", "varchar", 10, 0, false, false, "", "", "")</v>
      </c>
    </row>
    <row r="127" spans="1:16" x14ac:dyDescent="0.45">
      <c r="A127" t="s">
        <v>111</v>
      </c>
      <c r="B127">
        <v>4</v>
      </c>
      <c r="C127" t="s">
        <v>131</v>
      </c>
      <c r="D127" t="s">
        <v>131</v>
      </c>
      <c r="E127" t="s">
        <v>77</v>
      </c>
      <c r="F127">
        <v>0</v>
      </c>
      <c r="G127">
        <v>0</v>
      </c>
      <c r="H127" t="s">
        <v>57</v>
      </c>
      <c r="I127" t="s">
        <v>57</v>
      </c>
      <c r="J127" t="s">
        <v>57</v>
      </c>
      <c r="K127" s="2"/>
      <c r="L127" s="2"/>
      <c r="M127" s="2"/>
      <c r="O127" s="4"/>
      <c r="P127" s="2" t="str">
        <f t="shared" si="12"/>
        <v xml:space="preserve">      .AddAttribute(  4, "Description", "Description", "text", 0, 0, false, false, "", "", "")</v>
      </c>
    </row>
    <row r="128" spans="1:16" x14ac:dyDescent="0.45">
      <c r="A128" t="s">
        <v>111</v>
      </c>
      <c r="B128">
        <v>5</v>
      </c>
      <c r="C128" t="s">
        <v>132</v>
      </c>
      <c r="D128" t="s">
        <v>132</v>
      </c>
      <c r="E128" t="s">
        <v>77</v>
      </c>
      <c r="F128">
        <v>0</v>
      </c>
      <c r="G128">
        <v>0</v>
      </c>
      <c r="H128" t="s">
        <v>57</v>
      </c>
      <c r="I128" t="s">
        <v>57</v>
      </c>
      <c r="J128" t="s">
        <v>57</v>
      </c>
      <c r="K128" s="2"/>
      <c r="L128" s="2"/>
      <c r="M128" s="2"/>
      <c r="O128" s="4"/>
      <c r="P128" s="2" t="str">
        <f t="shared" si="12"/>
        <v xml:space="preserve">      .AddAttribute(  5, "Notes", "Notes", "text", 0, 0, false, false, "", "", "")</v>
      </c>
    </row>
    <row r="129" spans="1:16" x14ac:dyDescent="0.45">
      <c r="A129" t="s">
        <v>111</v>
      </c>
      <c r="B129">
        <v>6</v>
      </c>
      <c r="C129" t="s">
        <v>133</v>
      </c>
      <c r="D129" t="s">
        <v>133</v>
      </c>
      <c r="E129" t="s">
        <v>27</v>
      </c>
      <c r="F129">
        <v>0</v>
      </c>
      <c r="G129">
        <v>0</v>
      </c>
      <c r="H129" t="s">
        <v>57</v>
      </c>
      <c r="I129" t="s">
        <v>57</v>
      </c>
      <c r="J129" t="s">
        <v>57</v>
      </c>
      <c r="K129" s="2"/>
      <c r="L129" s="2"/>
      <c r="M129" s="2"/>
      <c r="O129" s="4"/>
      <c r="P129" s="2" t="str">
        <f t="shared" si="12"/>
        <v xml:space="preserve">      .AddAttribute(  6, "UrgentValue", "UrgentValue", "bool", 0, 0, false, false, "", "", "")</v>
      </c>
    </row>
    <row r="130" spans="1:16" x14ac:dyDescent="0.45">
      <c r="O130" s="4"/>
    </row>
    <row r="131" spans="1:16" x14ac:dyDescent="0.45">
      <c r="A131" t="s">
        <v>112</v>
      </c>
      <c r="B131">
        <v>0</v>
      </c>
      <c r="C131" t="s">
        <v>126</v>
      </c>
      <c r="D131" t="s">
        <v>453</v>
      </c>
      <c r="E131" t="s">
        <v>167</v>
      </c>
      <c r="H131" t="s">
        <v>168</v>
      </c>
      <c r="I131" t="s">
        <v>169</v>
      </c>
      <c r="K131" s="2"/>
      <c r="L131" s="2"/>
      <c r="M131" s="2"/>
      <c r="O131" s="4" t="s">
        <v>414</v>
      </c>
      <c r="P131" s="2" t="str">
        <f>CONCATENATE("   ",$P$1,".AddTable(","""",A131,""", ",CONCATENATE("EMyEntityType::",E131),", """,IF(ISERROR(FIND(".",C131)),"",RIGHT(C131, LEN(C131) - FIND(".",C131))),""", """,IF(ISERROR(FIND(".",C131)),"",LEFT(C131, FIND(".",C131)-1)),""", """,IF(ISERROR(FIND("::",D131)),"",RIGHT(D131, LEN(D131) - FIND("::",D131)-1)),""", """,IF(ISERROR(FIND("::",D131)),"",LEFT(D131, FIND("::",D131)-1)),""", """,H131,""", """,I131,""", """,O131,""")")</f>
        <v xml:space="preserve">   dictionary.AddTable("Person", EMyEntityType::table, "Person", "dbo", "Person", "myCorporate", "System", "SQL", "informations about a person, base for different kinds of special persons in other areas of the company")</v>
      </c>
    </row>
    <row r="132" spans="1:16" x14ac:dyDescent="0.45">
      <c r="A132" t="s">
        <v>112</v>
      </c>
      <c r="B132">
        <v>1</v>
      </c>
      <c r="C132" t="s">
        <v>134</v>
      </c>
      <c r="D132" t="s">
        <v>134</v>
      </c>
      <c r="E132" t="s">
        <v>20</v>
      </c>
      <c r="F132">
        <v>0</v>
      </c>
      <c r="G132">
        <v>0</v>
      </c>
      <c r="H132" t="s">
        <v>58</v>
      </c>
      <c r="I132" t="s">
        <v>58</v>
      </c>
      <c r="J132" t="s">
        <v>57</v>
      </c>
      <c r="K132" s="2"/>
      <c r="L132" s="2"/>
      <c r="M132" s="2"/>
      <c r="O132" s="4" t="s">
        <v>415</v>
      </c>
      <c r="P132" s="2" t="str">
        <f t="shared" ref="P132:P139" si="13">CONCATENATE("      .AddAttribute(",REPT(" ",3-LEN(TEXT(B132, "0"))),TEXT(B132, "0"),", """,C132,""", """,D132,""", """,E132,""", ",F132,", ",G132,", ",H132,", ",I132,", """,K132,""", """,L132,""", """,O132,"""",    ")")</f>
        <v xml:space="preserve">      .AddAttribute(  1, "ID", "ID", "integer", 0, 0, true, true, "", "", "unique identification number for a entity of person")</v>
      </c>
    </row>
    <row r="133" spans="1:16" x14ac:dyDescent="0.45">
      <c r="A133" t="s">
        <v>112</v>
      </c>
      <c r="B133">
        <v>2</v>
      </c>
      <c r="C133" t="s">
        <v>82</v>
      </c>
      <c r="D133" t="s">
        <v>82</v>
      </c>
      <c r="E133" t="s">
        <v>19</v>
      </c>
      <c r="F133">
        <v>30</v>
      </c>
      <c r="G133">
        <v>0</v>
      </c>
      <c r="H133" t="s">
        <v>58</v>
      </c>
      <c r="I133" t="s">
        <v>57</v>
      </c>
      <c r="J133" t="s">
        <v>57</v>
      </c>
      <c r="K133" s="2"/>
      <c r="L133" s="2"/>
      <c r="M133" s="2"/>
      <c r="O133" s="4" t="s">
        <v>416</v>
      </c>
      <c r="P133" s="2" t="str">
        <f t="shared" si="13"/>
        <v xml:space="preserve">      .AddAttribute(  2, "Name", "Name", "varchar", 30, 0, true, false, "", "", "family name of the natural person respectively the name for a legal entity")</v>
      </c>
    </row>
    <row r="134" spans="1:16" x14ac:dyDescent="0.45">
      <c r="A134" t="s">
        <v>112</v>
      </c>
      <c r="B134">
        <v>3</v>
      </c>
      <c r="C134" t="s">
        <v>165</v>
      </c>
      <c r="D134" t="s">
        <v>165</v>
      </c>
      <c r="E134" t="s">
        <v>19</v>
      </c>
      <c r="F134">
        <v>30</v>
      </c>
      <c r="G134">
        <v>0</v>
      </c>
      <c r="H134" t="s">
        <v>57</v>
      </c>
      <c r="I134" t="s">
        <v>57</v>
      </c>
      <c r="J134" t="s">
        <v>57</v>
      </c>
      <c r="K134" s="2"/>
      <c r="L134" s="2"/>
      <c r="M134" s="2"/>
      <c r="O134" s="4" t="s">
        <v>417</v>
      </c>
      <c r="P134" s="2" t="str">
        <f t="shared" si="13"/>
        <v xml:space="preserve">      .AddAttribute(  3, "Firstname", "Firstname", "varchar", 30, 0, false, false, "", "", "first name of the natural person respectively a name extenstion for a legal entity")</v>
      </c>
    </row>
    <row r="135" spans="1:16" x14ac:dyDescent="0.45">
      <c r="A135" t="s">
        <v>112</v>
      </c>
      <c r="B135">
        <v>4</v>
      </c>
      <c r="C135" t="s">
        <v>108</v>
      </c>
      <c r="D135" t="s">
        <v>108</v>
      </c>
      <c r="E135" t="s">
        <v>20</v>
      </c>
      <c r="F135">
        <v>0</v>
      </c>
      <c r="G135">
        <v>0</v>
      </c>
      <c r="H135" t="s">
        <v>58</v>
      </c>
      <c r="I135" t="s">
        <v>57</v>
      </c>
      <c r="J135" t="s">
        <v>57</v>
      </c>
      <c r="K135" s="2"/>
      <c r="L135" s="2"/>
      <c r="M135" s="2"/>
      <c r="O135" s="4" t="s">
        <v>418</v>
      </c>
      <c r="P135" s="2" t="str">
        <f t="shared" si="13"/>
        <v xml:space="preserve">      .AddAttribute(  4, "FormOfAddress", "FormOfAddress", "integer", 0, 0, true, false, "", "", "form of address for this person. this attribute control the kind of a person too")</v>
      </c>
    </row>
    <row r="136" spans="1:16" x14ac:dyDescent="0.45">
      <c r="A136" t="s">
        <v>112</v>
      </c>
      <c r="B136">
        <v>5</v>
      </c>
      <c r="C136" t="s">
        <v>175</v>
      </c>
      <c r="D136" t="s">
        <v>175</v>
      </c>
      <c r="E136" t="s">
        <v>20</v>
      </c>
      <c r="F136">
        <v>0</v>
      </c>
      <c r="G136">
        <v>0</v>
      </c>
      <c r="H136" t="s">
        <v>58</v>
      </c>
      <c r="I136" t="s">
        <v>57</v>
      </c>
      <c r="J136" t="s">
        <v>57</v>
      </c>
      <c r="K136" s="2"/>
      <c r="L136" s="2"/>
      <c r="M136" s="2"/>
      <c r="O136" s="4" t="s">
        <v>419</v>
      </c>
      <c r="P136" s="2" t="str">
        <f t="shared" si="13"/>
        <v xml:space="preserve">      .AddAttribute(  5, "FamilyStatus", "FamilyStatus", "integer", 0, 0, true, false, "", "", "family status for the person")</v>
      </c>
    </row>
    <row r="137" spans="1:16" x14ac:dyDescent="0.45">
      <c r="A137" t="s">
        <v>112</v>
      </c>
      <c r="B137">
        <v>6</v>
      </c>
      <c r="C137" t="s">
        <v>179</v>
      </c>
      <c r="D137" t="s">
        <v>179</v>
      </c>
      <c r="E137" t="s">
        <v>22</v>
      </c>
      <c r="F137">
        <v>0</v>
      </c>
      <c r="G137">
        <v>0</v>
      </c>
      <c r="H137" t="s">
        <v>57</v>
      </c>
      <c r="I137" t="s">
        <v>57</v>
      </c>
      <c r="J137" t="s">
        <v>57</v>
      </c>
      <c r="K137" s="2"/>
      <c r="L137" s="2"/>
      <c r="M137" s="2"/>
      <c r="O137" s="4" t="s">
        <v>420</v>
      </c>
      <c r="P137" s="2" t="str">
        <f t="shared" si="13"/>
        <v xml:space="preserve">      .AddAttribute(  6, "FamilyStatusSince", "FamilyStatusSince", "date", 0, 0, false, false, "", "", "the date from which the current family status applies.")</v>
      </c>
    </row>
    <row r="138" spans="1:16" x14ac:dyDescent="0.45">
      <c r="A138" t="s">
        <v>112</v>
      </c>
      <c r="B138">
        <v>7</v>
      </c>
      <c r="C138" t="s">
        <v>166</v>
      </c>
      <c r="D138" t="s">
        <v>166</v>
      </c>
      <c r="E138" t="s">
        <v>22</v>
      </c>
      <c r="F138">
        <v>0</v>
      </c>
      <c r="G138">
        <v>0</v>
      </c>
      <c r="H138" t="s">
        <v>57</v>
      </c>
      <c r="I138" t="s">
        <v>57</v>
      </c>
      <c r="J138" t="s">
        <v>57</v>
      </c>
      <c r="K138" s="2"/>
      <c r="L138" s="2"/>
      <c r="M138" s="2"/>
      <c r="O138" s="4" t="s">
        <v>421</v>
      </c>
      <c r="P138" s="2" t="str">
        <f t="shared" si="13"/>
        <v xml:space="preserve">      .AddAttribute(  7, "Birthday", "Birthday", "date", 0, 0, false, false, "", "", "birthday of a natural person. This attribute is unused for legal entrities")</v>
      </c>
    </row>
    <row r="139" spans="1:16" x14ac:dyDescent="0.45">
      <c r="A139" t="s">
        <v>112</v>
      </c>
      <c r="B139">
        <v>8</v>
      </c>
      <c r="C139" t="s">
        <v>132</v>
      </c>
      <c r="D139" t="s">
        <v>132</v>
      </c>
      <c r="E139" t="s">
        <v>77</v>
      </c>
      <c r="F139">
        <v>0</v>
      </c>
      <c r="G139">
        <v>0</v>
      </c>
      <c r="H139" t="s">
        <v>57</v>
      </c>
      <c r="I139" t="s">
        <v>57</v>
      </c>
      <c r="J139" t="s">
        <v>57</v>
      </c>
      <c r="K139" s="2"/>
      <c r="L139" s="2"/>
      <c r="M139" s="2"/>
      <c r="O139" s="4" t="s">
        <v>422</v>
      </c>
      <c r="P139" s="2" t="str">
        <f t="shared" si="13"/>
        <v xml:space="preserve">      .AddAttribute(  8, "Notes", "Notes", "text", 0, 0, false, false, "", "", "notes, with additional / free information for this tperson, not used in application")</v>
      </c>
    </row>
    <row r="140" spans="1:16" x14ac:dyDescent="0.45">
      <c r="O140" s="4"/>
    </row>
    <row r="141" spans="1:16" x14ac:dyDescent="0.45">
      <c r="A141" t="s">
        <v>113</v>
      </c>
      <c r="B141">
        <v>0</v>
      </c>
      <c r="C141" t="s">
        <v>127</v>
      </c>
      <c r="D141" t="s">
        <v>452</v>
      </c>
      <c r="E141" t="s">
        <v>167</v>
      </c>
      <c r="H141" t="s">
        <v>168</v>
      </c>
      <c r="I141" t="s">
        <v>169</v>
      </c>
      <c r="K141" s="2"/>
      <c r="L141" s="2"/>
      <c r="M141" s="2"/>
      <c r="O141" s="4"/>
      <c r="P141" s="2" t="str">
        <f>CONCATENATE("   ",$P$1,".AddTable(","""",A141,""", ",CONCATENATE("EMyEntityType::",E141),", """,IF(ISERROR(FIND(".",C141)),"",RIGHT(C141, LEN(C141) - FIND(".",C141))),""", """,IF(ISERROR(FIND(".",C141)),"",LEFT(C141, FIND(".",C141)-1)),""", """,IF(ISERROR(FIND("::",D141)),"",RIGHT(D141, LEN(D141) - FIND("::",D141)-1)),""", """,IF(ISERROR(FIND("::",D141)),"",LEFT(D141, FIND("::",D141)-1)),""", """,H141,""", """,I141,""", """,O141,""")")</f>
        <v xml:space="preserve">   dictionary.AddTable("Phone", EMyEntityType::table, "Phone", "dbo", "Phone", "myCorporate", "System", "SQL", "")</v>
      </c>
    </row>
    <row r="142" spans="1:16" x14ac:dyDescent="0.45">
      <c r="A142" t="s">
        <v>113</v>
      </c>
      <c r="B142">
        <v>1</v>
      </c>
      <c r="C142" t="s">
        <v>134</v>
      </c>
      <c r="D142" t="s">
        <v>134</v>
      </c>
      <c r="E142" t="s">
        <v>20</v>
      </c>
      <c r="F142">
        <v>0</v>
      </c>
      <c r="G142">
        <v>0</v>
      </c>
      <c r="H142" t="s">
        <v>58</v>
      </c>
      <c r="I142" t="s">
        <v>58</v>
      </c>
      <c r="J142" t="s">
        <v>57</v>
      </c>
      <c r="K142" s="2"/>
      <c r="L142" s="2"/>
      <c r="M142" s="2"/>
      <c r="O142" s="4"/>
      <c r="P142" s="2" t="str">
        <f t="shared" ref="P142:P146" si="14">CONCATENATE("      .AddAttribute(",REPT(" ",3-LEN(TEXT(B142, "0"))),TEXT(B142, "0"),", """,C142,""", """,D142,""", """,E142,""", ",F142,", ",G142,", ",H142,", ",I142,", """,K142,""", """,L142,""", """,O142,"""",    ")")</f>
        <v xml:space="preserve">      .AddAttribute(  1, "ID", "ID", "integer", 0, 0, true, true, "", "", "")</v>
      </c>
    </row>
    <row r="143" spans="1:16" x14ac:dyDescent="0.45">
      <c r="A143" t="s">
        <v>113</v>
      </c>
      <c r="B143">
        <v>2</v>
      </c>
      <c r="C143" t="s">
        <v>140</v>
      </c>
      <c r="D143" t="s">
        <v>140</v>
      </c>
      <c r="E143" t="s">
        <v>20</v>
      </c>
      <c r="F143">
        <v>0</v>
      </c>
      <c r="G143">
        <v>0</v>
      </c>
      <c r="H143" t="s">
        <v>58</v>
      </c>
      <c r="I143" t="s">
        <v>58</v>
      </c>
      <c r="J143" t="s">
        <v>57</v>
      </c>
      <c r="K143" s="2"/>
      <c r="L143" s="2"/>
      <c r="M143" s="2"/>
      <c r="O143" s="4"/>
      <c r="P143" s="2" t="str">
        <f t="shared" si="14"/>
        <v xml:space="preserve">      .AddAttribute(  2, "PhoneType", "PhoneType", "integer", 0, 0, true, true, "", "", "")</v>
      </c>
    </row>
    <row r="144" spans="1:16" x14ac:dyDescent="0.45">
      <c r="A144" t="s">
        <v>113</v>
      </c>
      <c r="B144">
        <v>3</v>
      </c>
      <c r="C144" t="s">
        <v>141</v>
      </c>
      <c r="D144" t="s">
        <v>141</v>
      </c>
      <c r="E144" t="s">
        <v>19</v>
      </c>
      <c r="F144">
        <v>10</v>
      </c>
      <c r="G144">
        <v>0</v>
      </c>
      <c r="H144" t="s">
        <v>58</v>
      </c>
      <c r="I144" t="s">
        <v>57</v>
      </c>
      <c r="J144" t="s">
        <v>57</v>
      </c>
      <c r="K144" s="2"/>
      <c r="L144" s="2"/>
      <c r="M144" s="2"/>
      <c r="O144" s="4"/>
      <c r="P144" s="2" t="str">
        <f t="shared" si="14"/>
        <v xml:space="preserve">      .AddAttribute(  3, "AreaCode", "AreaCode", "varchar", 10, 0, true, false, "", "", "")</v>
      </c>
    </row>
    <row r="145" spans="1:16" x14ac:dyDescent="0.45">
      <c r="A145" t="s">
        <v>113</v>
      </c>
      <c r="B145">
        <v>4</v>
      </c>
      <c r="C145" t="s">
        <v>142</v>
      </c>
      <c r="D145" t="s">
        <v>142</v>
      </c>
      <c r="E145" t="s">
        <v>19</v>
      </c>
      <c r="F145">
        <v>13</v>
      </c>
      <c r="G145">
        <v>0</v>
      </c>
      <c r="H145" t="s">
        <v>58</v>
      </c>
      <c r="I145" t="s">
        <v>57</v>
      </c>
      <c r="J145" t="s">
        <v>57</v>
      </c>
      <c r="K145" s="2"/>
      <c r="L145" s="2"/>
      <c r="M145" s="2"/>
      <c r="O145" s="4"/>
      <c r="P145" s="2" t="str">
        <f t="shared" si="14"/>
        <v xml:space="preserve">      .AddAttribute(  4, "CallNumber", "CallNumber", "varchar", 13, 0, true, false, "", "", "")</v>
      </c>
    </row>
    <row r="146" spans="1:16" x14ac:dyDescent="0.45">
      <c r="A146" t="s">
        <v>113</v>
      </c>
      <c r="B146">
        <v>5</v>
      </c>
      <c r="C146" t="s">
        <v>139</v>
      </c>
      <c r="D146" t="s">
        <v>139</v>
      </c>
      <c r="E146" t="s">
        <v>20</v>
      </c>
      <c r="F146">
        <v>0</v>
      </c>
      <c r="G146">
        <v>0</v>
      </c>
      <c r="H146" t="s">
        <v>58</v>
      </c>
      <c r="I146" t="s">
        <v>57</v>
      </c>
      <c r="J146" t="s">
        <v>57</v>
      </c>
      <c r="K146" s="2"/>
      <c r="L146" s="2"/>
      <c r="M146" s="2"/>
      <c r="O146" s="4"/>
      <c r="P146" s="2" t="str">
        <f t="shared" si="14"/>
        <v xml:space="preserve">      .AddAttribute(  5, "Country", "Country", "integer", 0, 0, true, false, "", "", "")</v>
      </c>
    </row>
    <row r="147" spans="1:16" x14ac:dyDescent="0.45">
      <c r="O147" s="4"/>
    </row>
    <row r="148" spans="1:16" x14ac:dyDescent="0.45">
      <c r="A148" t="s">
        <v>143</v>
      </c>
      <c r="B148">
        <v>0</v>
      </c>
      <c r="C148" t="s">
        <v>128</v>
      </c>
      <c r="D148" t="s">
        <v>451</v>
      </c>
      <c r="E148" t="s">
        <v>167</v>
      </c>
      <c r="H148" t="s">
        <v>168</v>
      </c>
      <c r="I148" t="s">
        <v>169</v>
      </c>
      <c r="K148" s="2"/>
      <c r="L148" s="2"/>
      <c r="M148" s="2"/>
      <c r="O148" s="4" t="s">
        <v>237</v>
      </c>
      <c r="P148" s="2" t="str">
        <f>CONCATENATE("   ",$P$1,".AddTable(","""",A148,""", ",CONCATENATE("EMyEntityType::",E148),", """,IF(ISERROR(FIND(".",C148)),"",RIGHT(C148, LEN(C148) - FIND(".",C148))),""", """,IF(ISERROR(FIND(".",C148)),"",LEFT(C148, FIND(".",C148)-1)),""", """,IF(ISERROR(FIND("::",D148)),"",RIGHT(D148, LEN(D148) - FIND("::",D148)-1)),""", """,IF(ISERROR(FIND("::",D148)),"",LEFT(D148, FIND("::",D148)-1)),""", """,H148,""", """,I148,""", """,O148,""")")</f>
        <v xml:space="preserve">   dictionary.AddTable("PhonesTypes", EMyEntityType::table, "PhoneTypes", "dbo", "PhonesTypes", "myCorporate", "System", "SQL", "domain / range of values for phone types, this is an extension of the relationship between persons and phone.")</v>
      </c>
    </row>
    <row r="149" spans="1:16" x14ac:dyDescent="0.45">
      <c r="A149" t="s">
        <v>143</v>
      </c>
      <c r="B149">
        <v>1</v>
      </c>
      <c r="C149" t="s">
        <v>134</v>
      </c>
      <c r="D149" t="s">
        <v>134</v>
      </c>
      <c r="E149" t="s">
        <v>20</v>
      </c>
      <c r="F149">
        <v>0</v>
      </c>
      <c r="G149">
        <v>0</v>
      </c>
      <c r="H149" t="s">
        <v>58</v>
      </c>
      <c r="I149" t="s">
        <v>58</v>
      </c>
      <c r="J149" t="s">
        <v>57</v>
      </c>
      <c r="K149" s="2"/>
      <c r="L149" s="2"/>
      <c r="M149" s="2"/>
      <c r="O149" s="4" t="s">
        <v>238</v>
      </c>
      <c r="P149" s="2" t="str">
        <f t="shared" ref="P149:P154" si="15">CONCATENATE("      .AddAttribute(",REPT(" ",3-LEN(TEXT(B149, "0"))),TEXT(B149, "0"),", """,C149,""", """,D149,""", """,E149,""", ",F149,", ",G149,", ",H149,", ",I149,", """,K149,""", """,L149,""", """,O149,"""",    ")")</f>
        <v xml:space="preserve">      .AddAttribute(  1, "ID", "ID", "integer", 0, 0, true, true, "", "", "unique identification number for a record in this domain with phone types")</v>
      </c>
    </row>
    <row r="150" spans="1:16" x14ac:dyDescent="0.45">
      <c r="A150" t="s">
        <v>143</v>
      </c>
      <c r="B150">
        <v>2</v>
      </c>
      <c r="C150" t="s">
        <v>129</v>
      </c>
      <c r="D150" t="s">
        <v>129</v>
      </c>
      <c r="E150" t="s">
        <v>19</v>
      </c>
      <c r="F150">
        <v>50</v>
      </c>
      <c r="G150">
        <v>0</v>
      </c>
      <c r="H150" t="s">
        <v>58</v>
      </c>
      <c r="I150" t="s">
        <v>57</v>
      </c>
      <c r="J150" t="s">
        <v>58</v>
      </c>
      <c r="K150" s="2"/>
      <c r="L150" s="2"/>
      <c r="M150" s="2"/>
      <c r="O150" s="4" t="s">
        <v>239</v>
      </c>
      <c r="P150" s="2" t="str">
        <f t="shared" si="15"/>
        <v xml:space="preserve">      .AddAttribute(  2, "Denotation", "Denotation", "varchar", 50, 0, true, false, "", "", "unique description of a phone type entity in the domain, used in selections, comboboxes, … (key canditate)")</v>
      </c>
    </row>
    <row r="151" spans="1:16" x14ac:dyDescent="0.45">
      <c r="A151" t="s">
        <v>143</v>
      </c>
      <c r="B151">
        <v>3</v>
      </c>
      <c r="C151" t="s">
        <v>130</v>
      </c>
      <c r="D151" t="s">
        <v>130</v>
      </c>
      <c r="E151" t="s">
        <v>19</v>
      </c>
      <c r="F151">
        <v>10</v>
      </c>
      <c r="G151">
        <v>0</v>
      </c>
      <c r="H151" t="s">
        <v>57</v>
      </c>
      <c r="I151" t="s">
        <v>57</v>
      </c>
      <c r="J151" t="s">
        <v>57</v>
      </c>
      <c r="K151" s="2"/>
      <c r="L151" s="2"/>
      <c r="M151" s="2"/>
      <c r="O151" s="4" t="s">
        <v>240</v>
      </c>
      <c r="P151" s="2" t="str">
        <f t="shared" si="15"/>
        <v xml:space="preserve">      .AddAttribute(  3, "Abbreviation", "Abbreviation", "varchar", 10, 0, false, false, "", "", "non-representative abbreviation that can be used for a short advertisement for this phone  type")</v>
      </c>
    </row>
    <row r="152" spans="1:16" x14ac:dyDescent="0.45">
      <c r="A152" t="s">
        <v>143</v>
      </c>
      <c r="B152">
        <v>4</v>
      </c>
      <c r="C152" t="s">
        <v>131</v>
      </c>
      <c r="D152" t="s">
        <v>131</v>
      </c>
      <c r="E152" t="s">
        <v>77</v>
      </c>
      <c r="F152">
        <v>0</v>
      </c>
      <c r="G152">
        <v>0</v>
      </c>
      <c r="H152" t="s">
        <v>57</v>
      </c>
      <c r="I152" t="s">
        <v>57</v>
      </c>
      <c r="J152" t="s">
        <v>57</v>
      </c>
      <c r="K152" s="2"/>
      <c r="L152" s="2"/>
      <c r="M152" s="2"/>
      <c r="O152" s="4" t="s">
        <v>241</v>
      </c>
      <c r="P152" s="2" t="str">
        <f t="shared" si="15"/>
        <v xml:space="preserve">      .AddAttribute(  4, "Description", "Description", "text", 0, 0, false, false, "", "", "detailed description of these phone  type,this is a self documentation, possible use as hint or to information in the programm")</v>
      </c>
    </row>
    <row r="153" spans="1:16" x14ac:dyDescent="0.45">
      <c r="A153" t="s">
        <v>143</v>
      </c>
      <c r="B153">
        <v>5</v>
      </c>
      <c r="C153" t="s">
        <v>132</v>
      </c>
      <c r="D153" t="s">
        <v>132</v>
      </c>
      <c r="E153" t="s">
        <v>77</v>
      </c>
      <c r="F153">
        <v>0</v>
      </c>
      <c r="G153">
        <v>0</v>
      </c>
      <c r="H153" t="s">
        <v>57</v>
      </c>
      <c r="I153" t="s">
        <v>57</v>
      </c>
      <c r="J153" t="s">
        <v>57</v>
      </c>
      <c r="K153" s="2"/>
      <c r="L153" s="2"/>
      <c r="M153" s="2"/>
      <c r="O153" s="4" t="s">
        <v>222</v>
      </c>
      <c r="P153" s="2" t="str">
        <f t="shared" si="15"/>
        <v xml:space="preserve">      .AddAttribute(  5, "Notes", "Notes", "text", 0, 0, false, false, "", "", "notes, with additional / free information for this type of banking, not used in application")</v>
      </c>
    </row>
    <row r="154" spans="1:16" x14ac:dyDescent="0.45">
      <c r="A154" t="s">
        <v>143</v>
      </c>
      <c r="B154">
        <v>6</v>
      </c>
      <c r="C154" t="s">
        <v>133</v>
      </c>
      <c r="D154" t="s">
        <v>133</v>
      </c>
      <c r="E154" t="s">
        <v>27</v>
      </c>
      <c r="F154">
        <v>0</v>
      </c>
      <c r="G154">
        <v>0</v>
      </c>
      <c r="H154" t="s">
        <v>57</v>
      </c>
      <c r="I154" t="s">
        <v>57</v>
      </c>
      <c r="J154" t="s">
        <v>57</v>
      </c>
      <c r="K154" s="2"/>
      <c r="L154" s="2"/>
      <c r="M154" s="2"/>
      <c r="O154" s="4" t="s">
        <v>242</v>
      </c>
      <c r="P154" s="2" t="str">
        <f t="shared" si="15"/>
        <v xml:space="preserve">      .AddAttribute(  6, "UrgentValue", "UrgentValue", "bool", 0, 0, false, false, "", "", "boolean value that makes this entity of phone type to a system value (cannot be changed as it is used directly by the program)")</v>
      </c>
    </row>
    <row r="155" spans="1:16" x14ac:dyDescent="0.45">
      <c r="O155" s="4"/>
    </row>
    <row r="156" spans="1:16" x14ac:dyDescent="0.45">
      <c r="A156" t="s">
        <v>170</v>
      </c>
      <c r="B156">
        <v>0</v>
      </c>
      <c r="C156" t="s">
        <v>171</v>
      </c>
      <c r="D156" t="s">
        <v>387</v>
      </c>
      <c r="E156" t="s">
        <v>167</v>
      </c>
      <c r="H156" t="s">
        <v>168</v>
      </c>
      <c r="I156" t="s">
        <v>169</v>
      </c>
      <c r="K156" s="2"/>
      <c r="L156" s="2"/>
      <c r="M156" s="2"/>
      <c r="O156" s="4"/>
      <c r="P156" s="2" t="str">
        <f>CONCATENATE("   ",$P$1,".AddTable(","""",A156,""", ",CONCATENATE("EMyEntityType::",E156),", """,IF(ISERROR(FIND(".",C156)),"",RIGHT(C156, LEN(C156) - FIND(".",C156))),""", """,IF(ISERROR(FIND(".",C156)),"",LEFT(C156, FIND(".",C156)-1)),""", """,IF(ISERROR(FIND("::",D156)),"",RIGHT(D156, LEN(D156) - FIND("::",D156)-1)),""", """,IF(ISERROR(FIND("::",D156)),"",LEFT(D156, FIND("::",D156)-1)),""", """,H156,""", """,I156,""", """,O156,""")")</f>
        <v xml:space="preserve">   dictionary.AddTable("WorkingTime", EMyEntityType::table, "WorkingTime", "dbo", "WorkingTime", "mHR", "System", "SQL", "")</v>
      </c>
    </row>
    <row r="157" spans="1:16" x14ac:dyDescent="0.45">
      <c r="A157" t="s">
        <v>170</v>
      </c>
      <c r="B157">
        <v>1</v>
      </c>
      <c r="C157" t="s">
        <v>134</v>
      </c>
      <c r="D157" t="s">
        <v>134</v>
      </c>
      <c r="E157" t="s">
        <v>20</v>
      </c>
      <c r="F157">
        <v>0</v>
      </c>
      <c r="G157">
        <v>0</v>
      </c>
      <c r="H157" t="s">
        <v>58</v>
      </c>
      <c r="I157" t="s">
        <v>58</v>
      </c>
      <c r="J157" t="s">
        <v>57</v>
      </c>
      <c r="K157" s="2"/>
      <c r="L157" s="2"/>
      <c r="M157" s="2"/>
      <c r="O157" s="4"/>
      <c r="P157" s="2" t="str">
        <f t="shared" ref="P157:P160" si="16">CONCATENATE("      .AddAttribute(",REPT(" ",3-LEN(TEXT(B157, "0"))),TEXT(B157, "0"),", """,C157,""", """,D157,""", """,E157,""", ",F157,", ",G157,", ",H157,", ",I157,", """,K157,""", """,L157,""", """,O157,"""",    ")")</f>
        <v xml:space="preserve">      .AddAttribute(  1, "ID", "ID", "integer", 0, 0, true, true, "", "", "")</v>
      </c>
    </row>
    <row r="158" spans="1:16" x14ac:dyDescent="0.45">
      <c r="A158" t="s">
        <v>170</v>
      </c>
      <c r="B158">
        <v>2</v>
      </c>
      <c r="C158" t="s">
        <v>172</v>
      </c>
      <c r="D158" t="s">
        <v>172</v>
      </c>
      <c r="E158" t="s">
        <v>30</v>
      </c>
      <c r="F158">
        <v>0</v>
      </c>
      <c r="G158">
        <v>0</v>
      </c>
      <c r="H158" t="s">
        <v>58</v>
      </c>
      <c r="I158" t="s">
        <v>58</v>
      </c>
      <c r="J158" t="s">
        <v>57</v>
      </c>
      <c r="K158" s="2"/>
      <c r="L158" s="2"/>
      <c r="M158" s="2"/>
      <c r="O158" s="4"/>
      <c r="P158" s="2" t="str">
        <f t="shared" si="16"/>
        <v xml:space="preserve">      .AddAttribute(  2, "StartingTime", "StartingTime", "datetime", 0, 0, true, true, "", "", "")</v>
      </c>
    </row>
    <row r="159" spans="1:16" x14ac:dyDescent="0.45">
      <c r="A159" t="s">
        <v>170</v>
      </c>
      <c r="B159">
        <v>3</v>
      </c>
      <c r="C159" t="s">
        <v>173</v>
      </c>
      <c r="D159" t="s">
        <v>173</v>
      </c>
      <c r="E159" t="s">
        <v>30</v>
      </c>
      <c r="F159">
        <v>0</v>
      </c>
      <c r="G159">
        <v>0</v>
      </c>
      <c r="H159" t="s">
        <v>57</v>
      </c>
      <c r="I159" t="s">
        <v>57</v>
      </c>
      <c r="J159" t="s">
        <v>57</v>
      </c>
      <c r="K159" s="2"/>
      <c r="L159" s="2"/>
      <c r="M159" s="2"/>
      <c r="O159" s="4"/>
      <c r="P159" s="2" t="str">
        <f t="shared" si="16"/>
        <v xml:space="preserve">      .AddAttribute(  3, "ClosingTime", "ClosingTime", "datetime", 0, 0, false, false, "", "", "")</v>
      </c>
    </row>
    <row r="160" spans="1:16" x14ac:dyDescent="0.45">
      <c r="A160" t="s">
        <v>170</v>
      </c>
      <c r="B160">
        <v>4</v>
      </c>
      <c r="C160" t="s">
        <v>174</v>
      </c>
      <c r="D160" t="s">
        <v>174</v>
      </c>
      <c r="E160" t="s">
        <v>27</v>
      </c>
      <c r="F160">
        <v>0</v>
      </c>
      <c r="G160">
        <v>0</v>
      </c>
      <c r="H160" t="s">
        <v>58</v>
      </c>
      <c r="I160" t="s">
        <v>57</v>
      </c>
      <c r="J160" t="s">
        <v>57</v>
      </c>
      <c r="K160" s="2"/>
      <c r="L160" s="2"/>
      <c r="M160" s="2"/>
      <c r="O160" s="4"/>
      <c r="P160" s="2" t="str">
        <f t="shared" si="16"/>
        <v xml:space="preserve">      .AddAttribute(  4, "Processed ", "Processed ", "bool", 0, 0, true, false, "", "", "")</v>
      </c>
    </row>
    <row r="161" spans="1:16" x14ac:dyDescent="0.45">
      <c r="O161" s="4"/>
    </row>
    <row r="162" spans="1:16" x14ac:dyDescent="0.45">
      <c r="A162" t="s">
        <v>175</v>
      </c>
      <c r="B162">
        <v>0</v>
      </c>
      <c r="C162" t="s">
        <v>176</v>
      </c>
      <c r="D162" t="s">
        <v>450</v>
      </c>
      <c r="E162" t="s">
        <v>167</v>
      </c>
      <c r="H162" t="s">
        <v>168</v>
      </c>
      <c r="I162" t="s">
        <v>169</v>
      </c>
      <c r="K162" s="2"/>
      <c r="L162" s="2"/>
      <c r="M162" s="2"/>
      <c r="O162" s="4"/>
      <c r="P162" s="2" t="str">
        <f>CONCATENATE("   ",$P$1,".AddTable(","""",A162,""", ",CONCATENATE("EMyEntityType::",E162),", """,IF(ISERROR(FIND(".",C162)),"",RIGHT(C162, LEN(C162) - FIND(".",C162))),""", """,IF(ISERROR(FIND(".",C162)),"",LEFT(C162, FIND(".",C162)-1)),""", """,IF(ISERROR(FIND("::",D162)),"",RIGHT(D162, LEN(D162) - FIND("::",D162)-1)),""", """,IF(ISERROR(FIND("::",D162)),"",LEFT(D162, FIND("::",D162)-1)),""", """,H162,""", """,I162,""", """,O162,""")")</f>
        <v xml:space="preserve">   dictionary.AddTable("FamilyStatus", EMyEntityType::table, "FamilyStatus", "dbo", "FamilyStatus", "myCorporate", "System", "SQL", "")</v>
      </c>
    </row>
    <row r="163" spans="1:16" x14ac:dyDescent="0.45">
      <c r="A163" t="s">
        <v>175</v>
      </c>
      <c r="B163">
        <v>1</v>
      </c>
      <c r="C163" t="s">
        <v>134</v>
      </c>
      <c r="D163" t="s">
        <v>134</v>
      </c>
      <c r="E163" t="s">
        <v>20</v>
      </c>
      <c r="F163">
        <v>0</v>
      </c>
      <c r="G163">
        <v>0</v>
      </c>
      <c r="H163" t="s">
        <v>58</v>
      </c>
      <c r="I163" t="s">
        <v>58</v>
      </c>
      <c r="J163" t="s">
        <v>57</v>
      </c>
      <c r="K163" s="2"/>
      <c r="L163" s="2"/>
      <c r="M163" s="2"/>
      <c r="O163" s="4"/>
      <c r="P163" s="2" t="str">
        <f t="shared" ref="P163:P169" si="17">CONCATENATE("      .AddAttribute(",REPT(" ",3-LEN(TEXT(B163, "0"))),TEXT(B163, "0"),", """,C163,""", """,D163,""", """,E163,""", ",F163,", ",G163,", ",H163,", ",I163,", """,K163,""", """,L163,""", """,O163,"""",    ")")</f>
        <v xml:space="preserve">      .AddAttribute(  1, "ID", "ID", "integer", 0, 0, true, true, "", "", "")</v>
      </c>
    </row>
    <row r="164" spans="1:16" x14ac:dyDescent="0.45">
      <c r="A164" t="s">
        <v>175</v>
      </c>
      <c r="B164">
        <v>2</v>
      </c>
      <c r="C164" t="s">
        <v>129</v>
      </c>
      <c r="D164" t="s">
        <v>129</v>
      </c>
      <c r="E164" t="s">
        <v>19</v>
      </c>
      <c r="F164">
        <v>50</v>
      </c>
      <c r="G164">
        <v>0</v>
      </c>
      <c r="H164" t="s">
        <v>58</v>
      </c>
      <c r="I164" t="s">
        <v>57</v>
      </c>
      <c r="J164" t="s">
        <v>58</v>
      </c>
      <c r="K164" s="2"/>
      <c r="L164" s="2"/>
      <c r="M164" s="2"/>
      <c r="O164" s="4"/>
      <c r="P164" s="2" t="str">
        <f t="shared" si="17"/>
        <v xml:space="preserve">      .AddAttribute(  2, "Denotation", "Denotation", "varchar", 50, 0, true, false, "", "", "")</v>
      </c>
    </row>
    <row r="165" spans="1:16" x14ac:dyDescent="0.45">
      <c r="A165" t="s">
        <v>175</v>
      </c>
      <c r="B165">
        <v>3</v>
      </c>
      <c r="C165" t="s">
        <v>130</v>
      </c>
      <c r="D165" t="s">
        <v>130</v>
      </c>
      <c r="E165" t="s">
        <v>19</v>
      </c>
      <c r="F165">
        <v>10</v>
      </c>
      <c r="G165">
        <v>0</v>
      </c>
      <c r="H165" t="s">
        <v>57</v>
      </c>
      <c r="I165" t="s">
        <v>57</v>
      </c>
      <c r="J165" t="s">
        <v>57</v>
      </c>
      <c r="K165" s="2"/>
      <c r="L165" s="2"/>
      <c r="M165" s="2"/>
      <c r="O165" s="4"/>
      <c r="P165" s="2" t="str">
        <f t="shared" si="17"/>
        <v xml:space="preserve">      .AddAttribute(  3, "Abbreviation", "Abbreviation", "varchar", 10, 0, false, false, "", "", "")</v>
      </c>
    </row>
    <row r="166" spans="1:16" x14ac:dyDescent="0.45">
      <c r="A166" t="s">
        <v>175</v>
      </c>
      <c r="B166">
        <v>4</v>
      </c>
      <c r="C166" t="s">
        <v>131</v>
      </c>
      <c r="D166" t="s">
        <v>131</v>
      </c>
      <c r="E166" t="s">
        <v>77</v>
      </c>
      <c r="F166">
        <v>0</v>
      </c>
      <c r="G166">
        <v>0</v>
      </c>
      <c r="H166" t="s">
        <v>57</v>
      </c>
      <c r="I166" t="s">
        <v>57</v>
      </c>
      <c r="J166" t="s">
        <v>57</v>
      </c>
      <c r="K166" s="2"/>
      <c r="L166" s="2"/>
      <c r="M166" s="2"/>
      <c r="O166" s="4"/>
      <c r="P166" s="2" t="str">
        <f t="shared" si="17"/>
        <v xml:space="preserve">      .AddAttribute(  4, "Description", "Description", "text", 0, 0, false, false, "", "", "")</v>
      </c>
    </row>
    <row r="167" spans="1:16" x14ac:dyDescent="0.45">
      <c r="A167" t="s">
        <v>175</v>
      </c>
      <c r="B167">
        <v>5</v>
      </c>
      <c r="C167" t="s">
        <v>177</v>
      </c>
      <c r="D167" t="s">
        <v>177</v>
      </c>
      <c r="E167" t="s">
        <v>27</v>
      </c>
      <c r="F167">
        <v>0</v>
      </c>
      <c r="G167">
        <v>0</v>
      </c>
      <c r="H167" t="s">
        <v>57</v>
      </c>
      <c r="I167" t="s">
        <v>57</v>
      </c>
      <c r="J167" t="s">
        <v>57</v>
      </c>
      <c r="K167" s="2"/>
      <c r="L167" s="2"/>
      <c r="M167" s="2"/>
      <c r="O167" s="4"/>
      <c r="P167" s="2" t="str">
        <f t="shared" si="17"/>
        <v xml:space="preserve">      .AddAttribute(  5, "Coupled", "Coupled", "bool", 0, 0, false, false, "", "", "")</v>
      </c>
    </row>
    <row r="168" spans="1:16" x14ac:dyDescent="0.45">
      <c r="A168" t="s">
        <v>175</v>
      </c>
      <c r="B168">
        <v>6</v>
      </c>
      <c r="C168" t="s">
        <v>178</v>
      </c>
      <c r="D168" t="s">
        <v>178</v>
      </c>
      <c r="E168" t="s">
        <v>27</v>
      </c>
      <c r="F168">
        <v>0</v>
      </c>
      <c r="G168">
        <v>0</v>
      </c>
      <c r="H168" t="s">
        <v>57</v>
      </c>
      <c r="I168" t="s">
        <v>57</v>
      </c>
      <c r="J168" t="s">
        <v>57</v>
      </c>
      <c r="K168" s="2"/>
      <c r="L168" s="2"/>
      <c r="M168" s="2"/>
      <c r="O168" s="4"/>
      <c r="P168" s="2" t="str">
        <f t="shared" si="17"/>
        <v xml:space="preserve">      .AddAttribute(  6, "NeedDate", "NeedDate", "bool", 0, 0, false, false, "", "", "")</v>
      </c>
    </row>
    <row r="169" spans="1:16" x14ac:dyDescent="0.45">
      <c r="A169" t="s">
        <v>175</v>
      </c>
      <c r="B169">
        <v>7</v>
      </c>
      <c r="C169" t="s">
        <v>133</v>
      </c>
      <c r="D169" t="s">
        <v>133</v>
      </c>
      <c r="E169" t="s">
        <v>27</v>
      </c>
      <c r="F169">
        <v>0</v>
      </c>
      <c r="G169">
        <v>0</v>
      </c>
      <c r="H169" t="s">
        <v>57</v>
      </c>
      <c r="I169" t="s">
        <v>57</v>
      </c>
      <c r="J169" t="s">
        <v>57</v>
      </c>
      <c r="K169" s="2"/>
      <c r="L169" s="2"/>
      <c r="M169" s="2"/>
      <c r="O169" s="4" t="s">
        <v>242</v>
      </c>
      <c r="P169" s="2" t="str">
        <f t="shared" si="17"/>
        <v xml:space="preserve">      .AddAttribute(  7, "UrgentValue", "UrgentValue", "bool", 0, 0, false, false, "", "", "boolean value that makes this entity of phone type to a system value (cannot be changed as it is used directly by the program)")</v>
      </c>
    </row>
    <row r="171" spans="1:16" x14ac:dyDescent="0.45">
      <c r="A171" t="s">
        <v>303</v>
      </c>
      <c r="C171" t="s">
        <v>337</v>
      </c>
      <c r="D171" t="s">
        <v>388</v>
      </c>
      <c r="E171" t="s">
        <v>167</v>
      </c>
      <c r="H171" t="s">
        <v>168</v>
      </c>
      <c r="I171" t="s">
        <v>169</v>
      </c>
      <c r="O171" s="4"/>
      <c r="P171" s="2" t="str">
        <f>CONCATENATE("   ",$P$1,".AddTable(","""",A171,""", ",CONCATENATE("EMyEntityType::",E171),", """,IF(ISERROR(FIND(".",C171)),"",RIGHT(C171, LEN(C171) - FIND(".",C171))),""", """,IF(ISERROR(FIND(".",C171)),"",LEFT(C171, FIND(".",C171)-1)),""", """,IF(ISERROR(FIND("::",D171)),"",RIGHT(D171, LEN(D171) - FIND("::",D171)-1)),""", """,IF(ISERROR(FIND("::",D171)),"",LEFT(D171, FIND("::",D171)-1)),""", """,H171,""", """,I171,""", """,O171,""")")</f>
        <v xml:space="preserve">   dictionary.AddTable("TaxClasses", EMyEntityType::table, "TaxClasses", "dbo", "TaxClasses", "myHR", "System", "SQL", "")</v>
      </c>
    </row>
    <row r="172" spans="1:16" x14ac:dyDescent="0.45">
      <c r="A172" t="s">
        <v>303</v>
      </c>
      <c r="B172">
        <v>1</v>
      </c>
      <c r="C172" t="s">
        <v>134</v>
      </c>
      <c r="D172" t="s">
        <v>134</v>
      </c>
      <c r="E172" t="s">
        <v>20</v>
      </c>
      <c r="F172">
        <v>0</v>
      </c>
      <c r="G172">
        <v>0</v>
      </c>
      <c r="H172" t="s">
        <v>58</v>
      </c>
      <c r="I172" t="s">
        <v>58</v>
      </c>
      <c r="J172" t="s">
        <v>57</v>
      </c>
      <c r="O172" s="4"/>
      <c r="P172" s="2" t="str">
        <f t="shared" ref="P172:P177" si="18">CONCATENATE("      .AddAttribute(",REPT(" ",3-LEN(TEXT(B172, "0"))),TEXT(B172, "0"),", """,C172,""", """,D172,""", """,E172,""", ",F172,", ",G172,", ",H172,", ",I172,", """,K172,""", """,L172,""", """,O172,"""",    ")")</f>
        <v xml:space="preserve">      .AddAttribute(  1, "ID", "ID", "integer", 0, 0, true, true, "", "", "")</v>
      </c>
    </row>
    <row r="173" spans="1:16" x14ac:dyDescent="0.45">
      <c r="A173" t="s">
        <v>303</v>
      </c>
      <c r="B173">
        <v>2</v>
      </c>
      <c r="C173" t="s">
        <v>129</v>
      </c>
      <c r="D173" t="s">
        <v>129</v>
      </c>
      <c r="E173" t="s">
        <v>19</v>
      </c>
      <c r="F173">
        <v>50</v>
      </c>
      <c r="G173">
        <v>0</v>
      </c>
      <c r="H173" t="s">
        <v>58</v>
      </c>
      <c r="I173" t="s">
        <v>57</v>
      </c>
      <c r="J173" t="s">
        <v>58</v>
      </c>
      <c r="O173" s="4"/>
      <c r="P173" s="2" t="str">
        <f t="shared" si="18"/>
        <v xml:space="preserve">      .AddAttribute(  2, "Denotation", "Denotation", "varchar", 50, 0, true, false, "", "", "")</v>
      </c>
    </row>
    <row r="174" spans="1:16" x14ac:dyDescent="0.45">
      <c r="A174" t="s">
        <v>303</v>
      </c>
      <c r="B174">
        <v>3</v>
      </c>
      <c r="C174" t="s">
        <v>130</v>
      </c>
      <c r="D174" t="s">
        <v>130</v>
      </c>
      <c r="E174" t="s">
        <v>19</v>
      </c>
      <c r="F174">
        <v>10</v>
      </c>
      <c r="G174">
        <v>0</v>
      </c>
      <c r="H174" t="s">
        <v>57</v>
      </c>
      <c r="I174" t="s">
        <v>57</v>
      </c>
      <c r="J174" t="s">
        <v>57</v>
      </c>
      <c r="O174" s="4"/>
      <c r="P174" s="2" t="str">
        <f t="shared" si="18"/>
        <v xml:space="preserve">      .AddAttribute(  3, "Abbreviation", "Abbreviation", "varchar", 10, 0, false, false, "", "", "")</v>
      </c>
    </row>
    <row r="175" spans="1:16" x14ac:dyDescent="0.45">
      <c r="A175" t="s">
        <v>303</v>
      </c>
      <c r="B175">
        <v>4</v>
      </c>
      <c r="C175" t="s">
        <v>131</v>
      </c>
      <c r="D175" t="s">
        <v>131</v>
      </c>
      <c r="E175" t="s">
        <v>77</v>
      </c>
      <c r="F175">
        <v>0</v>
      </c>
      <c r="G175">
        <v>0</v>
      </c>
      <c r="H175" t="s">
        <v>57</v>
      </c>
      <c r="I175" t="s">
        <v>57</v>
      </c>
      <c r="J175" t="s">
        <v>57</v>
      </c>
      <c r="O175" s="4"/>
      <c r="P175" s="2" t="str">
        <f t="shared" si="18"/>
        <v xml:space="preserve">      .AddAttribute(  4, "Description", "Description", "text", 0, 0, false, false, "", "", "")</v>
      </c>
    </row>
    <row r="176" spans="1:16" x14ac:dyDescent="0.45">
      <c r="A176" t="s">
        <v>303</v>
      </c>
      <c r="B176">
        <v>5</v>
      </c>
      <c r="C176" t="s">
        <v>177</v>
      </c>
      <c r="D176" t="s">
        <v>177</v>
      </c>
      <c r="E176" t="s">
        <v>27</v>
      </c>
      <c r="F176">
        <v>0</v>
      </c>
      <c r="G176">
        <v>0</v>
      </c>
      <c r="H176" t="s">
        <v>57</v>
      </c>
      <c r="I176" t="s">
        <v>57</v>
      </c>
      <c r="J176" t="s">
        <v>57</v>
      </c>
      <c r="O176" s="4"/>
      <c r="P176" s="2" t="str">
        <f t="shared" si="18"/>
        <v xml:space="preserve">      .AddAttribute(  5, "Coupled", "Coupled", "bool", 0, 0, false, false, "", "", "")</v>
      </c>
    </row>
    <row r="177" spans="1:16" x14ac:dyDescent="0.45">
      <c r="A177" t="s">
        <v>303</v>
      </c>
      <c r="B177">
        <v>6</v>
      </c>
      <c r="C177" t="s">
        <v>133</v>
      </c>
      <c r="D177" t="s">
        <v>133</v>
      </c>
      <c r="E177" t="s">
        <v>27</v>
      </c>
      <c r="F177">
        <v>0</v>
      </c>
      <c r="G177">
        <v>0</v>
      </c>
      <c r="H177" t="s">
        <v>57</v>
      </c>
      <c r="I177" t="s">
        <v>57</v>
      </c>
      <c r="J177" t="s">
        <v>57</v>
      </c>
      <c r="O177" s="4" t="s">
        <v>338</v>
      </c>
      <c r="P177" s="2" t="str">
        <f t="shared" si="18"/>
        <v xml:space="preserve">      .AddAttribute(  6, "UrgentValue", "UrgentValue", "bool", 0, 0, false, false, "", "", "boolean value that makes this entity of tax classes to a system value (cannot be changed as it is used directly by the program)")</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7</vt:i4>
      </vt:variant>
    </vt:vector>
  </HeadingPairs>
  <TitlesOfParts>
    <vt:vector size="7" baseType="lpstr">
      <vt:lpstr>Metadata</vt:lpstr>
      <vt:lpstr>Indices</vt:lpstr>
      <vt:lpstr>Relationships</vt:lpstr>
      <vt:lpstr>Types</vt:lpstr>
      <vt:lpstr>RangeValues</vt:lpstr>
      <vt:lpstr>PostConditions</vt:lpstr>
      <vt:lpstr>Metadata old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Volker Hillmann</dc:creator>
  <cp:lastModifiedBy>Volker Hillmann</cp:lastModifiedBy>
  <dcterms:created xsi:type="dcterms:W3CDTF">2024-01-26T14:19:43Z</dcterms:created>
  <dcterms:modified xsi:type="dcterms:W3CDTF">2024-02-15T04:00:01Z</dcterms:modified>
</cp:coreProperties>
</file>