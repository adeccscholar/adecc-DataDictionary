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A40E7E85-FBB9-46F3-8A2D-AB15CB1B518E}" xr6:coauthVersionLast="47" xr6:coauthVersionMax="47" xr10:uidLastSave="{00000000-0000-0000-0000-000000000000}"/>
  <bookViews>
    <workbookView xWindow="-98" yWindow="-98" windowWidth="28996" windowHeight="15675" activeTab="2"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 name="Workdays"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06" i="1" l="1"/>
  <c r="P123" i="1" a="1"/>
  <c r="P125" i="1" a="1"/>
  <c r="P124" i="1" a="1"/>
  <c r="P208" i="1" a="1"/>
  <c r="P209" i="1" a="1"/>
  <c r="P207" i="1" a="1"/>
  <c r="P210" i="1" a="1"/>
  <c r="P211" i="1" a="1"/>
  <c r="AC31" i="3" a="1"/>
  <c r="AC46" i="3" a="1"/>
  <c r="AC45" i="3" a="1"/>
  <c r="AC47" i="3" a="1"/>
  <c r="P124" i="1" l="1"/>
  <c r="P125" i="1"/>
  <c r="P123" i="1"/>
  <c r="AC31" i="3"/>
  <c r="AC47" i="3"/>
  <c r="AC46" i="3"/>
  <c r="AC45" i="3"/>
  <c r="P211" i="1"/>
  <c r="P210" i="1"/>
  <c r="P209" i="1"/>
  <c r="P208" i="1"/>
  <c r="P207" i="1"/>
  <c r="L81" i="8" l="1"/>
  <c r="L67" i="8"/>
  <c r="L53" i="8"/>
  <c r="L39" i="8"/>
  <c r="L25" i="8"/>
  <c r="L11" i="8"/>
  <c r="L87" i="8"/>
  <c r="L86" i="8"/>
  <c r="L85" i="8"/>
  <c r="L84" i="8"/>
  <c r="L83" i="8"/>
  <c r="L82" i="8"/>
  <c r="L80" i="8"/>
  <c r="L79" i="8"/>
  <c r="L78" i="8"/>
  <c r="L77" i="8"/>
  <c r="L76" i="8"/>
  <c r="L75" i="8"/>
  <c r="L74" i="8"/>
  <c r="L73" i="8"/>
  <c r="L72" i="8"/>
  <c r="L71" i="8"/>
  <c r="L70" i="8"/>
  <c r="L69" i="8"/>
  <c r="L68" i="8"/>
  <c r="L66" i="8"/>
  <c r="L65" i="8"/>
  <c r="L64" i="8"/>
  <c r="L63" i="8"/>
  <c r="L62" i="8"/>
  <c r="L61" i="8"/>
  <c r="L60" i="8"/>
  <c r="L31" i="8"/>
  <c r="L30" i="8"/>
  <c r="L29" i="8"/>
  <c r="L28" i="8"/>
  <c r="L27" i="8"/>
  <c r="L26" i="8"/>
  <c r="L24" i="8"/>
  <c r="L23" i="8"/>
  <c r="L22" i="8"/>
  <c r="L21" i="8"/>
  <c r="L20" i="8"/>
  <c r="L19" i="8"/>
  <c r="L18" i="8"/>
  <c r="L17" i="8"/>
  <c r="L16" i="8"/>
  <c r="L15" i="8"/>
  <c r="L14" i="8"/>
  <c r="L13" i="8"/>
  <c r="L12" i="8"/>
  <c r="L10" i="8"/>
  <c r="L9" i="8"/>
  <c r="L8" i="8"/>
  <c r="L7" i="8"/>
  <c r="L6" i="8"/>
  <c r="L5" i="8"/>
  <c r="L4" i="8"/>
  <c r="P194" i="1"/>
  <c r="U4" i="8"/>
  <c r="P219" i="1"/>
  <c r="R5" i="8"/>
  <c r="R6" i="8" s="1"/>
  <c r="R7" i="8" s="1"/>
  <c r="R8" i="8" s="1"/>
  <c r="R9" i="8" s="1"/>
  <c r="R10" i="8" s="1"/>
  <c r="R11" i="8" s="1"/>
  <c r="R12" i="8" s="1"/>
  <c r="R13" i="8" s="1"/>
  <c r="R14" i="8" s="1"/>
  <c r="R15" i="8" s="1"/>
  <c r="R16" i="8" s="1"/>
  <c r="R17" i="8" s="1"/>
  <c r="R18" i="8" s="1"/>
  <c r="R19" i="8" s="1"/>
  <c r="R20" i="8" s="1"/>
  <c r="R21" i="8" s="1"/>
  <c r="R22" i="8" s="1"/>
  <c r="R23" i="8" s="1"/>
  <c r="R24" i="8" s="1"/>
  <c r="R25" i="8" s="1"/>
  <c r="R26" i="8" s="1"/>
  <c r="R27" i="8" s="1"/>
  <c r="R28" i="8" s="1"/>
  <c r="R29" i="8" s="1"/>
  <c r="R30" i="8" s="1"/>
  <c r="R31" i="8" s="1"/>
  <c r="R32" i="8" s="1"/>
  <c r="R33" i="8" s="1"/>
  <c r="R34" i="8" s="1"/>
  <c r="R35" i="8" s="1"/>
  <c r="R36" i="8" s="1"/>
  <c r="R37" i="8" s="1"/>
  <c r="R38" i="8" s="1"/>
  <c r="R39" i="8" s="1"/>
  <c r="R40" i="8" s="1"/>
  <c r="R41" i="8" s="1"/>
  <c r="R42" i="8" s="1"/>
  <c r="R43" i="8" s="1"/>
  <c r="R44" i="8" s="1"/>
  <c r="R45" i="8" s="1"/>
  <c r="R46" i="8" s="1"/>
  <c r="R47" i="8" s="1"/>
  <c r="R48" i="8" s="1"/>
  <c r="R49" i="8" s="1"/>
  <c r="R50" i="8" s="1"/>
  <c r="R51" i="8" s="1"/>
  <c r="R52" i="8" s="1"/>
  <c r="R53" i="8" s="1"/>
  <c r="R54" i="8" s="1"/>
  <c r="R55" i="8" s="1"/>
  <c r="R56" i="8" s="1"/>
  <c r="R57" i="8" s="1"/>
  <c r="R58" i="8" s="1"/>
  <c r="R59" i="8" s="1"/>
  <c r="R60" i="8" s="1"/>
  <c r="R61" i="8" s="1"/>
  <c r="R62" i="8" s="1"/>
  <c r="R63" i="8" s="1"/>
  <c r="R64" i="8" s="1"/>
  <c r="R65" i="8" s="1"/>
  <c r="R66" i="8" s="1"/>
  <c r="R67" i="8" s="1"/>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R100" i="8" s="1"/>
  <c r="R101" i="8" s="1"/>
  <c r="R102" i="8" s="1"/>
  <c r="R103" i="8" s="1"/>
  <c r="R104" i="8" s="1"/>
  <c r="R105" i="8" s="1"/>
  <c r="R106" i="8" s="1"/>
  <c r="R107" i="8" s="1"/>
  <c r="R108" i="8" s="1"/>
  <c r="R109" i="8" s="1"/>
  <c r="R110" i="8" s="1"/>
  <c r="R111" i="8" s="1"/>
  <c r="R112" i="8" s="1"/>
  <c r="R113" i="8" s="1"/>
  <c r="R114" i="8" s="1"/>
  <c r="R115" i="8" s="1"/>
  <c r="R116" i="8" s="1"/>
  <c r="R117" i="8" s="1"/>
  <c r="R118" i="8" s="1"/>
  <c r="R119" i="8" s="1"/>
  <c r="R120" i="8" s="1"/>
  <c r="R121" i="8" s="1"/>
  <c r="R122" i="8" s="1"/>
  <c r="R123" i="8" s="1"/>
  <c r="R124" i="8" s="1"/>
  <c r="R125" i="8" s="1"/>
  <c r="R126" i="8" s="1"/>
  <c r="R127" i="8" s="1"/>
  <c r="R128" i="8" s="1"/>
  <c r="R129" i="8" s="1"/>
  <c r="R130" i="8" s="1"/>
  <c r="R131" i="8" s="1"/>
  <c r="R132" i="8" s="1"/>
  <c r="R133" i="8" s="1"/>
  <c r="R134" i="8" s="1"/>
  <c r="R135" i="8" s="1"/>
  <c r="R136" i="8" s="1"/>
  <c r="R137" i="8" s="1"/>
  <c r="R138" i="8" s="1"/>
  <c r="R139" i="8" s="1"/>
  <c r="R140" i="8" s="1"/>
  <c r="R141" i="8" s="1"/>
  <c r="R142" i="8" s="1"/>
  <c r="R143" i="8" s="1"/>
  <c r="R144" i="8" s="1"/>
  <c r="R145" i="8" s="1"/>
  <c r="R146" i="8" s="1"/>
  <c r="R147" i="8" s="1"/>
  <c r="R148" i="8" s="1"/>
  <c r="R149" i="8" s="1"/>
  <c r="R150" i="8" s="1"/>
  <c r="R151" i="8" s="1"/>
  <c r="R152" i="8" s="1"/>
  <c r="R153" i="8" s="1"/>
  <c r="R154" i="8" s="1"/>
  <c r="R155" i="8" s="1"/>
  <c r="R156" i="8" s="1"/>
  <c r="R157" i="8" s="1"/>
  <c r="R158" i="8" s="1"/>
  <c r="R159" i="8" s="1"/>
  <c r="R160" i="8" s="1"/>
  <c r="R161" i="8" s="1"/>
  <c r="R162" i="8" s="1"/>
  <c r="R163" i="8" s="1"/>
  <c r="R164" i="8" s="1"/>
  <c r="R165" i="8" s="1"/>
  <c r="R166" i="8" s="1"/>
  <c r="R167" i="8" s="1"/>
  <c r="R168" i="8" s="1"/>
  <c r="R169" i="8" s="1"/>
  <c r="R170" i="8" s="1"/>
  <c r="R171" i="8" s="1"/>
  <c r="R172" i="8" s="1"/>
  <c r="R173" i="8" s="1"/>
  <c r="R174" i="8" s="1"/>
  <c r="R175" i="8" s="1"/>
  <c r="R176" i="8" s="1"/>
  <c r="R177" i="8" s="1"/>
  <c r="R178" i="8" s="1"/>
  <c r="R179" i="8" s="1"/>
  <c r="R180" i="8" s="1"/>
  <c r="R181" i="8" s="1"/>
  <c r="R182" i="8" s="1"/>
  <c r="R183" i="8" s="1"/>
  <c r="R184" i="8" s="1"/>
  <c r="R185" i="8" s="1"/>
  <c r="R186" i="8" s="1"/>
  <c r="R187" i="8" s="1"/>
  <c r="R188" i="8" s="1"/>
  <c r="R189" i="8" s="1"/>
  <c r="R190" i="8" s="1"/>
  <c r="R191" i="8" s="1"/>
  <c r="R192" i="8" s="1"/>
  <c r="R193" i="8" s="1"/>
  <c r="R194" i="8" s="1"/>
  <c r="R195" i="8" s="1"/>
  <c r="R196" i="8" s="1"/>
  <c r="R197" i="8" s="1"/>
  <c r="R198" i="8" s="1"/>
  <c r="R199" i="8" s="1"/>
  <c r="R200" i="8" s="1"/>
  <c r="R201" i="8" s="1"/>
  <c r="R202" i="8" s="1"/>
  <c r="R203" i="8" s="1"/>
  <c r="R204" i="8" s="1"/>
  <c r="R205" i="8" s="1"/>
  <c r="R206" i="8" s="1"/>
  <c r="R207" i="8" s="1"/>
  <c r="R208" i="8" s="1"/>
  <c r="R209" i="8" s="1"/>
  <c r="R210" i="8" s="1"/>
  <c r="R211" i="8" s="1"/>
  <c r="R212" i="8" s="1"/>
  <c r="R213" i="8" s="1"/>
  <c r="R214" i="8" s="1"/>
  <c r="R215" i="8" s="1"/>
  <c r="R216" i="8" s="1"/>
  <c r="R217" i="8" s="1"/>
  <c r="R218" i="8" s="1"/>
  <c r="R219" i="8" s="1"/>
  <c r="R220" i="8" s="1"/>
  <c r="R221" i="8" s="1"/>
  <c r="R222" i="8" s="1"/>
  <c r="R223" i="8" s="1"/>
  <c r="R224" i="8" s="1"/>
  <c r="R225" i="8" s="1"/>
  <c r="R226" i="8" s="1"/>
  <c r="R227" i="8" s="1"/>
  <c r="R228" i="8" s="1"/>
  <c r="R229" i="8" s="1"/>
  <c r="R230" i="8" s="1"/>
  <c r="R231" i="8" s="1"/>
  <c r="R232" i="8" s="1"/>
  <c r="R233" i="8" s="1"/>
  <c r="R234" i="8" s="1"/>
  <c r="R235" i="8" s="1"/>
  <c r="R236" i="8" s="1"/>
  <c r="R237" i="8" s="1"/>
  <c r="R238" i="8" s="1"/>
  <c r="R239" i="8" s="1"/>
  <c r="R240" i="8" s="1"/>
  <c r="R241" i="8" s="1"/>
  <c r="R242" i="8" s="1"/>
  <c r="R243" i="8" s="1"/>
  <c r="R244" i="8" s="1"/>
  <c r="R245" i="8" s="1"/>
  <c r="R246" i="8" s="1"/>
  <c r="R247" i="8" s="1"/>
  <c r="R248" i="8" s="1"/>
  <c r="R249" i="8" s="1"/>
  <c r="R250" i="8" s="1"/>
  <c r="R251" i="8" s="1"/>
  <c r="R252" i="8" s="1"/>
  <c r="R253" i="8" s="1"/>
  <c r="R254" i="8" s="1"/>
  <c r="R255" i="8" s="1"/>
  <c r="R256" i="8" s="1"/>
  <c r="R257" i="8" s="1"/>
  <c r="R258" i="8" s="1"/>
  <c r="R259" i="8" s="1"/>
  <c r="R260" i="8" s="1"/>
  <c r="R261" i="8" s="1"/>
  <c r="R262" i="8" s="1"/>
  <c r="R263" i="8" s="1"/>
  <c r="R264" i="8" s="1"/>
  <c r="R265" i="8" s="1"/>
  <c r="R266" i="8" s="1"/>
  <c r="R267" i="8" s="1"/>
  <c r="R268" i="8" s="1"/>
  <c r="R269" i="8" s="1"/>
  <c r="R270" i="8" s="1"/>
  <c r="R271" i="8" s="1"/>
  <c r="R272" i="8" s="1"/>
  <c r="R273" i="8" s="1"/>
  <c r="R274" i="8" s="1"/>
  <c r="R275" i="8" s="1"/>
  <c r="R276" i="8" s="1"/>
  <c r="R277" i="8" s="1"/>
  <c r="R278" i="8" s="1"/>
  <c r="R279" i="8" s="1"/>
  <c r="R280" i="8" s="1"/>
  <c r="R281" i="8" s="1"/>
  <c r="R282" i="8" s="1"/>
  <c r="R283" i="8" s="1"/>
  <c r="R284" i="8" s="1"/>
  <c r="R285" i="8" s="1"/>
  <c r="R286" i="8" s="1"/>
  <c r="R287" i="8" s="1"/>
  <c r="R288" i="8" s="1"/>
  <c r="R289" i="8" s="1"/>
  <c r="R290" i="8" s="1"/>
  <c r="R291" i="8" s="1"/>
  <c r="R292" i="8" s="1"/>
  <c r="R293" i="8" s="1"/>
  <c r="R294" i="8" s="1"/>
  <c r="R295" i="8" s="1"/>
  <c r="R296" i="8" s="1"/>
  <c r="R297" i="8" s="1"/>
  <c r="R298" i="8" s="1"/>
  <c r="R299" i="8" s="1"/>
  <c r="R300" i="8" s="1"/>
  <c r="R301" i="8" s="1"/>
  <c r="R302" i="8" s="1"/>
  <c r="R303" i="8" s="1"/>
  <c r="R304" i="8" s="1"/>
  <c r="R305" i="8" s="1"/>
  <c r="R306" i="8" s="1"/>
  <c r="R307" i="8" s="1"/>
  <c r="R308" i="8" s="1"/>
  <c r="R309" i="8" s="1"/>
  <c r="R310" i="8" s="1"/>
  <c r="R311" i="8" s="1"/>
  <c r="R312" i="8" s="1"/>
  <c r="R313" i="8" s="1"/>
  <c r="R314" i="8" s="1"/>
  <c r="R315" i="8" s="1"/>
  <c r="R316" i="8" s="1"/>
  <c r="R317" i="8" s="1"/>
  <c r="R318" i="8" s="1"/>
  <c r="R319" i="8" s="1"/>
  <c r="R320" i="8" s="1"/>
  <c r="R321" i="8" s="1"/>
  <c r="R322" i="8" s="1"/>
  <c r="R323" i="8" s="1"/>
  <c r="R324" i="8" s="1"/>
  <c r="R325" i="8" s="1"/>
  <c r="R326" i="8" s="1"/>
  <c r="R327" i="8" s="1"/>
  <c r="R328" i="8" s="1"/>
  <c r="R329" i="8" s="1"/>
  <c r="R330" i="8" s="1"/>
  <c r="R331" i="8" s="1"/>
  <c r="R332" i="8" s="1"/>
  <c r="R333" i="8" s="1"/>
  <c r="R334" i="8" s="1"/>
  <c r="R335" i="8" s="1"/>
  <c r="R336" i="8" s="1"/>
  <c r="R337" i="8" s="1"/>
  <c r="R338" i="8" s="1"/>
  <c r="R339" i="8" s="1"/>
  <c r="R340" i="8" s="1"/>
  <c r="R341" i="8" s="1"/>
  <c r="R342" i="8" s="1"/>
  <c r="R343" i="8" s="1"/>
  <c r="R344" i="8" s="1"/>
  <c r="R345" i="8" s="1"/>
  <c r="R346" i="8" s="1"/>
  <c r="R347" i="8" s="1"/>
  <c r="R348" i="8" s="1"/>
  <c r="R349" i="8" s="1"/>
  <c r="R350" i="8" s="1"/>
  <c r="R351" i="8" s="1"/>
  <c r="R352" i="8" s="1"/>
  <c r="R353" i="8" s="1"/>
  <c r="R354" i="8" s="1"/>
  <c r="R355" i="8" s="1"/>
  <c r="R356" i="8" s="1"/>
  <c r="R357" i="8" s="1"/>
  <c r="R358" i="8" s="1"/>
  <c r="R359" i="8" s="1"/>
  <c r="R360" i="8" s="1"/>
  <c r="R361" i="8" s="1"/>
  <c r="R362" i="8" s="1"/>
  <c r="R363" i="8" s="1"/>
  <c r="R364" i="8" s="1"/>
  <c r="R365" i="8" s="1"/>
  <c r="R366" i="8" s="1"/>
  <c r="R367" i="8" s="1"/>
  <c r="R368" i="8" s="1"/>
  <c r="U368" i="8" s="1"/>
  <c r="AG5" i="8" a="1"/>
  <c r="AG13" i="8" a="1"/>
  <c r="AG21" i="8" a="1"/>
  <c r="AG29" i="8" a="1"/>
  <c r="AG37" i="8" a="1"/>
  <c r="AG45" i="8" a="1"/>
  <c r="AG53" i="8" a="1"/>
  <c r="AG61" i="8" a="1"/>
  <c r="AG69" i="8" a="1"/>
  <c r="AG77" i="8" a="1"/>
  <c r="AG85" i="8" a="1"/>
  <c r="AG33" i="8" a="1"/>
  <c r="AG65" i="8" a="1"/>
  <c r="AG74" i="8" a="1"/>
  <c r="AG35" i="8" a="1"/>
  <c r="AG76" i="8" a="1"/>
  <c r="AG49" i="8" a="1"/>
  <c r="AG75" i="8" a="1"/>
  <c r="AG52" i="8" a="1"/>
  <c r="AG6" i="8" a="1"/>
  <c r="AG14" i="8" a="1"/>
  <c r="AG22" i="8" a="1"/>
  <c r="AG30" i="8" a="1"/>
  <c r="AG38" i="8" a="1"/>
  <c r="AG46" i="8" a="1"/>
  <c r="AG54" i="8" a="1"/>
  <c r="AG62" i="8" a="1"/>
  <c r="AG70" i="8" a="1"/>
  <c r="AG78" i="8" a="1"/>
  <c r="AG86" i="8" a="1"/>
  <c r="AG57" i="8" a="1"/>
  <c r="AG67" i="8" a="1"/>
  <c r="AG84" i="8" a="1"/>
  <c r="AG80" i="8" a="1"/>
  <c r="AG7" i="8" a="1"/>
  <c r="AG15" i="8" a="1"/>
  <c r="AG23" i="8" a="1"/>
  <c r="AG31" i="8" a="1"/>
  <c r="AG39" i="8" a="1"/>
  <c r="AG47" i="8" a="1"/>
  <c r="AG55" i="8" a="1"/>
  <c r="AG63" i="8" a="1"/>
  <c r="AG71" i="8" a="1"/>
  <c r="AG79" i="8" a="1"/>
  <c r="AG87" i="8" a="1"/>
  <c r="AG72" i="8" a="1"/>
  <c r="AG17" i="8" a="1"/>
  <c r="AG81" i="8" a="1"/>
  <c r="AG66" i="8" a="1"/>
  <c r="AG43" i="8" a="1"/>
  <c r="AG44" i="8" a="1"/>
  <c r="AG64" i="8" a="1"/>
  <c r="AG41" i="8" a="1"/>
  <c r="AG73" i="8" a="1"/>
  <c r="AG82" i="8" a="1"/>
  <c r="AG27" i="8" a="1"/>
  <c r="AG28" i="8" a="1"/>
  <c r="AG8" i="8" a="1"/>
  <c r="AG16" i="8" a="1"/>
  <c r="AG24" i="8" a="1"/>
  <c r="AG32" i="8" a="1"/>
  <c r="AG40" i="8" a="1"/>
  <c r="AG48" i="8" a="1"/>
  <c r="AG56" i="8" a="1"/>
  <c r="AG25" i="8" a="1"/>
  <c r="AG19" i="8" a="1"/>
  <c r="AG83" i="8" a="1"/>
  <c r="AG12" i="8" a="1"/>
  <c r="AG51" i="8" a="1"/>
  <c r="AG9" i="8" a="1"/>
  <c r="AG20" i="8" a="1"/>
  <c r="AG60" i="8" a="1"/>
  <c r="AG10" i="8" a="1"/>
  <c r="AG18" i="8" a="1"/>
  <c r="AG26" i="8" a="1"/>
  <c r="AG34" i="8" a="1"/>
  <c r="AG42" i="8" a="1"/>
  <c r="AG50" i="8" a="1"/>
  <c r="AG58" i="8" a="1"/>
  <c r="AG59" i="8" a="1"/>
  <c r="AG68" i="8" a="1"/>
  <c r="AG11" i="8" a="1"/>
  <c r="AG36" i="8" a="1"/>
  <c r="AG2" i="8" a="1"/>
  <c r="R59" i="4" a="1"/>
  <c r="AE2" i="8" a="1"/>
  <c r="M62" i="5" a="1"/>
  <c r="M58" i="5" a="1"/>
  <c r="P221" i="1" a="1"/>
  <c r="P220" i="1" a="1"/>
  <c r="P68" i="1" a="1"/>
  <c r="P62" i="1" a="1"/>
  <c r="P224" i="1" a="1"/>
  <c r="P67" i="1" a="1"/>
  <c r="P228" i="1" a="1"/>
  <c r="P79" i="1" a="1"/>
  <c r="P226" i="1" a="1"/>
  <c r="P225" i="1" a="1"/>
  <c r="P65" i="1" a="1"/>
  <c r="P66" i="1" a="1"/>
  <c r="P198" i="1" a="1"/>
  <c r="P80" i="1" a="1"/>
  <c r="P70" i="1" a="1"/>
  <c r="P197" i="1" a="1"/>
  <c r="P81" i="1" a="1"/>
  <c r="P61" i="1" a="1"/>
  <c r="P227" i="1" a="1"/>
  <c r="P71" i="1" a="1"/>
  <c r="P63" i="1" a="1"/>
  <c r="P223" i="1" a="1"/>
  <c r="P196" i="1" a="1"/>
  <c r="P195" i="1" a="1"/>
  <c r="P222" i="1" a="1"/>
  <c r="P64" i="1" a="1"/>
  <c r="P176" i="1" a="1"/>
  <c r="P69" i="1" a="1"/>
  <c r="AC42" i="3" a="1"/>
  <c r="AC49" i="3" a="1"/>
  <c r="AC40" i="3" a="1"/>
  <c r="AC50" i="3" a="1"/>
  <c r="AC20" i="3" a="1"/>
  <c r="AG36" i="8" l="1"/>
  <c r="AG11" i="8"/>
  <c r="AG68" i="8"/>
  <c r="AG59" i="8"/>
  <c r="AG58" i="8"/>
  <c r="AG50" i="8"/>
  <c r="AG42" i="8"/>
  <c r="AG34" i="8"/>
  <c r="AG26" i="8"/>
  <c r="AG18" i="8"/>
  <c r="AG10" i="8"/>
  <c r="AG60" i="8"/>
  <c r="AG20" i="8"/>
  <c r="AG9" i="8"/>
  <c r="AG51" i="8"/>
  <c r="AG12" i="8"/>
  <c r="AG83" i="8"/>
  <c r="AG19" i="8"/>
  <c r="AG25" i="8"/>
  <c r="AG56" i="8"/>
  <c r="AG48" i="8"/>
  <c r="AG40" i="8"/>
  <c r="AG32" i="8"/>
  <c r="AG24" i="8"/>
  <c r="AG16" i="8"/>
  <c r="AG8" i="8"/>
  <c r="AG28" i="8"/>
  <c r="AG27" i="8"/>
  <c r="AG82" i="8"/>
  <c r="AG73" i="8"/>
  <c r="AG41" i="8"/>
  <c r="AG64" i="8"/>
  <c r="AG44" i="8"/>
  <c r="AG43" i="8"/>
  <c r="AG66" i="8"/>
  <c r="AG81" i="8"/>
  <c r="AG17" i="8"/>
  <c r="AG72" i="8"/>
  <c r="AG87" i="8"/>
  <c r="AG79" i="8"/>
  <c r="AG71" i="8"/>
  <c r="AG63" i="8"/>
  <c r="AG55" i="8"/>
  <c r="AG47" i="8"/>
  <c r="AG39" i="8"/>
  <c r="AG31" i="8"/>
  <c r="AG23" i="8"/>
  <c r="AG15" i="8"/>
  <c r="AG7" i="8"/>
  <c r="AG80" i="8"/>
  <c r="AG84" i="8"/>
  <c r="AG67" i="8"/>
  <c r="AG57" i="8"/>
  <c r="AG86" i="8"/>
  <c r="AG78" i="8"/>
  <c r="AG70" i="8"/>
  <c r="AG62" i="8"/>
  <c r="AG54" i="8"/>
  <c r="AG46" i="8"/>
  <c r="AG38" i="8"/>
  <c r="AG30" i="8"/>
  <c r="AG22" i="8"/>
  <c r="AG14" i="8"/>
  <c r="AG6" i="8"/>
  <c r="AG52" i="8"/>
  <c r="AG75" i="8"/>
  <c r="AG49" i="8"/>
  <c r="AG76" i="8"/>
  <c r="AG35" i="8"/>
  <c r="AG74" i="8"/>
  <c r="AG65" i="8"/>
  <c r="AG33" i="8"/>
  <c r="AG85" i="8"/>
  <c r="AG77" i="8"/>
  <c r="AG69" i="8"/>
  <c r="AG61" i="8"/>
  <c r="AG53" i="8"/>
  <c r="AG45" i="8"/>
  <c r="AG37" i="8"/>
  <c r="AG29" i="8"/>
  <c r="AG21" i="8"/>
  <c r="AG13" i="8"/>
  <c r="AG5" i="8"/>
  <c r="AG2" i="8"/>
  <c r="P228" i="1"/>
  <c r="P198" i="1"/>
  <c r="P197" i="1"/>
  <c r="P196" i="1"/>
  <c r="P195" i="1"/>
  <c r="AC42" i="3"/>
  <c r="R59" i="4"/>
  <c r="AC50" i="3"/>
  <c r="AC49" i="3"/>
  <c r="R369" i="8"/>
  <c r="P176" i="1"/>
  <c r="AE2" i="8"/>
  <c r="U292" i="8"/>
  <c r="U36" i="8"/>
  <c r="U307" i="8"/>
  <c r="U211" i="8"/>
  <c r="U354" i="8"/>
  <c r="U338" i="8"/>
  <c r="U322" i="8"/>
  <c r="U306" i="8"/>
  <c r="U290" i="8"/>
  <c r="U274" i="8"/>
  <c r="U258" i="8"/>
  <c r="U242" i="8"/>
  <c r="U226" i="8"/>
  <c r="U210" i="8"/>
  <c r="U194" i="8"/>
  <c r="U178" i="8"/>
  <c r="U162" i="8"/>
  <c r="U146" i="8"/>
  <c r="U130" i="8"/>
  <c r="U114" i="8"/>
  <c r="U98" i="8"/>
  <c r="U82" i="8"/>
  <c r="U66" i="8"/>
  <c r="U50" i="8"/>
  <c r="U34" i="8"/>
  <c r="U18" i="8"/>
  <c r="U196" i="8"/>
  <c r="U52" i="8"/>
  <c r="U227" i="8"/>
  <c r="U163" i="8"/>
  <c r="U289" i="8"/>
  <c r="U273" i="8"/>
  <c r="U257" i="8"/>
  <c r="U241" i="8"/>
  <c r="U225" i="8"/>
  <c r="U209" i="8"/>
  <c r="U193" i="8"/>
  <c r="U177" i="8"/>
  <c r="U161" i="8"/>
  <c r="U145" i="8"/>
  <c r="U129" i="8"/>
  <c r="U113" i="8"/>
  <c r="U97" i="8"/>
  <c r="U81" i="8"/>
  <c r="U65" i="8"/>
  <c r="U49" i="8"/>
  <c r="U33" i="8"/>
  <c r="U17" i="8"/>
  <c r="U260" i="8"/>
  <c r="U20" i="8"/>
  <c r="U291" i="8"/>
  <c r="U131" i="8"/>
  <c r="U305" i="8"/>
  <c r="U352" i="8"/>
  <c r="U336" i="8"/>
  <c r="U320" i="8"/>
  <c r="U304" i="8"/>
  <c r="U288" i="8"/>
  <c r="U272" i="8"/>
  <c r="U256" i="8"/>
  <c r="U240" i="8"/>
  <c r="U224" i="8"/>
  <c r="U208" i="8"/>
  <c r="U192" i="8"/>
  <c r="U176" i="8"/>
  <c r="U160" i="8"/>
  <c r="U144" i="8"/>
  <c r="U128" i="8"/>
  <c r="U112" i="8"/>
  <c r="U96" i="8"/>
  <c r="U80" i="8"/>
  <c r="U64" i="8"/>
  <c r="U48" i="8"/>
  <c r="U32" i="8"/>
  <c r="U16" i="8"/>
  <c r="U228" i="8"/>
  <c r="U68" i="8"/>
  <c r="U275" i="8"/>
  <c r="U115" i="8"/>
  <c r="U321" i="8"/>
  <c r="U367" i="8"/>
  <c r="U351" i="8"/>
  <c r="U335" i="8"/>
  <c r="U319" i="8"/>
  <c r="U303" i="8"/>
  <c r="U287" i="8"/>
  <c r="U271" i="8"/>
  <c r="U255" i="8"/>
  <c r="U239" i="8"/>
  <c r="U223" i="8"/>
  <c r="U207" i="8"/>
  <c r="U191" i="8"/>
  <c r="U175" i="8"/>
  <c r="U159" i="8"/>
  <c r="U143" i="8"/>
  <c r="U127" i="8"/>
  <c r="U111" i="8"/>
  <c r="U95" i="8"/>
  <c r="U79" i="8"/>
  <c r="U63" i="8"/>
  <c r="U47" i="8"/>
  <c r="U31" i="8"/>
  <c r="U15" i="8"/>
  <c r="U340" i="8"/>
  <c r="U84" i="8"/>
  <c r="U179" i="8"/>
  <c r="U353" i="8"/>
  <c r="U366" i="8"/>
  <c r="U350" i="8"/>
  <c r="U334" i="8"/>
  <c r="U318" i="8"/>
  <c r="U302" i="8"/>
  <c r="U286" i="8"/>
  <c r="U270" i="8"/>
  <c r="U254" i="8"/>
  <c r="U238" i="8"/>
  <c r="U222" i="8"/>
  <c r="U206" i="8"/>
  <c r="U190" i="8"/>
  <c r="U174" i="8"/>
  <c r="U158" i="8"/>
  <c r="U142" i="8"/>
  <c r="U126" i="8"/>
  <c r="U110" i="8"/>
  <c r="U94" i="8"/>
  <c r="U78" i="8"/>
  <c r="U62" i="8"/>
  <c r="U46" i="8"/>
  <c r="U30" i="8"/>
  <c r="U14" i="8"/>
  <c r="U308" i="8"/>
  <c r="U116" i="8"/>
  <c r="U339" i="8"/>
  <c r="U243" i="8"/>
  <c r="U147" i="8"/>
  <c r="U337" i="8"/>
  <c r="U365" i="8"/>
  <c r="U349" i="8"/>
  <c r="U333" i="8"/>
  <c r="U317" i="8"/>
  <c r="U301" i="8"/>
  <c r="U285" i="8"/>
  <c r="U269" i="8"/>
  <c r="U253" i="8"/>
  <c r="U237" i="8"/>
  <c r="U221" i="8"/>
  <c r="U205" i="8"/>
  <c r="U189" i="8"/>
  <c r="U173" i="8"/>
  <c r="U157" i="8"/>
  <c r="U141" i="8"/>
  <c r="U125" i="8"/>
  <c r="U109" i="8"/>
  <c r="U93" i="8"/>
  <c r="U77" i="8"/>
  <c r="U61" i="8"/>
  <c r="U45" i="8"/>
  <c r="U29" i="8"/>
  <c r="U13" i="8"/>
  <c r="U356" i="8"/>
  <c r="U195" i="8"/>
  <c r="U364" i="8"/>
  <c r="U348" i="8"/>
  <c r="U332" i="8"/>
  <c r="U316" i="8"/>
  <c r="U300" i="8"/>
  <c r="U284" i="8"/>
  <c r="U268" i="8"/>
  <c r="U252" i="8"/>
  <c r="U236" i="8"/>
  <c r="U220" i="8"/>
  <c r="U204" i="8"/>
  <c r="U188" i="8"/>
  <c r="U172" i="8"/>
  <c r="U156" i="8"/>
  <c r="U140" i="8"/>
  <c r="U124" i="8"/>
  <c r="U108" i="8"/>
  <c r="U92" i="8"/>
  <c r="U76" i="8"/>
  <c r="U60" i="8"/>
  <c r="U44" i="8"/>
  <c r="U28" i="8"/>
  <c r="U12" i="8"/>
  <c r="U363" i="8"/>
  <c r="U347" i="8"/>
  <c r="U331" i="8"/>
  <c r="U315" i="8"/>
  <c r="U299" i="8"/>
  <c r="U283" i="8"/>
  <c r="U267" i="8"/>
  <c r="U251" i="8"/>
  <c r="U235" i="8"/>
  <c r="U219" i="8"/>
  <c r="U203" i="8"/>
  <c r="U187" i="8"/>
  <c r="U171" i="8"/>
  <c r="U155" i="8"/>
  <c r="U139" i="8"/>
  <c r="U123" i="8"/>
  <c r="U107" i="8"/>
  <c r="U91" i="8"/>
  <c r="U75" i="8"/>
  <c r="U59" i="8"/>
  <c r="U43" i="8"/>
  <c r="U27" i="8"/>
  <c r="U11" i="8"/>
  <c r="U244" i="8"/>
  <c r="U132" i="8"/>
  <c r="U51" i="8"/>
  <c r="U362" i="8"/>
  <c r="U346" i="8"/>
  <c r="U330" i="8"/>
  <c r="U314" i="8"/>
  <c r="U298" i="8"/>
  <c r="U282" i="8"/>
  <c r="U266" i="8"/>
  <c r="U250" i="8"/>
  <c r="U234" i="8"/>
  <c r="U218" i="8"/>
  <c r="U202" i="8"/>
  <c r="U186" i="8"/>
  <c r="U170" i="8"/>
  <c r="U154" i="8"/>
  <c r="U138" i="8"/>
  <c r="U122" i="8"/>
  <c r="U106" i="8"/>
  <c r="U90" i="8"/>
  <c r="U74" i="8"/>
  <c r="U58" i="8"/>
  <c r="U42" i="8"/>
  <c r="U26" i="8"/>
  <c r="U10" i="8"/>
  <c r="U180" i="8"/>
  <c r="U19" i="8"/>
  <c r="U361" i="8"/>
  <c r="U345" i="8"/>
  <c r="U329" i="8"/>
  <c r="U313" i="8"/>
  <c r="U297" i="8"/>
  <c r="U281" i="8"/>
  <c r="U265" i="8"/>
  <c r="U249" i="8"/>
  <c r="U233" i="8"/>
  <c r="U217" i="8"/>
  <c r="U201" i="8"/>
  <c r="U185" i="8"/>
  <c r="U169" i="8"/>
  <c r="U153" i="8"/>
  <c r="U137" i="8"/>
  <c r="U121" i="8"/>
  <c r="U105" i="8"/>
  <c r="U89" i="8"/>
  <c r="U73" i="8"/>
  <c r="U57" i="8"/>
  <c r="U41" i="8"/>
  <c r="U25" i="8"/>
  <c r="U9" i="8"/>
  <c r="U276" i="8"/>
  <c r="U148" i="8"/>
  <c r="U355" i="8"/>
  <c r="U99" i="8"/>
  <c r="U360" i="8"/>
  <c r="U344" i="8"/>
  <c r="U328" i="8"/>
  <c r="U312" i="8"/>
  <c r="U296" i="8"/>
  <c r="U280" i="8"/>
  <c r="U264" i="8"/>
  <c r="U248" i="8"/>
  <c r="U232" i="8"/>
  <c r="U216" i="8"/>
  <c r="U200" i="8"/>
  <c r="U184" i="8"/>
  <c r="U168" i="8"/>
  <c r="U152" i="8"/>
  <c r="U136" i="8"/>
  <c r="U120" i="8"/>
  <c r="U104" i="8"/>
  <c r="U88" i="8"/>
  <c r="U72" i="8"/>
  <c r="U56" i="8"/>
  <c r="U40" i="8"/>
  <c r="U24" i="8"/>
  <c r="U8" i="8"/>
  <c r="U212" i="8"/>
  <c r="U100" i="8"/>
  <c r="U259" i="8"/>
  <c r="U35" i="8"/>
  <c r="U359" i="8"/>
  <c r="U343" i="8"/>
  <c r="U327" i="8"/>
  <c r="U311" i="8"/>
  <c r="U295" i="8"/>
  <c r="U279" i="8"/>
  <c r="U263" i="8"/>
  <c r="U247" i="8"/>
  <c r="U231" i="8"/>
  <c r="U215" i="8"/>
  <c r="U199" i="8"/>
  <c r="U183" i="8"/>
  <c r="U167" i="8"/>
  <c r="U151" i="8"/>
  <c r="U135" i="8"/>
  <c r="U119" i="8"/>
  <c r="U103" i="8"/>
  <c r="U87" i="8"/>
  <c r="U71" i="8"/>
  <c r="U55" i="8"/>
  <c r="U39" i="8"/>
  <c r="U23" i="8"/>
  <c r="U7" i="8"/>
  <c r="U67" i="8"/>
  <c r="U358" i="8"/>
  <c r="U342" i="8"/>
  <c r="U326" i="8"/>
  <c r="U310" i="8"/>
  <c r="U294" i="8"/>
  <c r="U278" i="8"/>
  <c r="U262" i="8"/>
  <c r="U246" i="8"/>
  <c r="U230" i="8"/>
  <c r="U214" i="8"/>
  <c r="U198" i="8"/>
  <c r="U182" i="8"/>
  <c r="U166" i="8"/>
  <c r="U150" i="8"/>
  <c r="U134" i="8"/>
  <c r="U118" i="8"/>
  <c r="U102" i="8"/>
  <c r="U86" i="8"/>
  <c r="U70" i="8"/>
  <c r="U54" i="8"/>
  <c r="U38" i="8"/>
  <c r="U22" i="8"/>
  <c r="U6" i="8"/>
  <c r="U324" i="8"/>
  <c r="U164" i="8"/>
  <c r="U323" i="8"/>
  <c r="U83" i="8"/>
  <c r="U357" i="8"/>
  <c r="U341" i="8"/>
  <c r="U325" i="8"/>
  <c r="U309" i="8"/>
  <c r="U293" i="8"/>
  <c r="U277" i="8"/>
  <c r="U261" i="8"/>
  <c r="U245" i="8"/>
  <c r="U229" i="8"/>
  <c r="U213" i="8"/>
  <c r="U197" i="8"/>
  <c r="U181" i="8"/>
  <c r="U165" i="8"/>
  <c r="U149" i="8"/>
  <c r="U133" i="8"/>
  <c r="U117" i="8"/>
  <c r="U101" i="8"/>
  <c r="U85" i="8"/>
  <c r="U69" i="8"/>
  <c r="U53" i="8"/>
  <c r="U37" i="8"/>
  <c r="U21" i="8"/>
  <c r="U5" i="8"/>
  <c r="AC40" i="3"/>
  <c r="P227" i="1"/>
  <c r="P226" i="1"/>
  <c r="P225" i="1"/>
  <c r="P224" i="1"/>
  <c r="P223" i="1"/>
  <c r="P222" i="1"/>
  <c r="P221" i="1"/>
  <c r="P220" i="1"/>
  <c r="M62" i="5"/>
  <c r="M58" i="5"/>
  <c r="P81" i="1"/>
  <c r="P80" i="1"/>
  <c r="P79" i="1"/>
  <c r="P67" i="1"/>
  <c r="P65" i="1"/>
  <c r="P66" i="1"/>
  <c r="P63" i="1"/>
  <c r="P71" i="1"/>
  <c r="P62" i="1"/>
  <c r="P69" i="1"/>
  <c r="P68" i="1"/>
  <c r="P64" i="1"/>
  <c r="P70" i="1"/>
  <c r="P61" i="1"/>
  <c r="AC20" i="3"/>
  <c r="P178" i="1"/>
  <c r="P171" i="1"/>
  <c r="AG4" i="8" a="1"/>
  <c r="R54" i="4" a="1"/>
  <c r="R53" i="4" a="1"/>
  <c r="R50" i="4" a="1"/>
  <c r="R57" i="4" a="1"/>
  <c r="R51" i="4" a="1"/>
  <c r="R56" i="4" a="1"/>
  <c r="M61" i="5" a="1"/>
  <c r="P174" i="1" a="1"/>
  <c r="P172" i="1" a="1"/>
  <c r="P181" i="1" a="1"/>
  <c r="P179" i="1" a="1"/>
  <c r="P184" i="1" a="1"/>
  <c r="P173" i="1" a="1"/>
  <c r="P183" i="1" a="1"/>
  <c r="P180" i="1" a="1"/>
  <c r="P182" i="1" a="1"/>
  <c r="P175" i="1" a="1"/>
  <c r="AG4" i="8" l="1"/>
  <c r="S369" i="8"/>
  <c r="T369" i="8"/>
  <c r="V369" i="8"/>
  <c r="W369" i="8"/>
  <c r="Y369" i="8" s="1"/>
  <c r="X369" i="8"/>
  <c r="U369" i="8"/>
  <c r="M61" i="5"/>
  <c r="R51" i="4"/>
  <c r="R50" i="4"/>
  <c r="P182" i="1"/>
  <c r="P180" i="1"/>
  <c r="P183" i="1"/>
  <c r="P184" i="1"/>
  <c r="P181" i="1"/>
  <c r="P175" i="1"/>
  <c r="P174" i="1"/>
  <c r="P173" i="1"/>
  <c r="P179" i="1"/>
  <c r="P172" i="1"/>
  <c r="R56" i="4"/>
  <c r="R57" i="4"/>
  <c r="R54" i="4"/>
  <c r="R53" i="4"/>
  <c r="AE369" i="8" a="1"/>
  <c r="M60" i="5" a="1"/>
  <c r="AE369" i="8" l="1"/>
  <c r="M60" i="5"/>
  <c r="P163" i="1"/>
  <c r="P155" i="1"/>
  <c r="M56" i="5" a="1"/>
  <c r="M51" i="5" a="1"/>
  <c r="M49" i="5" a="1"/>
  <c r="M17" i="5" a="1"/>
  <c r="M45" i="5" a="1"/>
  <c r="M32" i="5" a="1"/>
  <c r="M29" i="5" a="1"/>
  <c r="M11" i="5" a="1"/>
  <c r="R28" i="4" a="1"/>
  <c r="R46" i="4" a="1"/>
  <c r="R38" i="4" a="1"/>
  <c r="R32" i="4" a="1"/>
  <c r="R44" i="4" a="1"/>
  <c r="R48" i="4" a="1"/>
  <c r="R36" i="4" a="1"/>
  <c r="M59" i="5" a="1"/>
  <c r="P46" i="1" a="1"/>
  <c r="P47" i="1" a="1"/>
  <c r="P161" i="1" a="1"/>
  <c r="P167" i="1" a="1"/>
  <c r="P166" i="1" a="1"/>
  <c r="P168" i="1" a="1"/>
  <c r="P45" i="1" a="1"/>
  <c r="P169" i="1" a="1"/>
  <c r="P165" i="1" a="1"/>
  <c r="P158" i="1" a="1"/>
  <c r="P157" i="1" a="1"/>
  <c r="P160" i="1" a="1"/>
  <c r="P164" i="1" a="1"/>
  <c r="P44" i="1" a="1"/>
  <c r="P156" i="1" a="1"/>
  <c r="P159" i="1" a="1"/>
  <c r="AC44" i="3" a="1"/>
  <c r="AC22" i="3" a="1"/>
  <c r="M59" i="5" l="1"/>
  <c r="AC44" i="3"/>
  <c r="R48" i="4"/>
  <c r="M56" i="5"/>
  <c r="M51" i="5"/>
  <c r="P164" i="1"/>
  <c r="P165" i="1"/>
  <c r="P168" i="1"/>
  <c r="P166" i="1"/>
  <c r="P167" i="1"/>
  <c r="P169" i="1"/>
  <c r="R46" i="4"/>
  <c r="R44" i="4"/>
  <c r="R38" i="4"/>
  <c r="R36" i="4"/>
  <c r="R28" i="4"/>
  <c r="R32" i="4"/>
  <c r="P47" i="1"/>
  <c r="P46" i="1"/>
  <c r="P45" i="1"/>
  <c r="P44" i="1"/>
  <c r="M49" i="5"/>
  <c r="M45" i="5"/>
  <c r="P161" i="1"/>
  <c r="P160" i="1"/>
  <c r="P159" i="1"/>
  <c r="P158" i="1"/>
  <c r="P157" i="1"/>
  <c r="P156" i="1"/>
  <c r="AC22" i="3"/>
  <c r="M32" i="5"/>
  <c r="M29" i="5"/>
  <c r="M11" i="5"/>
  <c r="M17" i="5"/>
  <c r="M55" i="5" a="1"/>
  <c r="M31" i="5" a="1"/>
  <c r="M48" i="5" a="1"/>
  <c r="M16" i="5" a="1"/>
  <c r="M55" i="5" l="1"/>
  <c r="M48" i="5"/>
  <c r="M31" i="5"/>
  <c r="M16" i="5"/>
  <c r="M54" i="5" a="1"/>
  <c r="M30" i="5" a="1"/>
  <c r="M15" i="5" a="1"/>
  <c r="M54" i="5" l="1"/>
  <c r="M30" i="5"/>
  <c r="M15" i="5"/>
  <c r="M53" i="5" a="1"/>
  <c r="M47" i="5" a="1"/>
  <c r="M14" i="5" a="1"/>
  <c r="M53" i="5" l="1"/>
  <c r="M47" i="5"/>
  <c r="M14" i="5"/>
  <c r="M52" i="5" a="1"/>
  <c r="M46" i="5" a="1"/>
  <c r="M13" i="5" a="1"/>
  <c r="M52" i="5" l="1"/>
  <c r="M46" i="5"/>
  <c r="M13" i="5"/>
  <c r="M12" i="5" a="1"/>
  <c r="M12" i="5" l="1"/>
  <c r="L45" i="8"/>
  <c r="L44" i="8"/>
  <c r="L43" i="8"/>
  <c r="L42" i="8"/>
  <c r="L41" i="8"/>
  <c r="L40" i="8"/>
  <c r="L38" i="8"/>
  <c r="L37" i="8"/>
  <c r="L36" i="8"/>
  <c r="L35" i="8"/>
  <c r="L34" i="8"/>
  <c r="L33" i="8"/>
  <c r="L32" i="8"/>
  <c r="L59" i="8"/>
  <c r="L58" i="8"/>
  <c r="L57" i="8"/>
  <c r="L56" i="8"/>
  <c r="L55" i="8"/>
  <c r="L54" i="8"/>
  <c r="L52" i="8"/>
  <c r="L51" i="8"/>
  <c r="L50" i="8"/>
  <c r="L49" i="8"/>
  <c r="L48" i="8"/>
  <c r="L47" i="8"/>
  <c r="L46" i="8"/>
  <c r="P200" i="1"/>
  <c r="P213" i="1"/>
  <c r="P186" i="1"/>
  <c r="T5" i="8"/>
  <c r="V5" i="8"/>
  <c r="W5" i="8"/>
  <c r="Y5" i="8" s="1"/>
  <c r="X5" i="8"/>
  <c r="V6" i="8"/>
  <c r="W6" i="8"/>
  <c r="Y6" i="8" s="1"/>
  <c r="X6" i="8"/>
  <c r="V7" i="8"/>
  <c r="W7" i="8"/>
  <c r="Y7" i="8" s="1"/>
  <c r="X7" i="8"/>
  <c r="V8" i="8"/>
  <c r="W8" i="8"/>
  <c r="Y8" i="8" s="1"/>
  <c r="X8" i="8"/>
  <c r="V9" i="8"/>
  <c r="W9" i="8"/>
  <c r="Y9" i="8" s="1"/>
  <c r="X9" i="8"/>
  <c r="V10" i="8"/>
  <c r="W10" i="8"/>
  <c r="Y10" i="8" s="1"/>
  <c r="X10" i="8"/>
  <c r="V11" i="8"/>
  <c r="W11" i="8"/>
  <c r="Y11" i="8" s="1"/>
  <c r="X11" i="8"/>
  <c r="V12" i="8"/>
  <c r="W12" i="8"/>
  <c r="Y12" i="8" s="1"/>
  <c r="X12" i="8"/>
  <c r="V13" i="8"/>
  <c r="W13" i="8"/>
  <c r="Y13" i="8" s="1"/>
  <c r="X13" i="8"/>
  <c r="V14" i="8"/>
  <c r="W14" i="8"/>
  <c r="Y14" i="8" s="1"/>
  <c r="X14" i="8"/>
  <c r="V15" i="8"/>
  <c r="W15" i="8"/>
  <c r="Y15" i="8" s="1"/>
  <c r="X15" i="8"/>
  <c r="V16" i="8"/>
  <c r="W16" i="8"/>
  <c r="Y16" i="8" s="1"/>
  <c r="X16" i="8"/>
  <c r="V17" i="8"/>
  <c r="W17" i="8"/>
  <c r="Y17" i="8" s="1"/>
  <c r="X17" i="8"/>
  <c r="V18" i="8"/>
  <c r="W18" i="8"/>
  <c r="Y18" i="8" s="1"/>
  <c r="X18" i="8"/>
  <c r="V19" i="8"/>
  <c r="W19" i="8"/>
  <c r="Y19" i="8" s="1"/>
  <c r="X19" i="8"/>
  <c r="V20" i="8"/>
  <c r="W20" i="8"/>
  <c r="Y20" i="8" s="1"/>
  <c r="X20" i="8"/>
  <c r="V21" i="8"/>
  <c r="W21" i="8"/>
  <c r="Y21" i="8" s="1"/>
  <c r="X21" i="8"/>
  <c r="V22" i="8"/>
  <c r="W22" i="8"/>
  <c r="Y22" i="8" s="1"/>
  <c r="X22" i="8"/>
  <c r="V23" i="8"/>
  <c r="W23" i="8"/>
  <c r="Y23" i="8" s="1"/>
  <c r="X23" i="8"/>
  <c r="V24" i="8"/>
  <c r="W24" i="8"/>
  <c r="Y24" i="8" s="1"/>
  <c r="X24" i="8"/>
  <c r="V25" i="8"/>
  <c r="W25" i="8"/>
  <c r="Y25" i="8" s="1"/>
  <c r="X25" i="8"/>
  <c r="V26" i="8"/>
  <c r="W26" i="8"/>
  <c r="Y26" i="8" s="1"/>
  <c r="X26" i="8"/>
  <c r="V27" i="8"/>
  <c r="W27" i="8"/>
  <c r="Y27" i="8" s="1"/>
  <c r="X27" i="8"/>
  <c r="V28" i="8"/>
  <c r="W28" i="8"/>
  <c r="Y28" i="8" s="1"/>
  <c r="X28" i="8"/>
  <c r="V29" i="8"/>
  <c r="W29" i="8"/>
  <c r="Y29" i="8" s="1"/>
  <c r="X29" i="8"/>
  <c r="V30" i="8"/>
  <c r="W30" i="8"/>
  <c r="Y30" i="8" s="1"/>
  <c r="X30" i="8"/>
  <c r="V31" i="8"/>
  <c r="W31" i="8"/>
  <c r="Y31" i="8" s="1"/>
  <c r="X31" i="8"/>
  <c r="V32" i="8"/>
  <c r="W32" i="8"/>
  <c r="Y32" i="8" s="1"/>
  <c r="X32" i="8"/>
  <c r="V33" i="8"/>
  <c r="W33" i="8"/>
  <c r="Y33" i="8" s="1"/>
  <c r="X33" i="8"/>
  <c r="V34" i="8"/>
  <c r="W34" i="8"/>
  <c r="Y34" i="8" s="1"/>
  <c r="X34" i="8"/>
  <c r="V35" i="8"/>
  <c r="W35" i="8"/>
  <c r="Y35" i="8" s="1"/>
  <c r="X35" i="8"/>
  <c r="V36" i="8"/>
  <c r="W36" i="8"/>
  <c r="Y36" i="8" s="1"/>
  <c r="X36" i="8"/>
  <c r="V37" i="8"/>
  <c r="W37" i="8"/>
  <c r="Y37" i="8" s="1"/>
  <c r="X37" i="8"/>
  <c r="V38" i="8"/>
  <c r="W38" i="8"/>
  <c r="Y38" i="8" s="1"/>
  <c r="X38" i="8"/>
  <c r="V39" i="8"/>
  <c r="W39" i="8"/>
  <c r="Y39" i="8" s="1"/>
  <c r="X39" i="8"/>
  <c r="V40" i="8"/>
  <c r="W40" i="8"/>
  <c r="Y40" i="8" s="1"/>
  <c r="X40" i="8"/>
  <c r="V41" i="8"/>
  <c r="W41" i="8"/>
  <c r="Y41" i="8" s="1"/>
  <c r="X41" i="8"/>
  <c r="V42" i="8"/>
  <c r="W42" i="8"/>
  <c r="Y42" i="8" s="1"/>
  <c r="X42" i="8"/>
  <c r="V43" i="8"/>
  <c r="W43" i="8"/>
  <c r="Y43" i="8" s="1"/>
  <c r="X43" i="8"/>
  <c r="V44" i="8"/>
  <c r="W44" i="8"/>
  <c r="Y44" i="8" s="1"/>
  <c r="X44" i="8"/>
  <c r="V45" i="8"/>
  <c r="W45" i="8"/>
  <c r="Y45" i="8" s="1"/>
  <c r="X45" i="8"/>
  <c r="V46" i="8"/>
  <c r="W46" i="8"/>
  <c r="Y46" i="8" s="1"/>
  <c r="X46" i="8"/>
  <c r="V47" i="8"/>
  <c r="W47" i="8"/>
  <c r="Y47" i="8" s="1"/>
  <c r="X47" i="8"/>
  <c r="V48" i="8"/>
  <c r="W48" i="8"/>
  <c r="Y48" i="8" s="1"/>
  <c r="X48" i="8"/>
  <c r="V49" i="8"/>
  <c r="W49" i="8"/>
  <c r="Y49" i="8" s="1"/>
  <c r="X49" i="8"/>
  <c r="V50" i="8"/>
  <c r="W50" i="8"/>
  <c r="Y50" i="8" s="1"/>
  <c r="X50" i="8"/>
  <c r="V51" i="8"/>
  <c r="W51" i="8"/>
  <c r="Y51" i="8" s="1"/>
  <c r="X51" i="8"/>
  <c r="V52" i="8"/>
  <c r="W52" i="8"/>
  <c r="Y52" i="8" s="1"/>
  <c r="X52" i="8"/>
  <c r="V53" i="8"/>
  <c r="W53" i="8"/>
  <c r="Y53" i="8" s="1"/>
  <c r="X53" i="8"/>
  <c r="V54" i="8"/>
  <c r="W54" i="8"/>
  <c r="Y54" i="8" s="1"/>
  <c r="X54" i="8"/>
  <c r="V55" i="8"/>
  <c r="W55" i="8"/>
  <c r="Y55" i="8" s="1"/>
  <c r="X55" i="8"/>
  <c r="V56" i="8"/>
  <c r="W56" i="8"/>
  <c r="Y56" i="8" s="1"/>
  <c r="X56" i="8"/>
  <c r="V57" i="8"/>
  <c r="W57" i="8"/>
  <c r="Y57" i="8" s="1"/>
  <c r="X57" i="8"/>
  <c r="V58" i="8"/>
  <c r="W58" i="8"/>
  <c r="Y58" i="8" s="1"/>
  <c r="X58" i="8"/>
  <c r="V59" i="8"/>
  <c r="W59" i="8"/>
  <c r="Y59" i="8" s="1"/>
  <c r="X59" i="8"/>
  <c r="V60" i="8"/>
  <c r="W60" i="8"/>
  <c r="Y60" i="8" s="1"/>
  <c r="X60" i="8"/>
  <c r="V61" i="8"/>
  <c r="W61" i="8"/>
  <c r="Y61" i="8" s="1"/>
  <c r="X61" i="8"/>
  <c r="V62" i="8"/>
  <c r="W62" i="8"/>
  <c r="Y62" i="8" s="1"/>
  <c r="X62" i="8"/>
  <c r="V63" i="8"/>
  <c r="W63" i="8"/>
  <c r="Y63" i="8" s="1"/>
  <c r="X63" i="8"/>
  <c r="V64" i="8"/>
  <c r="W64" i="8"/>
  <c r="Y64" i="8" s="1"/>
  <c r="X64" i="8"/>
  <c r="V65" i="8"/>
  <c r="W65" i="8"/>
  <c r="Y65" i="8" s="1"/>
  <c r="X65" i="8"/>
  <c r="V66" i="8"/>
  <c r="W66" i="8"/>
  <c r="Y66" i="8" s="1"/>
  <c r="X66" i="8"/>
  <c r="V67" i="8"/>
  <c r="W67" i="8"/>
  <c r="Y67" i="8" s="1"/>
  <c r="X67" i="8"/>
  <c r="V68" i="8"/>
  <c r="W68" i="8"/>
  <c r="Y68" i="8" s="1"/>
  <c r="X68" i="8"/>
  <c r="V69" i="8"/>
  <c r="W69" i="8"/>
  <c r="Y69" i="8" s="1"/>
  <c r="X69" i="8"/>
  <c r="V70" i="8"/>
  <c r="W70" i="8"/>
  <c r="Y70" i="8" s="1"/>
  <c r="X70" i="8"/>
  <c r="V71" i="8"/>
  <c r="W71" i="8"/>
  <c r="Y71" i="8" s="1"/>
  <c r="X71" i="8"/>
  <c r="V72" i="8"/>
  <c r="W72" i="8"/>
  <c r="Y72" i="8" s="1"/>
  <c r="X72" i="8"/>
  <c r="V73" i="8"/>
  <c r="W73" i="8"/>
  <c r="Y73" i="8" s="1"/>
  <c r="X73" i="8"/>
  <c r="V74" i="8"/>
  <c r="W74" i="8"/>
  <c r="Y74" i="8" s="1"/>
  <c r="X74" i="8"/>
  <c r="V75" i="8"/>
  <c r="W75" i="8"/>
  <c r="Y75" i="8" s="1"/>
  <c r="X75" i="8"/>
  <c r="V76" i="8"/>
  <c r="W76" i="8"/>
  <c r="Y76" i="8" s="1"/>
  <c r="X76" i="8"/>
  <c r="V77" i="8"/>
  <c r="W77" i="8"/>
  <c r="Y77" i="8" s="1"/>
  <c r="X77" i="8"/>
  <c r="V78" i="8"/>
  <c r="W78" i="8"/>
  <c r="Y78" i="8" s="1"/>
  <c r="X78" i="8"/>
  <c r="V79" i="8"/>
  <c r="W79" i="8"/>
  <c r="Y79" i="8" s="1"/>
  <c r="X79" i="8"/>
  <c r="V80" i="8"/>
  <c r="W80" i="8"/>
  <c r="Y80" i="8" s="1"/>
  <c r="X80" i="8"/>
  <c r="V81" i="8"/>
  <c r="W81" i="8"/>
  <c r="Y81" i="8" s="1"/>
  <c r="X81" i="8"/>
  <c r="V82" i="8"/>
  <c r="W82" i="8"/>
  <c r="Y82" i="8" s="1"/>
  <c r="X82" i="8"/>
  <c r="V83" i="8"/>
  <c r="W83" i="8"/>
  <c r="Y83" i="8" s="1"/>
  <c r="X83" i="8"/>
  <c r="V84" i="8"/>
  <c r="W84" i="8"/>
  <c r="Y84" i="8" s="1"/>
  <c r="X84" i="8"/>
  <c r="V85" i="8"/>
  <c r="W85" i="8"/>
  <c r="Y85" i="8" s="1"/>
  <c r="X85" i="8"/>
  <c r="V86" i="8"/>
  <c r="W86" i="8"/>
  <c r="Y86" i="8" s="1"/>
  <c r="X86" i="8"/>
  <c r="V87" i="8"/>
  <c r="W87" i="8"/>
  <c r="Y87" i="8" s="1"/>
  <c r="X87" i="8"/>
  <c r="V88" i="8"/>
  <c r="W88" i="8"/>
  <c r="Y88" i="8" s="1"/>
  <c r="X88" i="8"/>
  <c r="V89" i="8"/>
  <c r="W89" i="8"/>
  <c r="Y89" i="8" s="1"/>
  <c r="X89" i="8"/>
  <c r="V90" i="8"/>
  <c r="W90" i="8"/>
  <c r="Y90" i="8" s="1"/>
  <c r="X90" i="8"/>
  <c r="V91" i="8"/>
  <c r="W91" i="8"/>
  <c r="Y91" i="8" s="1"/>
  <c r="X91" i="8"/>
  <c r="V92" i="8"/>
  <c r="W92" i="8"/>
  <c r="Y92" i="8" s="1"/>
  <c r="X92" i="8"/>
  <c r="V93" i="8"/>
  <c r="W93" i="8"/>
  <c r="Y93" i="8" s="1"/>
  <c r="X93" i="8"/>
  <c r="V94" i="8"/>
  <c r="W94" i="8"/>
  <c r="Y94" i="8" s="1"/>
  <c r="X94" i="8"/>
  <c r="V95" i="8"/>
  <c r="W95" i="8"/>
  <c r="Y95" i="8" s="1"/>
  <c r="X95" i="8"/>
  <c r="V96" i="8"/>
  <c r="W96" i="8"/>
  <c r="Y96" i="8" s="1"/>
  <c r="X96" i="8"/>
  <c r="V97" i="8"/>
  <c r="W97" i="8"/>
  <c r="Y97" i="8" s="1"/>
  <c r="X97" i="8"/>
  <c r="V98" i="8"/>
  <c r="W98" i="8"/>
  <c r="Y98" i="8" s="1"/>
  <c r="X98" i="8"/>
  <c r="V99" i="8"/>
  <c r="W99" i="8"/>
  <c r="Y99" i="8" s="1"/>
  <c r="X99" i="8"/>
  <c r="V100" i="8"/>
  <c r="W100" i="8"/>
  <c r="Y100" i="8" s="1"/>
  <c r="X100" i="8"/>
  <c r="V101" i="8"/>
  <c r="W101" i="8"/>
  <c r="Y101" i="8" s="1"/>
  <c r="X101" i="8"/>
  <c r="V102" i="8"/>
  <c r="W102" i="8"/>
  <c r="Y102" i="8" s="1"/>
  <c r="X102" i="8"/>
  <c r="V103" i="8"/>
  <c r="W103" i="8"/>
  <c r="Y103" i="8" s="1"/>
  <c r="X103" i="8"/>
  <c r="V104" i="8"/>
  <c r="W104" i="8"/>
  <c r="Y104" i="8" s="1"/>
  <c r="X104" i="8"/>
  <c r="V105" i="8"/>
  <c r="W105" i="8"/>
  <c r="Y105" i="8" s="1"/>
  <c r="X105" i="8"/>
  <c r="V106" i="8"/>
  <c r="W106" i="8"/>
  <c r="Y106" i="8" s="1"/>
  <c r="X106" i="8"/>
  <c r="V107" i="8"/>
  <c r="W107" i="8"/>
  <c r="Y107" i="8" s="1"/>
  <c r="X107" i="8"/>
  <c r="V108" i="8"/>
  <c r="W108" i="8"/>
  <c r="Y108" i="8" s="1"/>
  <c r="X108" i="8"/>
  <c r="V109" i="8"/>
  <c r="W109" i="8"/>
  <c r="Y109" i="8" s="1"/>
  <c r="X109" i="8"/>
  <c r="V110" i="8"/>
  <c r="W110" i="8"/>
  <c r="Y110" i="8" s="1"/>
  <c r="X110" i="8"/>
  <c r="V111" i="8"/>
  <c r="W111" i="8"/>
  <c r="Y111" i="8" s="1"/>
  <c r="X111" i="8"/>
  <c r="V112" i="8"/>
  <c r="W112" i="8"/>
  <c r="Y112" i="8" s="1"/>
  <c r="X112" i="8"/>
  <c r="V113" i="8"/>
  <c r="W113" i="8"/>
  <c r="Y113" i="8" s="1"/>
  <c r="X113" i="8"/>
  <c r="V114" i="8"/>
  <c r="W114" i="8"/>
  <c r="Y114" i="8" s="1"/>
  <c r="X114" i="8"/>
  <c r="V115" i="8"/>
  <c r="W115" i="8"/>
  <c r="Y115" i="8" s="1"/>
  <c r="X115" i="8"/>
  <c r="V116" i="8"/>
  <c r="W116" i="8"/>
  <c r="Y116" i="8" s="1"/>
  <c r="X116" i="8"/>
  <c r="V117" i="8"/>
  <c r="W117" i="8"/>
  <c r="Y117" i="8" s="1"/>
  <c r="X117" i="8"/>
  <c r="V118" i="8"/>
  <c r="W118" i="8"/>
  <c r="Y118" i="8" s="1"/>
  <c r="X118" i="8"/>
  <c r="V119" i="8"/>
  <c r="W119" i="8"/>
  <c r="Y119" i="8" s="1"/>
  <c r="X119" i="8"/>
  <c r="V120" i="8"/>
  <c r="W120" i="8"/>
  <c r="Y120" i="8" s="1"/>
  <c r="X120" i="8"/>
  <c r="V121" i="8"/>
  <c r="W121" i="8"/>
  <c r="Y121" i="8" s="1"/>
  <c r="X121" i="8"/>
  <c r="V122" i="8"/>
  <c r="W122" i="8"/>
  <c r="Y122" i="8" s="1"/>
  <c r="X122" i="8"/>
  <c r="V123" i="8"/>
  <c r="W123" i="8"/>
  <c r="Y123" i="8" s="1"/>
  <c r="X123" i="8"/>
  <c r="V124" i="8"/>
  <c r="W124" i="8"/>
  <c r="Y124" i="8" s="1"/>
  <c r="X124" i="8"/>
  <c r="V125" i="8"/>
  <c r="W125" i="8"/>
  <c r="Y125" i="8" s="1"/>
  <c r="X125" i="8"/>
  <c r="V126" i="8"/>
  <c r="W126" i="8"/>
  <c r="Y126" i="8" s="1"/>
  <c r="X126" i="8"/>
  <c r="V127" i="8"/>
  <c r="W127" i="8"/>
  <c r="Y127" i="8" s="1"/>
  <c r="X127" i="8"/>
  <c r="V128" i="8"/>
  <c r="W128" i="8"/>
  <c r="Y128" i="8" s="1"/>
  <c r="X128" i="8"/>
  <c r="V129" i="8"/>
  <c r="W129" i="8"/>
  <c r="Y129" i="8" s="1"/>
  <c r="X129" i="8"/>
  <c r="V130" i="8"/>
  <c r="W130" i="8"/>
  <c r="Y130" i="8" s="1"/>
  <c r="X130" i="8"/>
  <c r="V131" i="8"/>
  <c r="W131" i="8"/>
  <c r="Y131" i="8" s="1"/>
  <c r="X131" i="8"/>
  <c r="V132" i="8"/>
  <c r="W132" i="8"/>
  <c r="Y132" i="8" s="1"/>
  <c r="X132" i="8"/>
  <c r="V133" i="8"/>
  <c r="W133" i="8"/>
  <c r="Y133" i="8" s="1"/>
  <c r="X133" i="8"/>
  <c r="V134" i="8"/>
  <c r="W134" i="8"/>
  <c r="Y134" i="8" s="1"/>
  <c r="X134" i="8"/>
  <c r="V135" i="8"/>
  <c r="W135" i="8"/>
  <c r="Y135" i="8" s="1"/>
  <c r="X135" i="8"/>
  <c r="V136" i="8"/>
  <c r="W136" i="8"/>
  <c r="Y136" i="8" s="1"/>
  <c r="X136" i="8"/>
  <c r="V137" i="8"/>
  <c r="W137" i="8"/>
  <c r="Y137" i="8" s="1"/>
  <c r="X137" i="8"/>
  <c r="V138" i="8"/>
  <c r="W138" i="8"/>
  <c r="Y138" i="8" s="1"/>
  <c r="X138" i="8"/>
  <c r="V139" i="8"/>
  <c r="W139" i="8"/>
  <c r="Y139" i="8" s="1"/>
  <c r="X139" i="8"/>
  <c r="V140" i="8"/>
  <c r="W140" i="8"/>
  <c r="Y140" i="8" s="1"/>
  <c r="X140" i="8"/>
  <c r="V141" i="8"/>
  <c r="W141" i="8"/>
  <c r="Y141" i="8" s="1"/>
  <c r="X141" i="8"/>
  <c r="V142" i="8"/>
  <c r="W142" i="8"/>
  <c r="Y142" i="8" s="1"/>
  <c r="X142" i="8"/>
  <c r="V143" i="8"/>
  <c r="W143" i="8"/>
  <c r="Y143" i="8" s="1"/>
  <c r="X143" i="8"/>
  <c r="V144" i="8"/>
  <c r="W144" i="8"/>
  <c r="Y144" i="8" s="1"/>
  <c r="X144" i="8"/>
  <c r="V145" i="8"/>
  <c r="W145" i="8"/>
  <c r="Y145" i="8" s="1"/>
  <c r="X145" i="8"/>
  <c r="V146" i="8"/>
  <c r="W146" i="8"/>
  <c r="Y146" i="8" s="1"/>
  <c r="X146" i="8"/>
  <c r="V147" i="8"/>
  <c r="W147" i="8"/>
  <c r="Y147" i="8" s="1"/>
  <c r="X147" i="8"/>
  <c r="V148" i="8"/>
  <c r="W148" i="8"/>
  <c r="Y148" i="8" s="1"/>
  <c r="X148" i="8"/>
  <c r="V149" i="8"/>
  <c r="W149" i="8"/>
  <c r="Y149" i="8" s="1"/>
  <c r="X149" i="8"/>
  <c r="V150" i="8"/>
  <c r="W150" i="8"/>
  <c r="Y150" i="8" s="1"/>
  <c r="X150" i="8"/>
  <c r="V151" i="8"/>
  <c r="W151" i="8"/>
  <c r="Y151" i="8" s="1"/>
  <c r="X151" i="8"/>
  <c r="V152" i="8"/>
  <c r="W152" i="8"/>
  <c r="Y152" i="8" s="1"/>
  <c r="X152" i="8"/>
  <c r="V153" i="8"/>
  <c r="W153" i="8"/>
  <c r="Y153" i="8" s="1"/>
  <c r="X153" i="8"/>
  <c r="V154" i="8"/>
  <c r="W154" i="8"/>
  <c r="Y154" i="8" s="1"/>
  <c r="X154" i="8"/>
  <c r="V155" i="8"/>
  <c r="W155" i="8"/>
  <c r="Y155" i="8" s="1"/>
  <c r="X155" i="8"/>
  <c r="V156" i="8"/>
  <c r="W156" i="8"/>
  <c r="Y156" i="8" s="1"/>
  <c r="X156" i="8"/>
  <c r="V157" i="8"/>
  <c r="W157" i="8"/>
  <c r="Y157" i="8" s="1"/>
  <c r="X157" i="8"/>
  <c r="V158" i="8"/>
  <c r="W158" i="8"/>
  <c r="Y158" i="8" s="1"/>
  <c r="X158" i="8"/>
  <c r="V159" i="8"/>
  <c r="W159" i="8"/>
  <c r="Y159" i="8" s="1"/>
  <c r="X159" i="8"/>
  <c r="V160" i="8"/>
  <c r="W160" i="8"/>
  <c r="Y160" i="8" s="1"/>
  <c r="X160" i="8"/>
  <c r="V161" i="8"/>
  <c r="W161" i="8"/>
  <c r="Y161" i="8" s="1"/>
  <c r="X161" i="8"/>
  <c r="V162" i="8"/>
  <c r="W162" i="8"/>
  <c r="Y162" i="8" s="1"/>
  <c r="X162" i="8"/>
  <c r="V163" i="8"/>
  <c r="W163" i="8"/>
  <c r="Y163" i="8" s="1"/>
  <c r="X163" i="8"/>
  <c r="V164" i="8"/>
  <c r="W164" i="8"/>
  <c r="Y164" i="8" s="1"/>
  <c r="X164" i="8"/>
  <c r="V165" i="8"/>
  <c r="W165" i="8"/>
  <c r="Y165" i="8" s="1"/>
  <c r="X165" i="8"/>
  <c r="V166" i="8"/>
  <c r="W166" i="8"/>
  <c r="Y166" i="8" s="1"/>
  <c r="X166" i="8"/>
  <c r="V167" i="8"/>
  <c r="W167" i="8"/>
  <c r="Y167" i="8" s="1"/>
  <c r="X167" i="8"/>
  <c r="V168" i="8"/>
  <c r="W168" i="8"/>
  <c r="Y168" i="8" s="1"/>
  <c r="X168" i="8"/>
  <c r="V169" i="8"/>
  <c r="W169" i="8"/>
  <c r="Y169" i="8" s="1"/>
  <c r="X169" i="8"/>
  <c r="V170" i="8"/>
  <c r="W170" i="8"/>
  <c r="Y170" i="8" s="1"/>
  <c r="X170" i="8"/>
  <c r="V171" i="8"/>
  <c r="W171" i="8"/>
  <c r="Y171" i="8" s="1"/>
  <c r="X171" i="8"/>
  <c r="V172" i="8"/>
  <c r="W172" i="8"/>
  <c r="Y172" i="8" s="1"/>
  <c r="X172" i="8"/>
  <c r="V173" i="8"/>
  <c r="W173" i="8"/>
  <c r="Y173" i="8" s="1"/>
  <c r="X173" i="8"/>
  <c r="V174" i="8"/>
  <c r="W174" i="8"/>
  <c r="Y174" i="8" s="1"/>
  <c r="X174" i="8"/>
  <c r="V175" i="8"/>
  <c r="W175" i="8"/>
  <c r="Y175" i="8" s="1"/>
  <c r="X175" i="8"/>
  <c r="V176" i="8"/>
  <c r="W176" i="8"/>
  <c r="Y176" i="8" s="1"/>
  <c r="X176" i="8"/>
  <c r="V177" i="8"/>
  <c r="W177" i="8"/>
  <c r="Y177" i="8" s="1"/>
  <c r="X177" i="8"/>
  <c r="V178" i="8"/>
  <c r="W178" i="8"/>
  <c r="Y178" i="8" s="1"/>
  <c r="X178" i="8"/>
  <c r="V179" i="8"/>
  <c r="W179" i="8"/>
  <c r="Y179" i="8" s="1"/>
  <c r="X179" i="8"/>
  <c r="V180" i="8"/>
  <c r="W180" i="8"/>
  <c r="Y180" i="8" s="1"/>
  <c r="X180" i="8"/>
  <c r="V181" i="8"/>
  <c r="W181" i="8"/>
  <c r="Y181" i="8" s="1"/>
  <c r="X181" i="8"/>
  <c r="V182" i="8"/>
  <c r="W182" i="8"/>
  <c r="Y182" i="8" s="1"/>
  <c r="X182" i="8"/>
  <c r="V183" i="8"/>
  <c r="W183" i="8"/>
  <c r="Y183" i="8" s="1"/>
  <c r="X183" i="8"/>
  <c r="V184" i="8"/>
  <c r="W184" i="8"/>
  <c r="Y184" i="8" s="1"/>
  <c r="X184" i="8"/>
  <c r="V185" i="8"/>
  <c r="W185" i="8"/>
  <c r="Y185" i="8" s="1"/>
  <c r="X185" i="8"/>
  <c r="V186" i="8"/>
  <c r="W186" i="8"/>
  <c r="Y186" i="8" s="1"/>
  <c r="X186" i="8"/>
  <c r="V187" i="8"/>
  <c r="W187" i="8"/>
  <c r="Y187" i="8" s="1"/>
  <c r="X187" i="8"/>
  <c r="V188" i="8"/>
  <c r="W188" i="8"/>
  <c r="Y188" i="8" s="1"/>
  <c r="X188" i="8"/>
  <c r="V189" i="8"/>
  <c r="W189" i="8"/>
  <c r="Y189" i="8" s="1"/>
  <c r="X189" i="8"/>
  <c r="V190" i="8"/>
  <c r="W190" i="8"/>
  <c r="Y190" i="8" s="1"/>
  <c r="X190" i="8"/>
  <c r="V191" i="8"/>
  <c r="W191" i="8"/>
  <c r="Y191" i="8" s="1"/>
  <c r="X191" i="8"/>
  <c r="V192" i="8"/>
  <c r="W192" i="8"/>
  <c r="Y192" i="8" s="1"/>
  <c r="X192" i="8"/>
  <c r="V193" i="8"/>
  <c r="W193" i="8"/>
  <c r="Y193" i="8" s="1"/>
  <c r="X193" i="8"/>
  <c r="V194" i="8"/>
  <c r="W194" i="8"/>
  <c r="Y194" i="8" s="1"/>
  <c r="X194" i="8"/>
  <c r="V195" i="8"/>
  <c r="W195" i="8"/>
  <c r="Y195" i="8" s="1"/>
  <c r="X195" i="8"/>
  <c r="V196" i="8"/>
  <c r="W196" i="8"/>
  <c r="Y196" i="8" s="1"/>
  <c r="X196" i="8"/>
  <c r="V197" i="8"/>
  <c r="W197" i="8"/>
  <c r="Y197" i="8" s="1"/>
  <c r="X197" i="8"/>
  <c r="V198" i="8"/>
  <c r="W198" i="8"/>
  <c r="Y198" i="8" s="1"/>
  <c r="X198" i="8"/>
  <c r="V199" i="8"/>
  <c r="W199" i="8"/>
  <c r="Y199" i="8" s="1"/>
  <c r="X199" i="8"/>
  <c r="V200" i="8"/>
  <c r="W200" i="8"/>
  <c r="Y200" i="8" s="1"/>
  <c r="X200" i="8"/>
  <c r="V201" i="8"/>
  <c r="W201" i="8"/>
  <c r="Y201" i="8" s="1"/>
  <c r="X201" i="8"/>
  <c r="V202" i="8"/>
  <c r="W202" i="8"/>
  <c r="Y202" i="8" s="1"/>
  <c r="X202" i="8"/>
  <c r="V203" i="8"/>
  <c r="W203" i="8"/>
  <c r="Y203" i="8" s="1"/>
  <c r="X203" i="8"/>
  <c r="V204" i="8"/>
  <c r="W204" i="8"/>
  <c r="Y204" i="8" s="1"/>
  <c r="X204" i="8"/>
  <c r="V205" i="8"/>
  <c r="W205" i="8"/>
  <c r="Y205" i="8" s="1"/>
  <c r="X205" i="8"/>
  <c r="V206" i="8"/>
  <c r="W206" i="8"/>
  <c r="Y206" i="8" s="1"/>
  <c r="X206" i="8"/>
  <c r="V207" i="8"/>
  <c r="W207" i="8"/>
  <c r="Y207" i="8" s="1"/>
  <c r="X207" i="8"/>
  <c r="V208" i="8"/>
  <c r="W208" i="8"/>
  <c r="Y208" i="8" s="1"/>
  <c r="X208" i="8"/>
  <c r="V209" i="8"/>
  <c r="W209" i="8"/>
  <c r="Y209" i="8" s="1"/>
  <c r="X209" i="8"/>
  <c r="V210" i="8"/>
  <c r="W210" i="8"/>
  <c r="Y210" i="8" s="1"/>
  <c r="X210" i="8"/>
  <c r="V211" i="8"/>
  <c r="W211" i="8"/>
  <c r="Y211" i="8" s="1"/>
  <c r="X211" i="8"/>
  <c r="V212" i="8"/>
  <c r="W212" i="8"/>
  <c r="Y212" i="8" s="1"/>
  <c r="X212" i="8"/>
  <c r="V213" i="8"/>
  <c r="W213" i="8"/>
  <c r="Y213" i="8" s="1"/>
  <c r="X213" i="8"/>
  <c r="V214" i="8"/>
  <c r="W214" i="8"/>
  <c r="Y214" i="8" s="1"/>
  <c r="X214" i="8"/>
  <c r="V215" i="8"/>
  <c r="W215" i="8"/>
  <c r="Y215" i="8" s="1"/>
  <c r="X215" i="8"/>
  <c r="V216" i="8"/>
  <c r="W216" i="8"/>
  <c r="Y216" i="8" s="1"/>
  <c r="X216" i="8"/>
  <c r="V217" i="8"/>
  <c r="W217" i="8"/>
  <c r="Y217" i="8" s="1"/>
  <c r="X217" i="8"/>
  <c r="V218" i="8"/>
  <c r="W218" i="8"/>
  <c r="Y218" i="8" s="1"/>
  <c r="X218" i="8"/>
  <c r="V219" i="8"/>
  <c r="W219" i="8"/>
  <c r="Y219" i="8" s="1"/>
  <c r="X219" i="8"/>
  <c r="V220" i="8"/>
  <c r="W220" i="8"/>
  <c r="Y220" i="8" s="1"/>
  <c r="X220" i="8"/>
  <c r="V221" i="8"/>
  <c r="W221" i="8"/>
  <c r="Y221" i="8" s="1"/>
  <c r="X221" i="8"/>
  <c r="V222" i="8"/>
  <c r="W222" i="8"/>
  <c r="Y222" i="8" s="1"/>
  <c r="X222" i="8"/>
  <c r="V223" i="8"/>
  <c r="W223" i="8"/>
  <c r="Y223" i="8" s="1"/>
  <c r="X223" i="8"/>
  <c r="V224" i="8"/>
  <c r="W224" i="8"/>
  <c r="Y224" i="8" s="1"/>
  <c r="X224" i="8"/>
  <c r="V225" i="8"/>
  <c r="W225" i="8"/>
  <c r="Y225" i="8" s="1"/>
  <c r="X225" i="8"/>
  <c r="V226" i="8"/>
  <c r="W226" i="8"/>
  <c r="Y226" i="8" s="1"/>
  <c r="X226" i="8"/>
  <c r="V227" i="8"/>
  <c r="W227" i="8"/>
  <c r="Y227" i="8" s="1"/>
  <c r="X227" i="8"/>
  <c r="V228" i="8"/>
  <c r="W228" i="8"/>
  <c r="Y228" i="8" s="1"/>
  <c r="X228" i="8"/>
  <c r="V229" i="8"/>
  <c r="W229" i="8"/>
  <c r="Y229" i="8" s="1"/>
  <c r="X229" i="8"/>
  <c r="V230" i="8"/>
  <c r="W230" i="8"/>
  <c r="Y230" i="8" s="1"/>
  <c r="X230" i="8"/>
  <c r="V231" i="8"/>
  <c r="W231" i="8"/>
  <c r="Y231" i="8" s="1"/>
  <c r="X231" i="8"/>
  <c r="V232" i="8"/>
  <c r="W232" i="8"/>
  <c r="Y232" i="8" s="1"/>
  <c r="X232" i="8"/>
  <c r="V233" i="8"/>
  <c r="W233" i="8"/>
  <c r="Y233" i="8" s="1"/>
  <c r="X233" i="8"/>
  <c r="V234" i="8"/>
  <c r="W234" i="8"/>
  <c r="Y234" i="8" s="1"/>
  <c r="X234" i="8"/>
  <c r="V235" i="8"/>
  <c r="W235" i="8"/>
  <c r="Y235" i="8" s="1"/>
  <c r="X235" i="8"/>
  <c r="V236" i="8"/>
  <c r="W236" i="8"/>
  <c r="Y236" i="8" s="1"/>
  <c r="X236" i="8"/>
  <c r="V237" i="8"/>
  <c r="W237" i="8"/>
  <c r="Y237" i="8" s="1"/>
  <c r="X237" i="8"/>
  <c r="V238" i="8"/>
  <c r="W238" i="8"/>
  <c r="Y238" i="8" s="1"/>
  <c r="X238" i="8"/>
  <c r="V239" i="8"/>
  <c r="W239" i="8"/>
  <c r="Y239" i="8" s="1"/>
  <c r="X239" i="8"/>
  <c r="V240" i="8"/>
  <c r="W240" i="8"/>
  <c r="Y240" i="8" s="1"/>
  <c r="X240" i="8"/>
  <c r="V241" i="8"/>
  <c r="W241" i="8"/>
  <c r="Y241" i="8" s="1"/>
  <c r="X241" i="8"/>
  <c r="V242" i="8"/>
  <c r="W242" i="8"/>
  <c r="Y242" i="8" s="1"/>
  <c r="X242" i="8"/>
  <c r="V243" i="8"/>
  <c r="W243" i="8"/>
  <c r="Y243" i="8" s="1"/>
  <c r="X243" i="8"/>
  <c r="V244" i="8"/>
  <c r="W244" i="8"/>
  <c r="Y244" i="8" s="1"/>
  <c r="X244" i="8"/>
  <c r="V245" i="8"/>
  <c r="W245" i="8"/>
  <c r="Y245" i="8" s="1"/>
  <c r="X245" i="8"/>
  <c r="V246" i="8"/>
  <c r="W246" i="8"/>
  <c r="Y246" i="8" s="1"/>
  <c r="X246" i="8"/>
  <c r="V247" i="8"/>
  <c r="W247" i="8"/>
  <c r="Y247" i="8" s="1"/>
  <c r="X247" i="8"/>
  <c r="V248" i="8"/>
  <c r="W248" i="8"/>
  <c r="Y248" i="8" s="1"/>
  <c r="X248" i="8"/>
  <c r="V249" i="8"/>
  <c r="W249" i="8"/>
  <c r="Y249" i="8" s="1"/>
  <c r="X249" i="8"/>
  <c r="V250" i="8"/>
  <c r="W250" i="8"/>
  <c r="Y250" i="8" s="1"/>
  <c r="X250" i="8"/>
  <c r="V251" i="8"/>
  <c r="W251" i="8"/>
  <c r="Y251" i="8" s="1"/>
  <c r="X251" i="8"/>
  <c r="V252" i="8"/>
  <c r="W252" i="8"/>
  <c r="Y252" i="8" s="1"/>
  <c r="X252" i="8"/>
  <c r="V253" i="8"/>
  <c r="W253" i="8"/>
  <c r="Y253" i="8" s="1"/>
  <c r="X253" i="8"/>
  <c r="V254" i="8"/>
  <c r="W254" i="8"/>
  <c r="Y254" i="8" s="1"/>
  <c r="X254" i="8"/>
  <c r="V255" i="8"/>
  <c r="W255" i="8"/>
  <c r="Y255" i="8" s="1"/>
  <c r="X255" i="8"/>
  <c r="V256" i="8"/>
  <c r="W256" i="8"/>
  <c r="Y256" i="8" s="1"/>
  <c r="X256" i="8"/>
  <c r="V257" i="8"/>
  <c r="W257" i="8"/>
  <c r="Y257" i="8" s="1"/>
  <c r="X257" i="8"/>
  <c r="V258" i="8"/>
  <c r="W258" i="8"/>
  <c r="Y258" i="8" s="1"/>
  <c r="X258" i="8"/>
  <c r="V259" i="8"/>
  <c r="W259" i="8"/>
  <c r="Y259" i="8" s="1"/>
  <c r="X259" i="8"/>
  <c r="V260" i="8"/>
  <c r="W260" i="8"/>
  <c r="Y260" i="8" s="1"/>
  <c r="X260" i="8"/>
  <c r="V261" i="8"/>
  <c r="W261" i="8"/>
  <c r="Y261" i="8" s="1"/>
  <c r="X261" i="8"/>
  <c r="V262" i="8"/>
  <c r="W262" i="8"/>
  <c r="Y262" i="8" s="1"/>
  <c r="X262" i="8"/>
  <c r="V263" i="8"/>
  <c r="W263" i="8"/>
  <c r="Y263" i="8" s="1"/>
  <c r="X263" i="8"/>
  <c r="V264" i="8"/>
  <c r="W264" i="8"/>
  <c r="Y264" i="8" s="1"/>
  <c r="X264" i="8"/>
  <c r="V265" i="8"/>
  <c r="W265" i="8"/>
  <c r="Y265" i="8" s="1"/>
  <c r="X265" i="8"/>
  <c r="V266" i="8"/>
  <c r="W266" i="8"/>
  <c r="Y266" i="8" s="1"/>
  <c r="X266" i="8"/>
  <c r="V267" i="8"/>
  <c r="W267" i="8"/>
  <c r="Y267" i="8" s="1"/>
  <c r="X267" i="8"/>
  <c r="V268" i="8"/>
  <c r="W268" i="8"/>
  <c r="Y268" i="8" s="1"/>
  <c r="X268" i="8"/>
  <c r="V269" i="8"/>
  <c r="W269" i="8"/>
  <c r="Y269" i="8" s="1"/>
  <c r="X269" i="8"/>
  <c r="V270" i="8"/>
  <c r="W270" i="8"/>
  <c r="Y270" i="8" s="1"/>
  <c r="X270" i="8"/>
  <c r="V271" i="8"/>
  <c r="W271" i="8"/>
  <c r="Y271" i="8" s="1"/>
  <c r="X271" i="8"/>
  <c r="V272" i="8"/>
  <c r="W272" i="8"/>
  <c r="Y272" i="8" s="1"/>
  <c r="X272" i="8"/>
  <c r="V273" i="8"/>
  <c r="W273" i="8"/>
  <c r="Y273" i="8" s="1"/>
  <c r="X273" i="8"/>
  <c r="V274" i="8"/>
  <c r="W274" i="8"/>
  <c r="Y274" i="8" s="1"/>
  <c r="X274" i="8"/>
  <c r="V275" i="8"/>
  <c r="W275" i="8"/>
  <c r="Y275" i="8" s="1"/>
  <c r="X275" i="8"/>
  <c r="V276" i="8"/>
  <c r="W276" i="8"/>
  <c r="Y276" i="8" s="1"/>
  <c r="X276" i="8"/>
  <c r="V277" i="8"/>
  <c r="W277" i="8"/>
  <c r="Y277" i="8" s="1"/>
  <c r="X277" i="8"/>
  <c r="V278" i="8"/>
  <c r="W278" i="8"/>
  <c r="Y278" i="8" s="1"/>
  <c r="X278" i="8"/>
  <c r="V279" i="8"/>
  <c r="W279" i="8"/>
  <c r="Y279" i="8" s="1"/>
  <c r="X279" i="8"/>
  <c r="V280" i="8"/>
  <c r="W280" i="8"/>
  <c r="Y280" i="8" s="1"/>
  <c r="X280" i="8"/>
  <c r="V281" i="8"/>
  <c r="W281" i="8"/>
  <c r="Y281" i="8" s="1"/>
  <c r="X281" i="8"/>
  <c r="V282" i="8"/>
  <c r="W282" i="8"/>
  <c r="Y282" i="8" s="1"/>
  <c r="X282" i="8"/>
  <c r="V283" i="8"/>
  <c r="W283" i="8"/>
  <c r="Y283" i="8" s="1"/>
  <c r="X283" i="8"/>
  <c r="V284" i="8"/>
  <c r="W284" i="8"/>
  <c r="Y284" i="8" s="1"/>
  <c r="X284" i="8"/>
  <c r="V285" i="8"/>
  <c r="W285" i="8"/>
  <c r="Y285" i="8" s="1"/>
  <c r="X285" i="8"/>
  <c r="V286" i="8"/>
  <c r="W286" i="8"/>
  <c r="Y286" i="8" s="1"/>
  <c r="X286" i="8"/>
  <c r="V287" i="8"/>
  <c r="W287" i="8"/>
  <c r="Y287" i="8" s="1"/>
  <c r="X287" i="8"/>
  <c r="V288" i="8"/>
  <c r="W288" i="8"/>
  <c r="Y288" i="8" s="1"/>
  <c r="X288" i="8"/>
  <c r="V289" i="8"/>
  <c r="W289" i="8"/>
  <c r="Y289" i="8" s="1"/>
  <c r="X289" i="8"/>
  <c r="V290" i="8"/>
  <c r="W290" i="8"/>
  <c r="Y290" i="8" s="1"/>
  <c r="X290" i="8"/>
  <c r="V291" i="8"/>
  <c r="W291" i="8"/>
  <c r="Y291" i="8" s="1"/>
  <c r="X291" i="8"/>
  <c r="V292" i="8"/>
  <c r="W292" i="8"/>
  <c r="Y292" i="8" s="1"/>
  <c r="X292" i="8"/>
  <c r="V293" i="8"/>
  <c r="W293" i="8"/>
  <c r="Y293" i="8" s="1"/>
  <c r="X293" i="8"/>
  <c r="V294" i="8"/>
  <c r="W294" i="8"/>
  <c r="Y294" i="8" s="1"/>
  <c r="X294" i="8"/>
  <c r="V295" i="8"/>
  <c r="W295" i="8"/>
  <c r="Y295" i="8" s="1"/>
  <c r="X295" i="8"/>
  <c r="V296" i="8"/>
  <c r="W296" i="8"/>
  <c r="Y296" i="8" s="1"/>
  <c r="X296" i="8"/>
  <c r="V297" i="8"/>
  <c r="W297" i="8"/>
  <c r="Y297" i="8" s="1"/>
  <c r="X297" i="8"/>
  <c r="V298" i="8"/>
  <c r="W298" i="8"/>
  <c r="Y298" i="8" s="1"/>
  <c r="X298" i="8"/>
  <c r="V299" i="8"/>
  <c r="W299" i="8"/>
  <c r="Y299" i="8" s="1"/>
  <c r="X299" i="8"/>
  <c r="V300" i="8"/>
  <c r="W300" i="8"/>
  <c r="Y300" i="8" s="1"/>
  <c r="X300" i="8"/>
  <c r="V301" i="8"/>
  <c r="W301" i="8"/>
  <c r="Y301" i="8" s="1"/>
  <c r="X301" i="8"/>
  <c r="V302" i="8"/>
  <c r="W302" i="8"/>
  <c r="Y302" i="8" s="1"/>
  <c r="X302" i="8"/>
  <c r="V303" i="8"/>
  <c r="W303" i="8"/>
  <c r="Y303" i="8" s="1"/>
  <c r="X303" i="8"/>
  <c r="V304" i="8"/>
  <c r="W304" i="8"/>
  <c r="Y304" i="8" s="1"/>
  <c r="X304" i="8"/>
  <c r="V305" i="8"/>
  <c r="W305" i="8"/>
  <c r="Y305" i="8" s="1"/>
  <c r="X305" i="8"/>
  <c r="V306" i="8"/>
  <c r="W306" i="8"/>
  <c r="Y306" i="8" s="1"/>
  <c r="X306" i="8"/>
  <c r="V307" i="8"/>
  <c r="W307" i="8"/>
  <c r="Y307" i="8" s="1"/>
  <c r="X307" i="8"/>
  <c r="V308" i="8"/>
  <c r="W308" i="8"/>
  <c r="Y308" i="8" s="1"/>
  <c r="X308" i="8"/>
  <c r="V309" i="8"/>
  <c r="W309" i="8"/>
  <c r="Y309" i="8" s="1"/>
  <c r="X309" i="8"/>
  <c r="V310" i="8"/>
  <c r="W310" i="8"/>
  <c r="Y310" i="8" s="1"/>
  <c r="X310" i="8"/>
  <c r="V311" i="8"/>
  <c r="W311" i="8"/>
  <c r="Y311" i="8" s="1"/>
  <c r="X311" i="8"/>
  <c r="V312" i="8"/>
  <c r="W312" i="8"/>
  <c r="Y312" i="8" s="1"/>
  <c r="X312" i="8"/>
  <c r="V313" i="8"/>
  <c r="W313" i="8"/>
  <c r="Y313" i="8" s="1"/>
  <c r="X313" i="8"/>
  <c r="V314" i="8"/>
  <c r="W314" i="8"/>
  <c r="Y314" i="8" s="1"/>
  <c r="X314" i="8"/>
  <c r="V315" i="8"/>
  <c r="W315" i="8"/>
  <c r="Y315" i="8" s="1"/>
  <c r="X315" i="8"/>
  <c r="V316" i="8"/>
  <c r="W316" i="8"/>
  <c r="Y316" i="8" s="1"/>
  <c r="X316" i="8"/>
  <c r="V317" i="8"/>
  <c r="W317" i="8"/>
  <c r="Y317" i="8" s="1"/>
  <c r="X317" i="8"/>
  <c r="V318" i="8"/>
  <c r="W318" i="8"/>
  <c r="Y318" i="8" s="1"/>
  <c r="X318" i="8"/>
  <c r="V319" i="8"/>
  <c r="W319" i="8"/>
  <c r="Y319" i="8" s="1"/>
  <c r="X319" i="8"/>
  <c r="V320" i="8"/>
  <c r="W320" i="8"/>
  <c r="Y320" i="8" s="1"/>
  <c r="X320" i="8"/>
  <c r="V321" i="8"/>
  <c r="W321" i="8"/>
  <c r="Y321" i="8" s="1"/>
  <c r="X321" i="8"/>
  <c r="V322" i="8"/>
  <c r="W322" i="8"/>
  <c r="Y322" i="8" s="1"/>
  <c r="X322" i="8"/>
  <c r="V323" i="8"/>
  <c r="W323" i="8"/>
  <c r="Y323" i="8" s="1"/>
  <c r="X323" i="8"/>
  <c r="V324" i="8"/>
  <c r="W324" i="8"/>
  <c r="Y324" i="8" s="1"/>
  <c r="X324" i="8"/>
  <c r="V325" i="8"/>
  <c r="W325" i="8"/>
  <c r="Y325" i="8" s="1"/>
  <c r="X325" i="8"/>
  <c r="V326" i="8"/>
  <c r="W326" i="8"/>
  <c r="Y326" i="8" s="1"/>
  <c r="X326" i="8"/>
  <c r="V327" i="8"/>
  <c r="W327" i="8"/>
  <c r="Y327" i="8" s="1"/>
  <c r="X327" i="8"/>
  <c r="V328" i="8"/>
  <c r="W328" i="8"/>
  <c r="Y328" i="8" s="1"/>
  <c r="X328" i="8"/>
  <c r="V329" i="8"/>
  <c r="W329" i="8"/>
  <c r="Y329" i="8" s="1"/>
  <c r="X329" i="8"/>
  <c r="V330" i="8"/>
  <c r="W330" i="8"/>
  <c r="Y330" i="8" s="1"/>
  <c r="X330" i="8"/>
  <c r="V331" i="8"/>
  <c r="W331" i="8"/>
  <c r="Y331" i="8" s="1"/>
  <c r="X331" i="8"/>
  <c r="V332" i="8"/>
  <c r="W332" i="8"/>
  <c r="Y332" i="8" s="1"/>
  <c r="X332" i="8"/>
  <c r="V333" i="8"/>
  <c r="W333" i="8"/>
  <c r="Y333" i="8" s="1"/>
  <c r="X333" i="8"/>
  <c r="V334" i="8"/>
  <c r="W334" i="8"/>
  <c r="Y334" i="8" s="1"/>
  <c r="X334" i="8"/>
  <c r="V335" i="8"/>
  <c r="W335" i="8"/>
  <c r="Y335" i="8" s="1"/>
  <c r="X335" i="8"/>
  <c r="V336" i="8"/>
  <c r="W336" i="8"/>
  <c r="Y336" i="8" s="1"/>
  <c r="X336" i="8"/>
  <c r="V337" i="8"/>
  <c r="W337" i="8"/>
  <c r="Y337" i="8" s="1"/>
  <c r="X337" i="8"/>
  <c r="V338" i="8"/>
  <c r="W338" i="8"/>
  <c r="Y338" i="8" s="1"/>
  <c r="X338" i="8"/>
  <c r="V339" i="8"/>
  <c r="W339" i="8"/>
  <c r="Y339" i="8" s="1"/>
  <c r="X339" i="8"/>
  <c r="V340" i="8"/>
  <c r="W340" i="8"/>
  <c r="Y340" i="8" s="1"/>
  <c r="X340" i="8"/>
  <c r="V341" i="8"/>
  <c r="W341" i="8"/>
  <c r="Y341" i="8" s="1"/>
  <c r="X341" i="8"/>
  <c r="V342" i="8"/>
  <c r="W342" i="8"/>
  <c r="Y342" i="8" s="1"/>
  <c r="X342" i="8"/>
  <c r="V343" i="8"/>
  <c r="W343" i="8"/>
  <c r="Y343" i="8" s="1"/>
  <c r="X343" i="8"/>
  <c r="V344" i="8"/>
  <c r="W344" i="8"/>
  <c r="Y344" i="8" s="1"/>
  <c r="X344" i="8"/>
  <c r="V345" i="8"/>
  <c r="W345" i="8"/>
  <c r="Y345" i="8" s="1"/>
  <c r="X345" i="8"/>
  <c r="V346" i="8"/>
  <c r="W346" i="8"/>
  <c r="Y346" i="8" s="1"/>
  <c r="X346" i="8"/>
  <c r="V347" i="8"/>
  <c r="W347" i="8"/>
  <c r="Y347" i="8" s="1"/>
  <c r="X347" i="8"/>
  <c r="V348" i="8"/>
  <c r="W348" i="8"/>
  <c r="Y348" i="8" s="1"/>
  <c r="X348" i="8"/>
  <c r="V349" i="8"/>
  <c r="W349" i="8"/>
  <c r="Y349" i="8" s="1"/>
  <c r="X349" i="8"/>
  <c r="V350" i="8"/>
  <c r="W350" i="8"/>
  <c r="Y350" i="8" s="1"/>
  <c r="X350" i="8"/>
  <c r="V351" i="8"/>
  <c r="W351" i="8"/>
  <c r="Y351" i="8" s="1"/>
  <c r="X351" i="8"/>
  <c r="V352" i="8"/>
  <c r="W352" i="8"/>
  <c r="Y352" i="8" s="1"/>
  <c r="X352" i="8"/>
  <c r="V353" i="8"/>
  <c r="W353" i="8"/>
  <c r="Y353" i="8" s="1"/>
  <c r="X353" i="8"/>
  <c r="V354" i="8"/>
  <c r="W354" i="8"/>
  <c r="Y354" i="8" s="1"/>
  <c r="X354" i="8"/>
  <c r="V355" i="8"/>
  <c r="W355" i="8"/>
  <c r="Y355" i="8" s="1"/>
  <c r="X355" i="8"/>
  <c r="V356" i="8"/>
  <c r="W356" i="8"/>
  <c r="Y356" i="8" s="1"/>
  <c r="X356" i="8"/>
  <c r="V357" i="8"/>
  <c r="W357" i="8"/>
  <c r="Y357" i="8" s="1"/>
  <c r="X357" i="8"/>
  <c r="V358" i="8"/>
  <c r="W358" i="8"/>
  <c r="Y358" i="8" s="1"/>
  <c r="X358" i="8"/>
  <c r="V359" i="8"/>
  <c r="W359" i="8"/>
  <c r="Y359" i="8" s="1"/>
  <c r="X359" i="8"/>
  <c r="V360" i="8"/>
  <c r="W360" i="8"/>
  <c r="Y360" i="8" s="1"/>
  <c r="X360" i="8"/>
  <c r="V361" i="8"/>
  <c r="W361" i="8"/>
  <c r="Y361" i="8" s="1"/>
  <c r="X361" i="8"/>
  <c r="V362" i="8"/>
  <c r="W362" i="8"/>
  <c r="Y362" i="8" s="1"/>
  <c r="X362" i="8"/>
  <c r="V363" i="8"/>
  <c r="W363" i="8"/>
  <c r="Y363" i="8" s="1"/>
  <c r="X363" i="8"/>
  <c r="V364" i="8"/>
  <c r="W364" i="8"/>
  <c r="Y364" i="8" s="1"/>
  <c r="X364" i="8"/>
  <c r="V365" i="8"/>
  <c r="W365" i="8"/>
  <c r="Y365" i="8" s="1"/>
  <c r="X365" i="8"/>
  <c r="V366" i="8"/>
  <c r="W366" i="8"/>
  <c r="Y366" i="8" s="1"/>
  <c r="X366" i="8"/>
  <c r="V367" i="8"/>
  <c r="W367" i="8"/>
  <c r="Y367" i="8" s="1"/>
  <c r="X367" i="8"/>
  <c r="V368" i="8"/>
  <c r="W368" i="8"/>
  <c r="Y368" i="8" s="1"/>
  <c r="X368" i="8"/>
  <c r="X4" i="8"/>
  <c r="W4" i="8"/>
  <c r="Y4" i="8" s="1"/>
  <c r="V4"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4" i="8"/>
  <c r="F12" i="7"/>
  <c r="F2" i="7"/>
  <c r="F9" i="7"/>
  <c r="F8" i="7"/>
  <c r="F7" i="7" s="1"/>
  <c r="F6" i="7" s="1"/>
  <c r="F5" i="7" s="1"/>
  <c r="F4" i="7" s="1"/>
  <c r="F3" i="7" s="1"/>
  <c r="P127" i="1"/>
  <c r="P138" i="1"/>
  <c r="P147" i="1"/>
  <c r="P230" i="1"/>
  <c r="P73" i="1"/>
  <c r="P109" i="1"/>
  <c r="P118" i="1"/>
  <c r="P104" i="1"/>
  <c r="P93" i="1"/>
  <c r="P84" i="1"/>
  <c r="P57" i="1"/>
  <c r="P49"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M34" i="5" a="1"/>
  <c r="M19" i="5" a="1"/>
  <c r="M8" i="5" a="1"/>
  <c r="M27" i="5" a="1"/>
  <c r="M38" i="5" a="1"/>
  <c r="M9" i="5" a="1"/>
  <c r="M6" i="5" a="1"/>
  <c r="M43" i="5" a="1"/>
  <c r="M40" i="5" a="1"/>
  <c r="M64" i="5" a="1"/>
  <c r="M2" i="5" a="1"/>
  <c r="M72" i="5" a="1"/>
  <c r="R34" i="4" a="1"/>
  <c r="R62" i="4" a="1"/>
  <c r="R61" i="4" a="1"/>
  <c r="R42" i="4" a="1"/>
  <c r="R40" i="4" a="1"/>
  <c r="R21" i="4" a="1"/>
  <c r="AE17" i="8" a="1"/>
  <c r="AE33" i="8" a="1"/>
  <c r="AE49" i="8" a="1"/>
  <c r="AE65" i="8" a="1"/>
  <c r="AE81" i="8" a="1"/>
  <c r="AE97" i="8" a="1"/>
  <c r="AE113" i="8" a="1"/>
  <c r="AE129" i="8" a="1"/>
  <c r="AE145" i="8" a="1"/>
  <c r="AE161" i="8" a="1"/>
  <c r="AE177" i="8" a="1"/>
  <c r="AE193" i="8" a="1"/>
  <c r="AE209" i="8" a="1"/>
  <c r="AE225" i="8" a="1"/>
  <c r="AE241" i="8" a="1"/>
  <c r="AE257" i="8" a="1"/>
  <c r="AE273" i="8" a="1"/>
  <c r="AE289" i="8" a="1"/>
  <c r="AE305" i="8" a="1"/>
  <c r="AE321" i="8" a="1"/>
  <c r="AE337" i="8" a="1"/>
  <c r="AE353" i="8" a="1"/>
  <c r="AE4" i="8" a="1"/>
  <c r="AE208" i="8" a="1"/>
  <c r="AE18" i="8" a="1"/>
  <c r="AE34" i="8" a="1"/>
  <c r="AE50" i="8" a="1"/>
  <c r="AE66" i="8" a="1"/>
  <c r="AE82" i="8" a="1"/>
  <c r="AE98" i="8" a="1"/>
  <c r="AE114" i="8" a="1"/>
  <c r="AE130" i="8" a="1"/>
  <c r="AE146" i="8" a="1"/>
  <c r="AE162" i="8" a="1"/>
  <c r="AE178" i="8" a="1"/>
  <c r="AE194" i="8" a="1"/>
  <c r="AE210" i="8" a="1"/>
  <c r="AE226" i="8" a="1"/>
  <c r="AE242" i="8" a="1"/>
  <c r="AE258" i="8" a="1"/>
  <c r="AE274" i="8" a="1"/>
  <c r="AE290" i="8" a="1"/>
  <c r="AE306" i="8" a="1"/>
  <c r="AE322" i="8" a="1"/>
  <c r="AE338" i="8" a="1"/>
  <c r="AE354" i="8" a="1"/>
  <c r="AE358" i="8" a="1"/>
  <c r="AE176" i="8" a="1"/>
  <c r="AE19" i="8" a="1"/>
  <c r="AE35" i="8" a="1"/>
  <c r="AE51" i="8" a="1"/>
  <c r="AE67" i="8" a="1"/>
  <c r="AE83" i="8" a="1"/>
  <c r="AE99" i="8" a="1"/>
  <c r="AE115" i="8" a="1"/>
  <c r="AE131" i="8" a="1"/>
  <c r="AE147" i="8" a="1"/>
  <c r="AE163" i="8" a="1"/>
  <c r="AE179" i="8" a="1"/>
  <c r="AE195" i="8" a="1"/>
  <c r="AE211" i="8" a="1"/>
  <c r="AE227" i="8" a="1"/>
  <c r="AE243" i="8" a="1"/>
  <c r="AE259" i="8" a="1"/>
  <c r="AE275" i="8" a="1"/>
  <c r="AE291" i="8" a="1"/>
  <c r="AE307" i="8" a="1"/>
  <c r="AE323" i="8" a="1"/>
  <c r="AE339" i="8" a="1"/>
  <c r="AE355" i="8" a="1"/>
  <c r="AE357" i="8" a="1"/>
  <c r="AE112" i="8" a="1"/>
  <c r="AE352" i="8" a="1"/>
  <c r="AE20" i="8" a="1"/>
  <c r="AE36" i="8" a="1"/>
  <c r="AE52" i="8" a="1"/>
  <c r="AE68" i="8" a="1"/>
  <c r="AE84" i="8" a="1"/>
  <c r="AE100" i="8" a="1"/>
  <c r="AE116" i="8" a="1"/>
  <c r="AE132" i="8" a="1"/>
  <c r="AE148" i="8" a="1"/>
  <c r="AE164" i="8" a="1"/>
  <c r="AE180" i="8" a="1"/>
  <c r="AE196" i="8" a="1"/>
  <c r="AE212" i="8" a="1"/>
  <c r="AE228" i="8" a="1"/>
  <c r="AE244" i="8" a="1"/>
  <c r="AE260" i="8" a="1"/>
  <c r="AE276" i="8" a="1"/>
  <c r="AE292" i="8" a="1"/>
  <c r="AE308" i="8" a="1"/>
  <c r="AE324" i="8" a="1"/>
  <c r="AE340" i="8" a="1"/>
  <c r="AE356" i="8" a="1"/>
  <c r="AE360" i="8" a="1"/>
  <c r="AE160" i="8" a="1"/>
  <c r="AE320" i="8" a="1"/>
  <c r="AE5" i="8" a="1"/>
  <c r="AE21" i="8" a="1"/>
  <c r="AE37" i="8" a="1"/>
  <c r="AE53" i="8" a="1"/>
  <c r="AE69" i="8" a="1"/>
  <c r="AE85" i="8" a="1"/>
  <c r="AE101" i="8" a="1"/>
  <c r="AE117" i="8" a="1"/>
  <c r="AE133" i="8" a="1"/>
  <c r="AE149" i="8" a="1"/>
  <c r="AE165" i="8" a="1"/>
  <c r="AE181" i="8" a="1"/>
  <c r="AE197" i="8" a="1"/>
  <c r="AE213" i="8" a="1"/>
  <c r="AE229" i="8" a="1"/>
  <c r="AE245" i="8" a="1"/>
  <c r="AE261" i="8" a="1"/>
  <c r="AE277" i="8" a="1"/>
  <c r="AE293" i="8" a="1"/>
  <c r="AE309" i="8" a="1"/>
  <c r="AE325" i="8" a="1"/>
  <c r="AE341" i="8" a="1"/>
  <c r="AE303" i="8" a="1"/>
  <c r="AE48" i="8" a="1"/>
  <c r="AE272" i="8" a="1"/>
  <c r="AE6" i="8" a="1"/>
  <c r="AE22" i="8" a="1"/>
  <c r="AE38" i="8" a="1"/>
  <c r="AE54" i="8" a="1"/>
  <c r="AE70" i="8" a="1"/>
  <c r="AE86" i="8" a="1"/>
  <c r="AE102" i="8" a="1"/>
  <c r="AE118" i="8" a="1"/>
  <c r="AE134" i="8" a="1"/>
  <c r="AE150" i="8" a="1"/>
  <c r="AE166" i="8" a="1"/>
  <c r="AE182" i="8" a="1"/>
  <c r="AE198" i="8" a="1"/>
  <c r="AE214" i="8" a="1"/>
  <c r="AE230" i="8" a="1"/>
  <c r="AE246" i="8" a="1"/>
  <c r="AE262" i="8" a="1"/>
  <c r="AE278" i="8" a="1"/>
  <c r="AE294" i="8" a="1"/>
  <c r="AE310" i="8" a="1"/>
  <c r="AE326" i="8" a="1"/>
  <c r="AE342" i="8" a="1"/>
  <c r="AE335" i="8" a="1"/>
  <c r="AE96" i="8" a="1"/>
  <c r="AE7" i="8" a="1"/>
  <c r="AE23" i="8" a="1"/>
  <c r="AE39" i="8" a="1"/>
  <c r="AE55" i="8" a="1"/>
  <c r="AE71" i="8" a="1"/>
  <c r="AE87" i="8" a="1"/>
  <c r="AE103" i="8" a="1"/>
  <c r="AE119" i="8" a="1"/>
  <c r="AE135" i="8" a="1"/>
  <c r="AE151" i="8" a="1"/>
  <c r="AE167" i="8" a="1"/>
  <c r="AE183" i="8" a="1"/>
  <c r="AE199" i="8" a="1"/>
  <c r="AE215" i="8" a="1"/>
  <c r="AE231" i="8" a="1"/>
  <c r="AE247" i="8" a="1"/>
  <c r="AE263" i="8" a="1"/>
  <c r="AE279" i="8" a="1"/>
  <c r="AE295" i="8" a="1"/>
  <c r="AE311" i="8" a="1"/>
  <c r="AE327" i="8" a="1"/>
  <c r="AE343" i="8" a="1"/>
  <c r="AE359" i="8" a="1"/>
  <c r="AE32" i="8" a="1"/>
  <c r="AE256" i="8" a="1"/>
  <c r="AE8" i="8" a="1"/>
  <c r="AE24" i="8" a="1"/>
  <c r="AE40" i="8" a="1"/>
  <c r="AE56" i="8" a="1"/>
  <c r="AE72" i="8" a="1"/>
  <c r="AE88" i="8" a="1"/>
  <c r="AE104" i="8" a="1"/>
  <c r="AE120" i="8" a="1"/>
  <c r="AE136" i="8" a="1"/>
  <c r="AE152" i="8" a="1"/>
  <c r="AE168" i="8" a="1"/>
  <c r="AE184" i="8" a="1"/>
  <c r="AE200" i="8" a="1"/>
  <c r="AE216" i="8" a="1"/>
  <c r="AE232" i="8" a="1"/>
  <c r="AE248" i="8" a="1"/>
  <c r="AE264" i="8" a="1"/>
  <c r="AE280" i="8" a="1"/>
  <c r="AE296" i="8" a="1"/>
  <c r="AE312" i="8" a="1"/>
  <c r="AE328" i="8" a="1"/>
  <c r="AE344" i="8" a="1"/>
  <c r="AE351" i="8" a="1"/>
  <c r="AE224" i="8" a="1"/>
  <c r="AE9" i="8" a="1"/>
  <c r="AE25" i="8" a="1"/>
  <c r="AE41" i="8" a="1"/>
  <c r="AE57" i="8" a="1"/>
  <c r="AE73" i="8" a="1"/>
  <c r="AE89" i="8" a="1"/>
  <c r="AE105" i="8" a="1"/>
  <c r="AE121" i="8" a="1"/>
  <c r="AE137" i="8" a="1"/>
  <c r="AE153" i="8" a="1"/>
  <c r="AE169" i="8" a="1"/>
  <c r="AE185" i="8" a="1"/>
  <c r="AE201" i="8" a="1"/>
  <c r="AE217" i="8" a="1"/>
  <c r="AE233" i="8" a="1"/>
  <c r="AE249" i="8" a="1"/>
  <c r="AE265" i="8" a="1"/>
  <c r="AE281" i="8" a="1"/>
  <c r="AE297" i="8" a="1"/>
  <c r="AE313" i="8" a="1"/>
  <c r="AE329" i="8" a="1"/>
  <c r="AE345" i="8" a="1"/>
  <c r="AE361" i="8" a="1"/>
  <c r="AE319" i="8" a="1"/>
  <c r="AE16" i="8" a="1"/>
  <c r="AE288" i="8" a="1"/>
  <c r="AE10" i="8" a="1"/>
  <c r="AE26" i="8" a="1"/>
  <c r="AE42" i="8" a="1"/>
  <c r="AE58" i="8" a="1"/>
  <c r="AE74" i="8" a="1"/>
  <c r="AE90" i="8" a="1"/>
  <c r="AE106" i="8" a="1"/>
  <c r="AE122" i="8" a="1"/>
  <c r="AE138" i="8" a="1"/>
  <c r="AE154" i="8" a="1"/>
  <c r="AE170" i="8" a="1"/>
  <c r="AE186" i="8" a="1"/>
  <c r="AE202" i="8" a="1"/>
  <c r="AE218" i="8" a="1"/>
  <c r="AE234" i="8" a="1"/>
  <c r="AE250" i="8" a="1"/>
  <c r="AE266" i="8" a="1"/>
  <c r="AE282" i="8" a="1"/>
  <c r="AE298" i="8" a="1"/>
  <c r="AE314" i="8" a="1"/>
  <c r="AE330" i="8" a="1"/>
  <c r="AE346" i="8" a="1"/>
  <c r="AE362" i="8" a="1"/>
  <c r="AE363" i="8" a="1"/>
  <c r="AE287" i="8" a="1"/>
  <c r="AE240" i="8" a="1"/>
  <c r="AE11" i="8" a="1"/>
  <c r="AE27" i="8" a="1"/>
  <c r="AE43" i="8" a="1"/>
  <c r="AE59" i="8" a="1"/>
  <c r="AE75" i="8" a="1"/>
  <c r="AE91" i="8" a="1"/>
  <c r="AE107" i="8" a="1"/>
  <c r="AE123" i="8" a="1"/>
  <c r="AE139" i="8" a="1"/>
  <c r="AE155" i="8" a="1"/>
  <c r="AE171" i="8" a="1"/>
  <c r="AE187" i="8" a="1"/>
  <c r="AE203" i="8" a="1"/>
  <c r="AE219" i="8" a="1"/>
  <c r="AE235" i="8" a="1"/>
  <c r="AE251" i="8" a="1"/>
  <c r="AE267" i="8" a="1"/>
  <c r="AE283" i="8" a="1"/>
  <c r="AE299" i="8" a="1"/>
  <c r="AE315" i="8" a="1"/>
  <c r="AE331" i="8" a="1"/>
  <c r="AE347" i="8" a="1"/>
  <c r="AE364" i="8" a="1"/>
  <c r="AE192" i="8" a="1"/>
  <c r="AE12" i="8" a="1"/>
  <c r="AE28" i="8" a="1"/>
  <c r="AE44" i="8" a="1"/>
  <c r="AE60" i="8" a="1"/>
  <c r="AE76" i="8" a="1"/>
  <c r="AE92" i="8" a="1"/>
  <c r="AE108" i="8" a="1"/>
  <c r="AE124" i="8" a="1"/>
  <c r="AE140" i="8" a="1"/>
  <c r="AE156" i="8" a="1"/>
  <c r="AE172" i="8" a="1"/>
  <c r="AE188" i="8" a="1"/>
  <c r="AE204" i="8" a="1"/>
  <c r="AE220" i="8" a="1"/>
  <c r="AE236" i="8" a="1"/>
  <c r="AE252" i="8" a="1"/>
  <c r="AE268" i="8" a="1"/>
  <c r="AE284" i="8" a="1"/>
  <c r="AE300" i="8" a="1"/>
  <c r="AE316" i="8" a="1"/>
  <c r="AE332" i="8" a="1"/>
  <c r="AE348" i="8" a="1"/>
  <c r="AE365" i="8" a="1"/>
  <c r="AE144" i="8" a="1"/>
  <c r="AE13" i="8" a="1"/>
  <c r="AE29" i="8" a="1"/>
  <c r="AE45" i="8" a="1"/>
  <c r="AE61" i="8" a="1"/>
  <c r="AE77" i="8" a="1"/>
  <c r="AE93" i="8" a="1"/>
  <c r="AE109" i="8" a="1"/>
  <c r="AE125" i="8" a="1"/>
  <c r="AE141" i="8" a="1"/>
  <c r="AE157" i="8" a="1"/>
  <c r="AE173" i="8" a="1"/>
  <c r="AE189" i="8" a="1"/>
  <c r="AE205" i="8" a="1"/>
  <c r="AE221" i="8" a="1"/>
  <c r="AE237" i="8" a="1"/>
  <c r="AE253" i="8" a="1"/>
  <c r="AE269" i="8" a="1"/>
  <c r="AE285" i="8" a="1"/>
  <c r="AE301" i="8" a="1"/>
  <c r="AE317" i="8" a="1"/>
  <c r="AE333" i="8" a="1"/>
  <c r="AE349" i="8" a="1"/>
  <c r="AE367" i="8" a="1"/>
  <c r="AE80" i="8" a="1"/>
  <c r="AE336" i="8" a="1"/>
  <c r="AE14" i="8" a="1"/>
  <c r="AE30" i="8" a="1"/>
  <c r="AE46" i="8" a="1"/>
  <c r="AE62" i="8" a="1"/>
  <c r="AE78" i="8" a="1"/>
  <c r="AE94" i="8" a="1"/>
  <c r="AE110" i="8" a="1"/>
  <c r="AE126" i="8" a="1"/>
  <c r="AE142" i="8" a="1"/>
  <c r="AE158" i="8" a="1"/>
  <c r="AE174" i="8" a="1"/>
  <c r="AE190" i="8" a="1"/>
  <c r="AE206" i="8" a="1"/>
  <c r="AE222" i="8" a="1"/>
  <c r="AE238" i="8" a="1"/>
  <c r="AE254" i="8" a="1"/>
  <c r="AE270" i="8" a="1"/>
  <c r="AE286" i="8" a="1"/>
  <c r="AE302" i="8" a="1"/>
  <c r="AE318" i="8" a="1"/>
  <c r="AE334" i="8" a="1"/>
  <c r="AE350" i="8" a="1"/>
  <c r="AE366" i="8" a="1"/>
  <c r="AE64" i="8" a="1"/>
  <c r="AE304" i="8" a="1"/>
  <c r="AE15" i="8" a="1"/>
  <c r="AE31" i="8" a="1"/>
  <c r="AE47" i="8" a="1"/>
  <c r="AE63" i="8" a="1"/>
  <c r="AE79" i="8" a="1"/>
  <c r="AE95" i="8" a="1"/>
  <c r="AE111" i="8" a="1"/>
  <c r="AE127" i="8" a="1"/>
  <c r="AE143" i="8" a="1"/>
  <c r="AE159" i="8" a="1"/>
  <c r="AE175" i="8" a="1"/>
  <c r="AE191" i="8" a="1"/>
  <c r="AE207" i="8" a="1"/>
  <c r="AE223" i="8" a="1"/>
  <c r="AE239" i="8" a="1"/>
  <c r="AE255" i="8" a="1"/>
  <c r="AE271" i="8" a="1"/>
  <c r="AE128" i="8" a="1"/>
  <c r="AE368" i="8" a="1"/>
  <c r="AA3" i="8" a="1"/>
  <c r="AA6" i="8" a="1"/>
  <c r="AC8" i="8" a="1"/>
  <c r="AA5" i="8" a="1"/>
  <c r="AC12" i="8" a="1"/>
  <c r="AA4" i="8" a="1"/>
  <c r="AA10" i="8" a="1"/>
  <c r="AC15" i="8" a="1"/>
  <c r="AC4" i="8" a="1"/>
  <c r="AC3" i="8" a="1"/>
  <c r="AC5" i="8" a="1"/>
  <c r="AC9" i="8" a="1"/>
  <c r="AC10" i="8" a="1"/>
  <c r="AC7" i="8" a="1"/>
  <c r="AA7" i="8" a="1"/>
  <c r="AC11" i="8" a="1"/>
  <c r="AC13" i="8" a="1"/>
  <c r="AC14" i="8" a="1"/>
  <c r="AC6" i="8" a="1"/>
  <c r="AA8" i="8" a="1"/>
  <c r="AA9" i="8" a="1"/>
  <c r="P51" i="1" a="1"/>
  <c r="P3" i="1" a="1"/>
  <c r="P201" i="1" a="1"/>
  <c r="P2" i="1" a="1"/>
  <c r="P116" i="1" a="1"/>
  <c r="P77" i="1" a="1"/>
  <c r="P43" i="1" a="1"/>
  <c r="P234" i="1" a="1"/>
  <c r="P86" i="1" a="1"/>
  <c r="P192" i="1" a="1"/>
  <c r="P135" i="1" a="1"/>
  <c r="P30" i="1" a="1"/>
  <c r="P31" i="1" a="1"/>
  <c r="P143" i="1" a="1"/>
  <c r="P75" i="1" a="1"/>
  <c r="P141" i="1" a="1"/>
  <c r="P50" i="1" a="1"/>
  <c r="P54" i="1" a="1"/>
  <c r="P113" i="1" a="1"/>
  <c r="P5" i="1" a="1"/>
  <c r="P78" i="1" a="1"/>
  <c r="P115" i="1" a="1"/>
  <c r="P136" i="1" a="1"/>
  <c r="P29" i="1" a="1"/>
  <c r="P110" i="1" a="1"/>
  <c r="P133" i="1" a="1"/>
  <c r="P55" i="1" a="1"/>
  <c r="P76" i="1" a="1"/>
  <c r="P23" i="1" a="1"/>
  <c r="P144" i="1" a="1"/>
  <c r="P22" i="1" a="1"/>
  <c r="P42" i="1" a="1"/>
  <c r="P114" i="1" a="1"/>
  <c r="P233" i="1" a="1"/>
  <c r="P58" i="1" a="1"/>
  <c r="P6" i="1" a="1"/>
  <c r="P88" i="1" a="1"/>
  <c r="P217" i="1" a="1"/>
  <c r="P214" i="1" a="1"/>
  <c r="P40" i="1" a="1"/>
  <c r="P7" i="1" a="1"/>
  <c r="P53" i="1" a="1"/>
  <c r="P139" i="1" a="1"/>
  <c r="P38" i="1" a="1"/>
  <c r="P52" i="1" a="1"/>
  <c r="P142" i="1" a="1"/>
  <c r="P129" i="1" a="1"/>
  <c r="P4" i="1" a="1"/>
  <c r="P13" i="1" a="1"/>
  <c r="P60" i="1" a="1"/>
  <c r="P17" i="1" a="1"/>
  <c r="P188" i="1" a="1"/>
  <c r="P153" i="1" a="1"/>
  <c r="P102" i="1" a="1"/>
  <c r="P204" i="1" a="1"/>
  <c r="P152" i="1" a="1"/>
  <c r="P14" i="1" a="1"/>
  <c r="P41" i="1" a="1"/>
  <c r="P74" i="1" a="1"/>
  <c r="P8" i="1" a="1"/>
  <c r="P21" i="1" a="1"/>
  <c r="P24" i="1" a="1"/>
  <c r="P90" i="1" a="1"/>
  <c r="P140" i="1" a="1"/>
  <c r="P236" i="1" a="1"/>
  <c r="P25" i="1" a="1"/>
  <c r="P191" i="1" a="1"/>
  <c r="P148" i="1" a="1"/>
  <c r="P151" i="1" a="1"/>
  <c r="P20" i="1" a="1"/>
  <c r="P215" i="1" a="1"/>
  <c r="P39" i="1" a="1"/>
  <c r="P12" i="1" a="1"/>
  <c r="P89" i="1" a="1"/>
  <c r="P132" i="1" a="1"/>
  <c r="P131" i="1" a="1"/>
  <c r="P232" i="1" a="1"/>
  <c r="P216" i="1" a="1"/>
  <c r="P26" i="1" a="1"/>
  <c r="P85" i="1" a="1"/>
  <c r="P149" i="1" a="1"/>
  <c r="P190" i="1" a="1"/>
  <c r="P130" i="1" a="1"/>
  <c r="P9" i="1" a="1"/>
  <c r="P134" i="1" a="1"/>
  <c r="P87" i="1" a="1"/>
  <c r="P189" i="1" a="1"/>
  <c r="P145" i="1" a="1"/>
  <c r="P33" i="1" a="1"/>
  <c r="P91" i="1" a="1"/>
  <c r="P15" i="1" a="1"/>
  <c r="P16" i="1" a="1"/>
  <c r="P112" i="1" a="1"/>
  <c r="P32" i="1" a="1"/>
  <c r="P231" i="1" a="1"/>
  <c r="P59" i="1" a="1"/>
  <c r="P187" i="1" a="1"/>
  <c r="P202" i="1" a="1"/>
  <c r="P106" i="1" a="1"/>
  <c r="P111" i="1" a="1"/>
  <c r="P107" i="1" a="1"/>
  <c r="P235" i="1" a="1"/>
  <c r="P34" i="1" a="1"/>
  <c r="P150" i="1" a="1"/>
  <c r="P37" i="1" a="1"/>
  <c r="P105" i="1" a="1"/>
  <c r="P128" i="1" a="1"/>
  <c r="P203" i="1" a="1"/>
  <c r="P122" i="1" a="1"/>
  <c r="P121" i="1" a="1"/>
  <c r="P120" i="1" a="1"/>
  <c r="P119" i="1" a="1"/>
  <c r="AC26" i="3" a="1"/>
  <c r="AC21" i="3" a="1"/>
  <c r="AC24" i="3" a="1"/>
  <c r="AC23" i="3" a="1"/>
  <c r="AC38" i="3" a="1"/>
  <c r="AC33" i="3" a="1"/>
  <c r="AC34" i="3" a="1"/>
  <c r="AC36" i="3" a="1"/>
  <c r="AC17" i="3" a="1"/>
  <c r="AC37" i="3" a="1"/>
  <c r="AC13" i="3" a="1"/>
  <c r="AC14" i="3" a="1"/>
  <c r="AC29" i="3" a="1"/>
  <c r="AC28" i="3" a="1"/>
  <c r="AC11" i="3" a="1"/>
  <c r="AC10" i="3" a="1"/>
  <c r="AC15" i="3" a="1"/>
  <c r="AC52" i="3" a="1"/>
  <c r="AC19" i="3" a="1"/>
  <c r="P94" i="1" a="1"/>
  <c r="P101" i="1" a="1"/>
  <c r="P100" i="1" a="1"/>
  <c r="P99" i="1" a="1"/>
  <c r="P97" i="1" a="1"/>
  <c r="P96" i="1" a="1"/>
  <c r="P98" i="1" a="1"/>
  <c r="P95" i="1" a="1"/>
  <c r="AC9" i="3" a="1"/>
  <c r="AE368" i="8" l="1"/>
  <c r="AE128" i="8"/>
  <c r="AE271" i="8"/>
  <c r="AE255" i="8"/>
  <c r="AE239" i="8"/>
  <c r="AE223" i="8"/>
  <c r="AE207" i="8"/>
  <c r="AE191" i="8"/>
  <c r="AE175" i="8"/>
  <c r="AE159" i="8"/>
  <c r="AE143" i="8"/>
  <c r="AE127" i="8"/>
  <c r="AE111" i="8"/>
  <c r="AE95" i="8"/>
  <c r="AE79" i="8"/>
  <c r="AE63" i="8"/>
  <c r="AE47" i="8"/>
  <c r="AE31" i="8"/>
  <c r="AE15" i="8"/>
  <c r="AE304" i="8"/>
  <c r="AE64" i="8"/>
  <c r="AE366" i="8"/>
  <c r="AE350" i="8"/>
  <c r="AE334" i="8"/>
  <c r="AE318" i="8"/>
  <c r="AE302" i="8"/>
  <c r="AE286" i="8"/>
  <c r="AE270" i="8"/>
  <c r="AE254" i="8"/>
  <c r="AE238" i="8"/>
  <c r="AE222" i="8"/>
  <c r="AE206" i="8"/>
  <c r="AE190" i="8"/>
  <c r="AE174" i="8"/>
  <c r="AE158" i="8"/>
  <c r="AE142" i="8"/>
  <c r="AE126" i="8"/>
  <c r="AE110" i="8"/>
  <c r="AE94" i="8"/>
  <c r="AE78" i="8"/>
  <c r="AE62" i="8"/>
  <c r="AE46" i="8"/>
  <c r="AE30" i="8"/>
  <c r="AE14" i="8"/>
  <c r="AE336" i="8"/>
  <c r="AE80" i="8"/>
  <c r="AE367" i="8"/>
  <c r="AE349" i="8"/>
  <c r="AE333" i="8"/>
  <c r="AE317" i="8"/>
  <c r="AE301" i="8"/>
  <c r="AE285" i="8"/>
  <c r="AE269" i="8"/>
  <c r="AE253" i="8"/>
  <c r="AE237" i="8"/>
  <c r="AE221" i="8"/>
  <c r="AE205" i="8"/>
  <c r="AE189" i="8"/>
  <c r="AE173" i="8"/>
  <c r="AE157" i="8"/>
  <c r="AE141" i="8"/>
  <c r="AE125" i="8"/>
  <c r="AE109" i="8"/>
  <c r="AE93" i="8"/>
  <c r="AE77" i="8"/>
  <c r="AE61" i="8"/>
  <c r="AE45" i="8"/>
  <c r="AE29" i="8"/>
  <c r="AE13" i="8"/>
  <c r="AE144" i="8"/>
  <c r="AE365" i="8"/>
  <c r="AE348" i="8"/>
  <c r="AE332" i="8"/>
  <c r="AE316" i="8"/>
  <c r="AE300" i="8"/>
  <c r="AE284" i="8"/>
  <c r="AE268" i="8"/>
  <c r="AE252" i="8"/>
  <c r="AE236" i="8"/>
  <c r="AE220" i="8"/>
  <c r="AE204" i="8"/>
  <c r="AE188" i="8"/>
  <c r="AE172" i="8"/>
  <c r="AE156" i="8"/>
  <c r="AE140" i="8"/>
  <c r="AE124" i="8"/>
  <c r="AE108" i="8"/>
  <c r="AE92" i="8"/>
  <c r="AE76" i="8"/>
  <c r="AE60" i="8"/>
  <c r="AE44" i="8"/>
  <c r="AE28" i="8"/>
  <c r="AE12" i="8"/>
  <c r="AE192" i="8"/>
  <c r="AE364" i="8"/>
  <c r="AE347" i="8"/>
  <c r="AE331" i="8"/>
  <c r="AE315" i="8"/>
  <c r="AE299" i="8"/>
  <c r="AE283" i="8"/>
  <c r="AE267" i="8"/>
  <c r="AE251" i="8"/>
  <c r="AE235" i="8"/>
  <c r="AE219" i="8"/>
  <c r="AE203" i="8"/>
  <c r="AE187" i="8"/>
  <c r="AE171" i="8"/>
  <c r="AE155" i="8"/>
  <c r="AE139" i="8"/>
  <c r="AE123" i="8"/>
  <c r="AE107" i="8"/>
  <c r="AE91" i="8"/>
  <c r="AE75" i="8"/>
  <c r="AE59" i="8"/>
  <c r="AE43" i="8"/>
  <c r="AE27" i="8"/>
  <c r="AE11" i="8"/>
  <c r="AE240" i="8"/>
  <c r="AE287" i="8"/>
  <c r="AE363" i="8"/>
  <c r="AE362" i="8"/>
  <c r="AE346" i="8"/>
  <c r="AE330" i="8"/>
  <c r="AE314" i="8"/>
  <c r="AE298" i="8"/>
  <c r="AE282" i="8"/>
  <c r="AE266" i="8"/>
  <c r="AE250" i="8"/>
  <c r="AE234" i="8"/>
  <c r="AE218" i="8"/>
  <c r="AE202" i="8"/>
  <c r="AE186" i="8"/>
  <c r="AE170" i="8"/>
  <c r="AE154" i="8"/>
  <c r="AE138" i="8"/>
  <c r="AE122" i="8"/>
  <c r="AE106" i="8"/>
  <c r="AE90" i="8"/>
  <c r="AE74" i="8"/>
  <c r="AE58" i="8"/>
  <c r="AE42" i="8"/>
  <c r="AE26" i="8"/>
  <c r="AE10" i="8"/>
  <c r="AE288" i="8"/>
  <c r="AE16" i="8"/>
  <c r="AE319" i="8"/>
  <c r="AE361" i="8"/>
  <c r="AE345" i="8"/>
  <c r="AE329" i="8"/>
  <c r="AE313" i="8"/>
  <c r="AE297" i="8"/>
  <c r="AE281" i="8"/>
  <c r="AE265" i="8"/>
  <c r="AE249" i="8"/>
  <c r="AE233" i="8"/>
  <c r="AE217" i="8"/>
  <c r="AE201" i="8"/>
  <c r="AE185" i="8"/>
  <c r="AE169" i="8"/>
  <c r="AE153" i="8"/>
  <c r="AE137" i="8"/>
  <c r="AE121" i="8"/>
  <c r="AE105" i="8"/>
  <c r="AE89" i="8"/>
  <c r="AE73" i="8"/>
  <c r="AE57" i="8"/>
  <c r="AE41" i="8"/>
  <c r="AE25" i="8"/>
  <c r="AE9" i="8"/>
  <c r="AE224" i="8"/>
  <c r="AE351" i="8"/>
  <c r="AE344" i="8"/>
  <c r="AE328" i="8"/>
  <c r="AE312" i="8"/>
  <c r="AE296" i="8"/>
  <c r="AE280" i="8"/>
  <c r="AE264" i="8"/>
  <c r="AE248" i="8"/>
  <c r="AE232" i="8"/>
  <c r="AE216" i="8"/>
  <c r="AE200" i="8"/>
  <c r="AE184" i="8"/>
  <c r="AE168" i="8"/>
  <c r="AE152" i="8"/>
  <c r="AE136" i="8"/>
  <c r="AE120" i="8"/>
  <c r="AE104" i="8"/>
  <c r="AE88" i="8"/>
  <c r="AE72" i="8"/>
  <c r="AE56" i="8"/>
  <c r="AE40" i="8"/>
  <c r="AE24" i="8"/>
  <c r="AE8" i="8"/>
  <c r="AE256" i="8"/>
  <c r="AE32" i="8"/>
  <c r="AE359" i="8"/>
  <c r="AE343" i="8"/>
  <c r="AE327" i="8"/>
  <c r="AE311" i="8"/>
  <c r="AE295" i="8"/>
  <c r="AE279" i="8"/>
  <c r="AE263" i="8"/>
  <c r="AE247" i="8"/>
  <c r="AE231" i="8"/>
  <c r="AE215" i="8"/>
  <c r="AE199" i="8"/>
  <c r="AE183" i="8"/>
  <c r="AE167" i="8"/>
  <c r="AE151" i="8"/>
  <c r="AE135" i="8"/>
  <c r="AE119" i="8"/>
  <c r="AE103" i="8"/>
  <c r="AE87" i="8"/>
  <c r="AE71" i="8"/>
  <c r="AE55" i="8"/>
  <c r="AE39" i="8"/>
  <c r="AE23" i="8"/>
  <c r="AE7" i="8"/>
  <c r="AE96" i="8"/>
  <c r="AE335" i="8"/>
  <c r="AE342" i="8"/>
  <c r="AE326" i="8"/>
  <c r="AE310" i="8"/>
  <c r="AE294" i="8"/>
  <c r="AE278" i="8"/>
  <c r="AE262" i="8"/>
  <c r="AE246" i="8"/>
  <c r="AE230" i="8"/>
  <c r="AE214" i="8"/>
  <c r="AE198" i="8"/>
  <c r="AE182" i="8"/>
  <c r="AE166" i="8"/>
  <c r="AE150" i="8"/>
  <c r="AE134" i="8"/>
  <c r="AE118" i="8"/>
  <c r="AE102" i="8"/>
  <c r="AE86" i="8"/>
  <c r="AE70" i="8"/>
  <c r="AE54" i="8"/>
  <c r="AE38" i="8"/>
  <c r="AE22" i="8"/>
  <c r="AE6" i="8"/>
  <c r="AE272" i="8"/>
  <c r="AE48" i="8"/>
  <c r="AE303" i="8"/>
  <c r="AE341" i="8"/>
  <c r="AE325" i="8"/>
  <c r="AE309" i="8"/>
  <c r="AE293" i="8"/>
  <c r="AE277" i="8"/>
  <c r="AE261" i="8"/>
  <c r="AE245" i="8"/>
  <c r="AE229" i="8"/>
  <c r="AE213" i="8"/>
  <c r="AE197" i="8"/>
  <c r="AE181" i="8"/>
  <c r="AE165" i="8"/>
  <c r="AE149" i="8"/>
  <c r="AE133" i="8"/>
  <c r="AE117" i="8"/>
  <c r="AE101" i="8"/>
  <c r="AE85" i="8"/>
  <c r="AE69" i="8"/>
  <c r="AE53" i="8"/>
  <c r="AE37" i="8"/>
  <c r="AE21" i="8"/>
  <c r="AE5" i="8"/>
  <c r="AE320" i="8"/>
  <c r="AE160" i="8"/>
  <c r="AE360" i="8"/>
  <c r="AE356" i="8"/>
  <c r="AE340" i="8"/>
  <c r="AE324" i="8"/>
  <c r="AE308" i="8"/>
  <c r="AE292" i="8"/>
  <c r="AE276" i="8"/>
  <c r="AE260" i="8"/>
  <c r="AE244" i="8"/>
  <c r="AE228" i="8"/>
  <c r="AE212" i="8"/>
  <c r="AE196" i="8"/>
  <c r="AE180" i="8"/>
  <c r="AE164" i="8"/>
  <c r="AE148" i="8"/>
  <c r="AE132" i="8"/>
  <c r="AE116" i="8"/>
  <c r="AE100" i="8"/>
  <c r="AE84" i="8"/>
  <c r="AE68" i="8"/>
  <c r="AE52" i="8"/>
  <c r="AE36" i="8"/>
  <c r="AE20" i="8"/>
  <c r="AE352" i="8"/>
  <c r="AE112" i="8"/>
  <c r="AE357" i="8"/>
  <c r="AE355" i="8"/>
  <c r="AE339" i="8"/>
  <c r="AE323" i="8"/>
  <c r="AE307" i="8"/>
  <c r="AE291" i="8"/>
  <c r="AE275" i="8"/>
  <c r="AE259" i="8"/>
  <c r="AE243" i="8"/>
  <c r="AE227" i="8"/>
  <c r="AE211" i="8"/>
  <c r="AE195" i="8"/>
  <c r="AE179" i="8"/>
  <c r="AE163" i="8"/>
  <c r="AE147" i="8"/>
  <c r="AE131" i="8"/>
  <c r="AE115" i="8"/>
  <c r="AE99" i="8"/>
  <c r="AE83" i="8"/>
  <c r="AE67" i="8"/>
  <c r="AE51" i="8"/>
  <c r="AE35" i="8"/>
  <c r="AE19" i="8"/>
  <c r="AE176" i="8"/>
  <c r="AE358" i="8"/>
  <c r="AE354" i="8"/>
  <c r="AE338" i="8"/>
  <c r="AE322" i="8"/>
  <c r="AE306" i="8"/>
  <c r="AE290" i="8"/>
  <c r="AE274" i="8"/>
  <c r="AE258" i="8"/>
  <c r="AE242" i="8"/>
  <c r="AE226" i="8"/>
  <c r="AE210" i="8"/>
  <c r="AE194" i="8"/>
  <c r="AE178" i="8"/>
  <c r="AE162" i="8"/>
  <c r="AE146" i="8"/>
  <c r="AE130" i="8"/>
  <c r="AE114" i="8"/>
  <c r="AE98" i="8"/>
  <c r="AE82" i="8"/>
  <c r="AE66" i="8"/>
  <c r="AE50" i="8"/>
  <c r="AE34" i="8"/>
  <c r="AE18" i="8"/>
  <c r="AE208" i="8"/>
  <c r="AE4" i="8"/>
  <c r="AE353" i="8"/>
  <c r="AE337" i="8"/>
  <c r="AE321" i="8"/>
  <c r="AE305" i="8"/>
  <c r="AE289" i="8"/>
  <c r="AE273" i="8"/>
  <c r="AE257" i="8"/>
  <c r="AE241" i="8"/>
  <c r="AE225" i="8"/>
  <c r="AE209" i="8"/>
  <c r="AE193" i="8"/>
  <c r="AE177" i="8"/>
  <c r="AE161" i="8"/>
  <c r="AE145" i="8"/>
  <c r="AE129" i="8"/>
  <c r="AE113" i="8"/>
  <c r="AE97" i="8"/>
  <c r="AE81" i="8"/>
  <c r="AE65" i="8"/>
  <c r="AE49" i="8"/>
  <c r="AE33" i="8"/>
  <c r="AE17" i="8"/>
  <c r="P145" i="1"/>
  <c r="P144" i="1"/>
  <c r="P217" i="1"/>
  <c r="P216" i="1"/>
  <c r="P215" i="1"/>
  <c r="P214" i="1"/>
  <c r="P204" i="1"/>
  <c r="P203" i="1"/>
  <c r="P202" i="1"/>
  <c r="P201" i="1"/>
  <c r="P187" i="1"/>
  <c r="P188" i="1"/>
  <c r="P189" i="1"/>
  <c r="P190" i="1"/>
  <c r="P191" i="1"/>
  <c r="P192" i="1"/>
  <c r="AC12" i="8"/>
  <c r="AC11" i="8"/>
  <c r="AC10" i="8"/>
  <c r="AC9" i="8"/>
  <c r="AC8" i="8"/>
  <c r="AC15" i="8"/>
  <c r="AC7" i="8"/>
  <c r="AC14" i="8"/>
  <c r="AC6" i="8"/>
  <c r="AC13" i="8"/>
  <c r="AC5" i="8"/>
  <c r="AC4" i="8"/>
  <c r="AC3" i="8"/>
  <c r="AA10" i="8"/>
  <c r="AA9" i="8"/>
  <c r="AA8" i="8"/>
  <c r="AA7" i="8"/>
  <c r="AA6" i="8"/>
  <c r="AA5" i="8"/>
  <c r="AA4" i="8"/>
  <c r="AA3" i="8"/>
  <c r="P236" i="1"/>
  <c r="AC52" i="3"/>
  <c r="AC26" i="3"/>
  <c r="AC24" i="3"/>
  <c r="AC23" i="3"/>
  <c r="AC21" i="3"/>
  <c r="AC19" i="3"/>
  <c r="AC17" i="3"/>
  <c r="AC34" i="3"/>
  <c r="AC33" i="3"/>
  <c r="AC29" i="3"/>
  <c r="AC28" i="3"/>
  <c r="AC38" i="3"/>
  <c r="AC37" i="3"/>
  <c r="AC36" i="3"/>
  <c r="AC15" i="3"/>
  <c r="AC14" i="3"/>
  <c r="AC13" i="3"/>
  <c r="AC9" i="3"/>
  <c r="AC11" i="3"/>
  <c r="AC10" i="3"/>
  <c r="R62" i="4"/>
  <c r="R61" i="4"/>
  <c r="M64" i="5"/>
  <c r="M72" i="5"/>
  <c r="M34" i="5"/>
  <c r="M19" i="5"/>
  <c r="M8" i="5"/>
  <c r="M27" i="5"/>
  <c r="M38" i="5"/>
  <c r="M9" i="5"/>
  <c r="M6" i="5"/>
  <c r="M43" i="5"/>
  <c r="M40" i="5"/>
  <c r="M2" i="5"/>
  <c r="P136" i="1"/>
  <c r="P235" i="1"/>
  <c r="P78" i="1"/>
  <c r="P77" i="1"/>
  <c r="P76" i="1"/>
  <c r="P75" i="1"/>
  <c r="P74" i="1"/>
  <c r="P234" i="1"/>
  <c r="P233" i="1"/>
  <c r="P232" i="1"/>
  <c r="P231" i="1"/>
  <c r="P152" i="1"/>
  <c r="P151" i="1"/>
  <c r="P150" i="1"/>
  <c r="P153" i="1"/>
  <c r="P149" i="1"/>
  <c r="P148" i="1"/>
  <c r="P143" i="1"/>
  <c r="P142" i="1"/>
  <c r="P141" i="1"/>
  <c r="P140" i="1"/>
  <c r="P139" i="1"/>
  <c r="P134" i="1"/>
  <c r="P133" i="1"/>
  <c r="P135" i="1"/>
  <c r="P132" i="1"/>
  <c r="P131" i="1"/>
  <c r="P130" i="1"/>
  <c r="P129" i="1"/>
  <c r="P128" i="1"/>
  <c r="P122" i="1"/>
  <c r="P121" i="1"/>
  <c r="P120" i="1"/>
  <c r="P119" i="1"/>
  <c r="P115" i="1"/>
  <c r="P113" i="1"/>
  <c r="P112" i="1"/>
  <c r="P114" i="1"/>
  <c r="P116" i="1"/>
  <c r="P111" i="1"/>
  <c r="P110" i="1"/>
  <c r="P107" i="1"/>
  <c r="P106" i="1"/>
  <c r="P105" i="1"/>
  <c r="P98" i="1"/>
  <c r="P97" i="1"/>
  <c r="P100" i="1"/>
  <c r="P96" i="1"/>
  <c r="P102" i="1"/>
  <c r="P99" i="1"/>
  <c r="P101" i="1"/>
  <c r="P95" i="1"/>
  <c r="P94" i="1"/>
  <c r="P90" i="1"/>
  <c r="P91" i="1"/>
  <c r="P89" i="1"/>
  <c r="P88" i="1"/>
  <c r="P87" i="1"/>
  <c r="P86" i="1"/>
  <c r="P85" i="1"/>
  <c r="P60" i="1"/>
  <c r="P59" i="1"/>
  <c r="P58" i="1"/>
  <c r="P53" i="1"/>
  <c r="P55" i="1"/>
  <c r="P52" i="1"/>
  <c r="P54" i="1"/>
  <c r="P51" i="1"/>
  <c r="P50" i="1"/>
  <c r="P41" i="1"/>
  <c r="P42" i="1"/>
  <c r="P43" i="1"/>
  <c r="P40" i="1"/>
  <c r="P39"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R34" i="4"/>
  <c r="R42" i="4"/>
  <c r="R40" i="4"/>
  <c r="R21" i="4"/>
  <c r="M37" i="5" a="1"/>
  <c r="M26" i="5" a="1"/>
  <c r="M5" i="5" a="1"/>
  <c r="M71" i="5" a="1"/>
  <c r="M42" i="5" a="1"/>
  <c r="M42" i="5" l="1"/>
  <c r="M5" i="5"/>
  <c r="M71" i="5"/>
  <c r="M26" i="5"/>
  <c r="M37" i="5"/>
  <c r="K4" i="2"/>
  <c r="K5" i="2"/>
  <c r="K6" i="2"/>
  <c r="K7" i="2"/>
  <c r="K8" i="2"/>
  <c r="K9" i="2"/>
  <c r="K10" i="2"/>
  <c r="K11" i="2"/>
  <c r="K12" i="2"/>
  <c r="K13" i="2"/>
  <c r="K14" i="2"/>
  <c r="K3" i="2"/>
  <c r="M41" i="5" a="1"/>
  <c r="M25" i="5" a="1"/>
  <c r="M70" i="5" a="1"/>
  <c r="M36" i="5" a="1"/>
  <c r="M4" i="5" a="1"/>
  <c r="R30" i="4" a="1"/>
  <c r="R18" i="4" a="1"/>
  <c r="R26" i="4" a="1"/>
  <c r="R13" i="4" a="1"/>
  <c r="R12" i="4" a="1"/>
  <c r="R8" i="4" a="1"/>
  <c r="R23" i="4" a="1"/>
  <c r="R17" i="4" a="1"/>
  <c r="R24" i="4" a="1"/>
  <c r="R2" i="4" a="1"/>
  <c r="R10" i="4" a="1"/>
  <c r="R20" i="4" a="1"/>
  <c r="R15" i="4" a="1"/>
  <c r="R25" i="4" a="1"/>
  <c r="AC2" i="3" a="1"/>
  <c r="AC4" i="3" a="1"/>
  <c r="M4" i="5" l="1"/>
  <c r="M41" i="5"/>
  <c r="M70" i="5"/>
  <c r="M25" i="5"/>
  <c r="M36" i="5"/>
  <c r="R13" i="4"/>
  <c r="R17" i="4"/>
  <c r="R18" i="4"/>
  <c r="R20" i="4"/>
  <c r="R30" i="4"/>
  <c r="R8" i="4"/>
  <c r="R10" i="4"/>
  <c r="R12" i="4"/>
  <c r="R15" i="4"/>
  <c r="R26" i="4"/>
  <c r="R25" i="4"/>
  <c r="R24" i="4"/>
  <c r="R23" i="4"/>
  <c r="AC4" i="3"/>
  <c r="AC2" i="3"/>
  <c r="R2" i="4"/>
  <c r="M3" i="5" a="1"/>
  <c r="M69" i="5" a="1"/>
  <c r="M24" i="5" a="1"/>
  <c r="M35" i="5" a="1"/>
  <c r="M3" i="5" l="1"/>
  <c r="M69" i="5"/>
  <c r="M24" i="5"/>
  <c r="M35" i="5"/>
  <c r="M68" i="5" a="1"/>
  <c r="M23" i="5" a="1"/>
  <c r="M68" i="5" l="1"/>
  <c r="M23" i="5"/>
  <c r="M67" i="5" a="1"/>
  <c r="M22" i="5" a="1"/>
  <c r="M67" i="5" l="1"/>
  <c r="M22" i="5"/>
  <c r="M66" i="5" a="1"/>
  <c r="M21" i="5" a="1"/>
  <c r="M66" i="5" l="1"/>
  <c r="M21" i="5"/>
  <c r="M65" i="5" a="1"/>
  <c r="M20" i="5" a="1"/>
  <c r="M65" i="5" l="1"/>
  <c r="M20"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<sst xmlns="http://schemas.openxmlformats.org/spreadsheetml/2006/main" count="3815" uniqueCount="883">
  <si>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</si>
  <si>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</si>
  <si>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</si>
  <si>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</si>
  <si>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</si>
  <si>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</si>
  <si>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</si>
  <si>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</si>
  <si>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</si>
  <si>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</si>
  <si>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</si>
  <si>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</si>
  <si>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</si>
  <si>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</si>
  <si>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</si>
  <si>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</si>
  <si>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</si>
  <si>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</si>
  <si>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</si>
  <si>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</si>
  <si>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</si>
  <si>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</si>
  <si>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</si>
  <si>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</si>
  <si>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</si>
  <si>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</si>
  <si>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</si>
  <si>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</si>
  <si>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</si>
  <si>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</si>
  <si>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</si>
  <si>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std::chrono::system_clock::time_point&gt;</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</si>
  <si>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</si>
  <si>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</si>
  <si>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</si>
  <si>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</si>
  <si>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</si>
  <si>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</si>
  <si>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</si>
  <si>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</si>
  <si>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</si>
  <si>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</si>
  <si>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</si>
  <si>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</si>
  <si>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</si>
  <si>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</si>
  <si>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</si>
  <si>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</si>
  <si>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</si>
  <si>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</si>
  <si>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</si>
  <si>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</si>
  <si>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</si>
  <si>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</si>
  <si>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</si>
  <si>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</si>
  <si>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</si>
  <si>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</si>
  <si>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</si>
  <si>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</si>
  <si>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</si>
  <si>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</si>
  <si>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</si>
  <si>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</si>
  <si>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</si>
  <si>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</si>
  <si>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</si>
  <si>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</si>
  <si>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</si>
  <si>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</si>
  <si>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</si>
  <si>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</si>
  <si>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</si>
  <si>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</si>
  <si>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</si>
  <si>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</si>
  <si>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</si>
  <si>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</si>
  <si>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</si>
  <si>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</si>
  <si>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</si>
  <si>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</si>
  <si>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</si>
  <si>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</si>
  <si>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</si>
  <si>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</si>
  <si>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</si>
  <si>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</si>
  <si>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</si>
  <si>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</si>
  <si>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</si>
  <si>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</si>
  <si>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</si>
  <si>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</si>
  <si>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</si>
  <si>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</si>
  <si>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</si>
  <si>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</si>
  <si>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</si>
  <si>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</si>
  <si>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</si>
  <si>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</si>
  <si>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</si>
  <si>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</si>
  <si>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</si>
  <si>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</si>
  <si>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</si>
  <si>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</si>
  <si>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</si>
  <si>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</si>
  <si>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</si>
  <si>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</si>
  <si>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</si>
  <si>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</si>
  <si>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</si>
  <si>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</si>
  <si>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</si>
  <si>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</si>
  <si>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</si>
  <si>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</si>
  <si>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</si>
  <si>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</si>
  <si>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</si>
  <si>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</si>
  <si>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</si>
  <si>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</si>
  <si>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</si>
  <si>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</si>
  <si>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</si>
  <si>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</si>
  <si>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</si>
  <si>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</si>
  <si>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</si>
  <si>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</si>
  <si>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</si>
  <si>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</si>
  <si>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</si>
  <si>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</si>
  <si>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</si>
  <si>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</si>
  <si>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</si>
  <si>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</si>
  <si>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</si>
  <si>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</si>
  <si>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</si>
  <si>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</si>
  <si>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</si>
  <si>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</si>
  <si>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</si>
  <si>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</si>
  <si>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</si>
  <si>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</si>
  <si>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</si>
  <si>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</si>
  <si>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</si>
  <si>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</si>
  <si>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</si>
  <si>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</si>
  <si>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</si>
  <si>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</si>
  <si>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</si>
  <si>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</si>
  <si>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</si>
  <si>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</si>
  <si>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</si>
  <si>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</si>
  <si>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</si>
  <si>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</si>
  <si>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</si>
  <si>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</si>
  <si>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</si>
  <si>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</si>
  <si>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</si>
  <si>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</si>
  <si>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</si>
  <si>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</si>
  <si>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</si>
  <si>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</si>
  <si>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</si>
  <si>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</si>
  <si>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</si>
  <si>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</si>
  <si>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0</t>
  </si>
  <si>
    <t>' '</t>
  </si>
  <si>
    <t>std::chrono::system_clock::now()</t>
  </si>
  <si>
    <t>std::chrono::floor&lt;std::chrono::days&gt;(std::chrono::system_clock::now())</t>
  </si>
  <si>
    <t>0.0</t>
  </si>
  <si>
    <t>\"\"</t>
  </si>
  <si>
    <t>Init</t>
  </si>
  <si>
    <t>Zip code for the address</t>
  </si>
  <si>
    <t>refAddress2Person</t>
  </si>
  <si>
    <t>range value to extent the relationship of a person to an address</t>
  </si>
  <si>
    <t>refAddress2AddressType</t>
  </si>
  <si>
    <t>refAddress2Countries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</si>
  <si>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</si>
  <si>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</si>
  <si>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</si>
  <si>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</si>
  <si>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</si>
  <si>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</si>
  <si>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</si>
  <si>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</si>
  <si>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</si>
  <si>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</si>
  <si>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</si>
  <si>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uk_AddressType_Denotation</t>
  </si>
  <si>
    <t>unique / representative denotation for an addresstye as key canditate</t>
  </si>
  <si>
    <t>idx_Address_City_Street</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</si>
  <si>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</si>
  <si>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</si>
  <si>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</si>
  <si>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</si>
  <si>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</si>
  <si>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</si>
  <si>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</si>
  <si>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</si>
  <si>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</si>
  <si>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</si>
  <si>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</si>
  <si>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</si>
  <si>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</si>
  <si>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</si>
  <si>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</si>
  <si>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</si>
  <si>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</si>
  <si>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idx_Banking_IBAN</t>
  </si>
  <si>
    <t>access path to search a specific IBAN account number in data</t>
  </si>
  <si>
    <t>refBanking2Countries</t>
  </si>
  <si>
    <t>refBanking2Person</t>
  </si>
  <si>
    <t>refBanking2Type</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</si>
  <si>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</si>
  <si>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</si>
  <si>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</si>
  <si>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</si>
  <si>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uk_BankingTypes_Denotation</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</si>
  <si>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</si>
  <si>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</si>
  <si>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</si>
  <si>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</si>
  <si>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</si>
  <si>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</si>
  <si>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</si>
  <si>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</si>
  <si>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</si>
  <si>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</si>
  <si>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</si>
  <si>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</si>
  <si>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</si>
  <si>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</si>
  <si>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</si>
  <si>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</si>
  <si>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</si>
  <si>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</si>
  <si>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</si>
  <si>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</si>
  <si>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</si>
  <si>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refEmployees2Person</t>
  </si>
  <si>
    <t>generalization from an employee to a person (is-a relationship)</t>
  </si>
  <si>
    <t>refEmployees2JobPositions</t>
  </si>
  <si>
    <t>range value as domain for this attribute, possible jobpositions in company</t>
  </si>
  <si>
    <t>refEmployees2Department</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</si>
  <si>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</si>
  <si>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</si>
  <si>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</si>
  <si>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uk_Employees_PersonNumber</t>
  </si>
  <si>
    <t>idx_Employees_JobSpec</t>
  </si>
  <si>
    <t>access path to search for informations about job specifications</t>
  </si>
  <si>
    <t>uk_Employees_SocialNumber</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</si>
  <si>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</si>
  <si>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</si>
  <si>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</si>
  <si>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</si>
  <si>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</si>
  <si>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</si>
  <si>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</si>
  <si>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</si>
  <si>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</si>
  <si>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</si>
  <si>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idx_Employees_Active</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</si>
  <si>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</si>
  <si>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</si>
  <si>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</si>
  <si>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</si>
  <si>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</si>
  <si>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</si>
  <si>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</si>
  <si>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</si>
  <si>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</si>
  <si>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</si>
  <si>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</si>
  <si>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</si>
  <si>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</si>
  <si>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</si>
  <si>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</si>
  <si>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</si>
  <si>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</si>
  <si>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</si>
  <si>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</si>
  <si>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</si>
  <si>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</si>
  <si>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</si>
  <si>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</si>
  <si>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</si>
  <si>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</si>
  <si>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</si>
  <si>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</si>
  <si>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</si>
  <si>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</si>
  <si>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</si>
  <si>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</si>
  <si>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</si>
  <si>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</si>
  <si>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</si>
  <si>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</si>
  <si>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</si>
  <si>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</si>
  <si>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</si>
  <si>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</si>
  <si>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</si>
  <si>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</si>
  <si>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</si>
  <si>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</si>
  <si>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</si>
  <si>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</si>
  <si>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</si>
  <si>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</si>
  <si>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</si>
  <si>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</si>
  <si>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</si>
  <si>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'Diverse'</t>
  </si>
  <si>
    <t>'Firma'</t>
  </si>
  <si>
    <t>'Familie'</t>
  </si>
  <si>
    <t>'Verein'</t>
  </si>
  <si>
    <t>dbo.TaxClasses</t>
  </si>
  <si>
    <t>boolean value that makes this entity of tax classes to a system value (cannot be changed as it is used directly by the program)</t>
  </si>
  <si>
    <t>TaxClass</t>
  </si>
  <si>
    <t>Tax class currently held by the employee</t>
  </si>
  <si>
    <t>refEmployees2TaxClass</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</si>
  <si>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</si>
  <si>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</si>
  <si>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</si>
  <si>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</si>
  <si>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</si>
  <si>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</si>
  <si>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</si>
  <si>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</si>
  <si>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</si>
  <si>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</si>
  <si>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</si>
  <si>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</si>
  <si>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</si>
  <si>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</si>
  <si>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</si>
  <si>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</si>
  <si>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</si>
  <si>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</si>
  <si>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</si>
  <si>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</si>
  <si>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</si>
  <si>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</si>
  <si>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</si>
  <si>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</si>
  <si>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</si>
  <si>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</si>
  <si>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</si>
  <si>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uk_FamilyTypes_Denotation</t>
  </si>
  <si>
    <t>unique / representative denotation for a family type (choosen gender) as key canditate for this entity</t>
  </si>
  <si>
    <t>uk_Departments_Denotation</t>
  </si>
  <si>
    <t>unique / representative denotation forthe department as key canditate for this entity</t>
  </si>
  <si>
    <t>uk_Countries_Denotation</t>
  </si>
  <si>
    <t>uk_Countries_ISOCode</t>
  </si>
  <si>
    <t>unique / representative official name of the country as key canditate for this entity</t>
  </si>
  <si>
    <t>unique / representative official iso code of the country as key canditate for this entity</t>
  </si>
  <si>
    <t>idx_Banking_BIC</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</si>
  <si>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</si>
  <si>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</si>
  <si>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</si>
  <si>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</si>
  <si>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</si>
  <si>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</si>
  <si>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</si>
  <si>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</si>
  <si>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</si>
  <si>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</si>
  <si>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</si>
  <si>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</si>
  <si>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</si>
  <si>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</si>
  <si>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</si>
  <si>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</si>
  <si>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</si>
  <si>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</si>
  <si>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</si>
  <si>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</si>
  <si>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</si>
  <si>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</si>
  <si>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</si>
  <si>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</si>
  <si>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</si>
  <si>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</si>
  <si>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</si>
  <si>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</si>
  <si>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</si>
  <si>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</si>
  <si>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</si>
  <si>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</si>
  <si>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</si>
  <si>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</si>
  <si>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</si>
  <si>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idx_Departments_Abbr</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</si>
  <si>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</si>
  <si>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</si>
  <si>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</si>
  <si>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</si>
  <si>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</si>
  <si>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</si>
  <si>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</si>
  <si>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</si>
  <si>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</si>
  <si>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idx_Person_Name_Firstname</t>
  </si>
  <si>
    <t>access path to search for name and / or firstname in a person</t>
  </si>
  <si>
    <t>refPhone2Person</t>
  </si>
  <si>
    <t>part of relationship from a phone number to the person who own it</t>
  </si>
  <si>
    <t>range value to extent the relationship of a person to a phone number</t>
  </si>
  <si>
    <t>key ID to the associated entity of Countries, where phone connection located</t>
  </si>
  <si>
    <t>refPhone2Type</t>
  </si>
  <si>
    <t>refPhone2Countries</t>
  </si>
  <si>
    <t>idx_Phone_Number</t>
  </si>
  <si>
    <t>access path to search a phone number</t>
  </si>
  <si>
    <t>refPerson2FamilyStatus</t>
  </si>
  <si>
    <t>refPerson2FormOfAddress</t>
  </si>
  <si>
    <t>range value to extent the relationship of a person to a form of address</t>
  </si>
  <si>
    <t>range value to extent the relationship of a person to a family status</t>
  </si>
  <si>
    <t>refInternet2Person</t>
  </si>
  <si>
    <t>refInternet2Type</t>
  </si>
  <si>
    <t>part of relationship from an internet connection to the person who own it</t>
  </si>
  <si>
    <t>range value to extent the relationship of a person to an internet connection</t>
  </si>
  <si>
    <t>idxInternet_Address</t>
  </si>
  <si>
    <t>access path to seach a address of internet connection</t>
  </si>
  <si>
    <t>refFormOfAddress2Type</t>
  </si>
  <si>
    <t>represent</t>
  </si>
  <si>
    <t>assoziation between a form of address and a familiy type which is represent</t>
  </si>
  <si>
    <t>refWorkTime2Employee</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</si>
  <si>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</si>
  <si>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</si>
  <si>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</si>
  <si>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</si>
  <si>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</si>
  <si>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</si>
  <si>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</si>
  <si>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</si>
  <si>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</si>
  <si>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</si>
  <si>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</si>
  <si>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</si>
  <si>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</si>
  <si>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</si>
  <si>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</si>
  <si>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</si>
  <si>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</si>
  <si>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</si>
  <si>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refDepartments2Employee</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</si>
  <si>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</si>
  <si>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</si>
  <si>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</si>
  <si>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</si>
  <si>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</si>
  <si>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</si>
  <si>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</si>
  <si>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</si>
  <si>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</si>
  <si>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</si>
  <si>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</si>
  <si>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</si>
  <si>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</si>
  <si>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</si>
  <si>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</si>
  <si>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</si>
  <si>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</si>
  <si>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</si>
  <si>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</si>
  <si>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</si>
  <si>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</si>
  <si>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</si>
  <si>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</si>
  <si>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</si>
  <si>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</si>
  <si>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</si>
  <si>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</si>
  <si>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</si>
  <si>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</si>
  <si>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</si>
  <si>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</si>
  <si>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</si>
  <si>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</si>
  <si>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</si>
  <si>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</si>
  <si>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</si>
  <si>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</si>
  <si>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</si>
  <si>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</si>
  <si>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</si>
  <si>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</si>
  <si>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uk_TaxClasses_Denotation</t>
  </si>
  <si>
    <t>uk_TaxClasses_Abbreviation</t>
  </si>
  <si>
    <t>tax class in germany to use it with employees (not a range, but very similar)</t>
  </si>
  <si>
    <t>unique abbreviation of a tax class entity in the domain, used in overviews and reports</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</si>
  <si>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</si>
  <si>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</si>
  <si>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</si>
  <si>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</si>
  <si>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</si>
  <si>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</si>
  <si>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</si>
  <si>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</si>
  <si>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</si>
  <si>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</si>
  <si>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</si>
  <si>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</si>
  <si>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</si>
  <si>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</si>
  <si>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</si>
  <si>
    <t>composition</t>
  </si>
  <si>
    <t>n : 1</t>
  </si>
  <si>
    <t>1 : 1</t>
  </si>
  <si>
    <t>calculated field for displaying the full name for use in the program \\n for example, if a person is to be selected</t>
  </si>
  <si>
    <t>System/Corporate</t>
  </si>
  <si>
    <t>System/HR</t>
  </si>
  <si>
    <t>'Non-Binär'</t>
  </si>
  <si>
    <t>'Neujahr'</t>
  </si>
  <si>
    <t>Day</t>
  </si>
  <si>
    <t>Workday</t>
  </si>
  <si>
    <t>Year</t>
  </si>
  <si>
    <t>Month</t>
  </si>
  <si>
    <t>Quarter</t>
  </si>
  <si>
    <t>DayOfWork</t>
  </si>
  <si>
    <t>calculated day to the timepoint where work started</t>
  </si>
  <si>
    <t>boolean indicator that specifies whether this time booking has already been charged</t>
  </si>
  <si>
    <t>date and time at which this block of work finished as timestamp</t>
  </si>
  <si>
    <t>{ }</t>
  </si>
  <si>
    <t>phone connections of persons (part of relationship)</t>
  </si>
  <si>
    <t>[convert(date, StartingTime)]</t>
  </si>
  <si>
    <t>[convert(date, ClosingTime) = DayOfWork and ClosingTime &gt; StartingTime]</t>
  </si>
  <si>
    <t>'Frau'</t>
  </si>
  <si>
    <t>EndOfJob</t>
  </si>
  <si>
    <t>end date of the employee in the company, all dates without time history</t>
  </si>
  <si>
    <t>calculated boolean value indicating whether the person is active in the company</t>
  </si>
  <si>
    <t>[EndOfJob IS NULL OR (EndOfJob &gt; StartOfJob)]</t>
  </si>
  <si>
    <t>[IIF(EndOfJob IS NULL OR EndOfJob &gt;= GETDATE(), 1, 0)]</t>
  </si>
  <si>
    <t>Input</t>
  </si>
  <si>
    <t>'Montag'</t>
  </si>
  <si>
    <t>'Dienstag'</t>
  </si>
  <si>
    <t>'Mittwoch'</t>
  </si>
  <si>
    <t>'Donnerstag'</t>
  </si>
  <si>
    <t>'Freitag'</t>
  </si>
  <si>
    <t>'Sonnabend'</t>
  </si>
  <si>
    <t>'Sonntag'</t>
  </si>
  <si>
    <t>'Mo'</t>
  </si>
  <si>
    <t>'Di'</t>
  </si>
  <si>
    <t>'Mi'</t>
  </si>
  <si>
    <t>'Do'</t>
  </si>
  <si>
    <t>'Fr'</t>
  </si>
  <si>
    <t>'Sa'</t>
  </si>
  <si>
    <t>'So'</t>
  </si>
  <si>
    <t>'Januar'</t>
  </si>
  <si>
    <t>'Februar'</t>
  </si>
  <si>
    <t>'März'</t>
  </si>
  <si>
    <t>'April'</t>
  </si>
  <si>
    <t>'Mai'</t>
  </si>
  <si>
    <t>'Juni'</t>
  </si>
  <si>
    <t>'Juli'</t>
  </si>
  <si>
    <t>'August'</t>
  </si>
  <si>
    <t>'September'</t>
  </si>
  <si>
    <t>'Oktober'</t>
  </si>
  <si>
    <t>'November'</t>
  </si>
  <si>
    <t>'Dezember'</t>
  </si>
  <si>
    <t>'Jan'</t>
  </si>
  <si>
    <t>'Mär'</t>
  </si>
  <si>
    <t>'Apr'</t>
  </si>
  <si>
    <t>'Jun'</t>
  </si>
  <si>
    <t>'Jul'</t>
  </si>
  <si>
    <t>'Aug'</t>
  </si>
  <si>
    <t>'Sep'</t>
  </si>
  <si>
    <t>'Okt'</t>
  </si>
  <si>
    <t>'Nov'</t>
  </si>
  <si>
    <t>'Dez'</t>
  </si>
  <si>
    <t>'Feb'</t>
  </si>
  <si>
    <t>WD_Weekdays</t>
  </si>
  <si>
    <t>WD_Months</t>
  </si>
  <si>
    <t>domain for days of week, used for table working time. Possible to extent with informations. In area HR only</t>
  </si>
  <si>
    <t>dbo.WD_Weekdays</t>
  </si>
  <si>
    <t>dbo.WD_Months</t>
  </si>
  <si>
    <t>myHR::WD_Months</t>
  </si>
  <si>
    <t>unique identification number for a record in this domain with monthes for human resources</t>
  </si>
  <si>
    <t>unique identification number for a record in this domain with weekdays for human resources</t>
  </si>
  <si>
    <t xml:space="preserve">unique denation for this weekday </t>
  </si>
  <si>
    <t xml:space="preserve">unique abbreviation for this weekday </t>
  </si>
  <si>
    <t>boolean value to control the work time, true if this weekday usual a workday</t>
  </si>
  <si>
    <t>unsigned value with the number auf the quarter, values in 1 - 4</t>
  </si>
  <si>
    <t>Donation</t>
  </si>
  <si>
    <t>Share</t>
  </si>
  <si>
    <t>WD_Holidays</t>
  </si>
  <si>
    <t>'Internationaler Frauentag'</t>
  </si>
  <si>
    <t>'Karfreitag'</t>
  </si>
  <si>
    <t>'Ostersonntag'</t>
  </si>
  <si>
    <t>'Ostermontag'</t>
  </si>
  <si>
    <t>'Tag der Arbeit'</t>
  </si>
  <si>
    <t>'Christi Himmelfahrt'</t>
  </si>
  <si>
    <t>'Pfingstmontag'</t>
  </si>
  <si>
    <t>'Tag der Deutschen Einheit'</t>
  </si>
  <si>
    <t>'Heiligabend'</t>
  </si>
  <si>
    <t>'1. Weihnachtsfeiertag'</t>
  </si>
  <si>
    <t>'2. Weihnachtsfeiertag'</t>
  </si>
  <si>
    <t>'Silvester'</t>
  </si>
  <si>
    <t>DialingInternational</t>
  </si>
  <si>
    <t>DialingNational</t>
  </si>
  <si>
    <t>unique identification number of the person to whom the phone data belongs (foreign key from person)</t>
  </si>
  <si>
    <t>type of telephone data (value range from PhoneType as foreign key, extension to 1:n relationship))</t>
  </si>
  <si>
    <t>area code or network code of the telephone connection</t>
  </si>
  <si>
    <t>call number within the local network or the selected cellphone network</t>
  </si>
  <si>
    <t>country id for this data as foreign key in the Countries table. the country code is also located here</t>
  </si>
  <si>
    <t>complete telephone number to be dialed in the national network as computed field</t>
  </si>
  <si>
    <t>complete telephone number to be dialed in the international network as computed field</t>
  </si>
  <si>
    <t>NOT LIKE '%[^0-9 -]%'</t>
  </si>
  <si>
    <t>AreaCode + REPLACE(REPLACE(CallNumber, ' ', ''), '-', '')</t>
  </si>
  <si>
    <t>'kA'</t>
  </si>
  <si>
    <t>'ledig'</t>
  </si>
  <si>
    <t>'ldg'</t>
  </si>
  <si>
    <t>'ledige Person'</t>
  </si>
  <si>
    <t>'verheiratet'</t>
  </si>
  <si>
    <t>'verh'</t>
  </si>
  <si>
    <t>'verheiratete Person'</t>
  </si>
  <si>
    <t>'geschieden'</t>
  </si>
  <si>
    <t>'gesch'</t>
  </si>
  <si>
    <t>'geschiedene Person'</t>
  </si>
  <si>
    <t>'verwitwert'</t>
  </si>
  <si>
    <t>'verw'</t>
  </si>
  <si>
    <t>'verwitwerte Person'</t>
  </si>
  <si>
    <t>'Lebenspartnerschaft'</t>
  </si>
  <si>
    <t>'LP'</t>
  </si>
  <si>
    <t>'eingetragene Lebenspartnerschaft'</t>
  </si>
  <si>
    <t>'unbekannt oder keine Angabe'</t>
  </si>
  <si>
    <t>'Herr'</t>
  </si>
  <si>
    <t>'Hr'</t>
  </si>
  <si>
    <t>'Anredesteuerung für Herr'</t>
  </si>
  <si>
    <t>'Anredesteuerung für Frauen'</t>
  </si>
  <si>
    <t>'Fa'</t>
  </si>
  <si>
    <t>'Anredesteuerung für Firmen'</t>
  </si>
  <si>
    <t>'Sehr geehrter Herr'</t>
  </si>
  <si>
    <t>'Mit freundlichen Grüßen'</t>
  </si>
  <si>
    <t>'Sehr geehrte Frau'</t>
  </si>
  <si>
    <t>'Sehr geehrte Damen und Herren'</t>
  </si>
  <si>
    <t>ReasonDeparture</t>
  </si>
  <si>
    <t>reason of departture when the person separated and the emplyment finished (NULL if active)</t>
  </si>
  <si>
    <t>refEmployees2ReasonDeparture</t>
  </si>
  <si>
    <t>separation because</t>
  </si>
  <si>
    <t>range value as domain for the reason for departure of the employee</t>
  </si>
  <si>
    <t>[(ReasonDeparture IS NULL AND EndOfJob IS NULL) OR  (ReasonDeparture IS NOT NULL AND EndOfJob IS NOT NULL)]</t>
  </si>
  <si>
    <t>dbo.ReasonDeparture</t>
  </si>
  <si>
    <t>myHR::ReasonDeparture</t>
  </si>
  <si>
    <t>unique identification number / id of the reason of the departure</t>
  </si>
  <si>
    <t>notes, with additional / free information for this type of phone connection, not used in application</t>
  </si>
  <si>
    <t>unique denotation for the reason of the departure</t>
  </si>
  <si>
    <t>description as long text for the reason of the departure, used in the application for detailed informations</t>
  </si>
  <si>
    <t>abbreviation for the reason of the departure, used in the application for a compact display</t>
  </si>
  <si>
    <t>notes, with additional / free information for the reason of the departure, not used in the application</t>
  </si>
  <si>
    <t>boolean value that makes this entity of reason of departure to a system value (cannot be changed as it is used directly by the program)</t>
  </si>
  <si>
    <t>'Kü'</t>
  </si>
  <si>
    <t>'En'</t>
  </si>
  <si>
    <t>'Re'</t>
  </si>
  <si>
    <t>'St'</t>
  </si>
  <si>
    <t>'Die Person verlässt das Unternehmen aufgrund des Erreichens des Rentenalters oder aus Altersgründen (Retirement ).'</t>
  </si>
  <si>
    <t>'Das Unternehmen hat das Arbeitsverhältnis mit der Person beendet (Dismissal )'</t>
  </si>
  <si>
    <t>'Die Person wird nicht mehr in diesem Programm geführt, da sie in einem anderen Unternehmensteil beschäftigt wird (restructuring).'</t>
  </si>
  <si>
    <t>'Die Person hat freiwillig beschlossen, das Unternehmen zu verlassen (Resignation).'</t>
  </si>
  <si>
    <t>IsEU</t>
  </si>
  <si>
    <t>abbreviation of the country for the program (iso code 3166 - alpha 3)</t>
  </si>
  <si>
    <t>unique, official international code (ISO code 3166 - alpha 2) for the country in the communication</t>
  </si>
  <si>
    <t>Capital</t>
  </si>
  <si>
    <t>Currency</t>
  </si>
  <si>
    <t>boolean value which is true when the country part of the european union</t>
  </si>
  <si>
    <t xml:space="preserve">name of the capital of this country </t>
  </si>
  <si>
    <t>currency in this country</t>
  </si>
  <si>
    <t>uk_FormOfAddress_Denotation</t>
  </si>
  <si>
    <t>unique / representative denotation for a form of address</t>
  </si>
  <si>
    <t>uk_FamilyStatus_Denotation</t>
  </si>
  <si>
    <t>unique / representative denotation for a family status as key canditate for this entity</t>
  </si>
  <si>
    <t>uk_InternetTypes_Denotation</t>
  </si>
  <si>
    <t>unique / representative denotation for this internet type</t>
  </si>
  <si>
    <t>uk_JobPositions_Denotation</t>
  </si>
  <si>
    <t>unique / representative denotation for this position in job</t>
  </si>
  <si>
    <t>uk_PhonesTypes_Denotation</t>
  </si>
  <si>
    <t>uk_ReasonDeparture_Denotation</t>
  </si>
  <si>
    <t>unique / representative denotation for this type of phone connections</t>
  </si>
  <si>
    <t>unique / representative denotation for this reason of departure</t>
  </si>
  <si>
    <t>WD_NonWorking</t>
  </si>
  <si>
    <t>dbo.WD_NonWorking</t>
  </si>
  <si>
    <t>myHR::WD_NonWorking</t>
  </si>
  <si>
    <t>attribute as foreign key from an attribute ID of a employee entity to who as idle this time</t>
  </si>
  <si>
    <t>StartAt</t>
  </si>
  <si>
    <t>ClosingAt</t>
  </si>
  <si>
    <t>ReasonNonWorking</t>
  </si>
  <si>
    <t>dbo.ReasonNonWorking</t>
  </si>
  <si>
    <t>myHR::ReasonNonWorking</t>
  </si>
  <si>
    <t>domain / range with the reasons of non working time / idle time</t>
  </si>
  <si>
    <t>domain / range with the reasons of departure of the employee</t>
  </si>
  <si>
    <t>unique identification number / id of the reason of non working times / idle times</t>
  </si>
  <si>
    <t>unique denotation for the reason of the non working times / idle times</t>
  </si>
  <si>
    <t>abbreviation for the reason of the non working times / idle times, used in the application for a compact display</t>
  </si>
  <si>
    <t>description as long text for the reason of the non working times / idle times, used in the application for detailed informations</t>
  </si>
  <si>
    <t>notes, with additional / free information for the reason of the non working times / idle times, not used in the application</t>
  </si>
  <si>
    <t>'Kündigung'</t>
  </si>
  <si>
    <t>'Rente'</t>
  </si>
  <si>
    <t>'Entlassung'</t>
  </si>
  <si>
    <t>'Restrukturierung'</t>
  </si>
  <si>
    <t>'Urlaub'</t>
  </si>
  <si>
    <t>'Sonderurlaub'</t>
  </si>
  <si>
    <t>'unbezahlt'</t>
  </si>
  <si>
    <t>'U'</t>
  </si>
  <si>
    <t>'K'</t>
  </si>
  <si>
    <t>'SU'</t>
  </si>
  <si>
    <t>'unbez'</t>
  </si>
  <si>
    <t>'Die Person hat regulären Urlaub (inklusive eventuelle Tage Resturlaub'</t>
  </si>
  <si>
    <t>'Die Person hat Sonderurlaub'</t>
  </si>
  <si>
    <t>'Die Person ist krankgeschrieben'</t>
  </si>
  <si>
    <t>'Krankheit bezahlt'</t>
  </si>
  <si>
    <t>'Krankheit unbezahlt'</t>
  </si>
  <si>
    <t>'KU'</t>
  </si>
  <si>
    <t>'Die Person ist krankgeschrieben, aber die Krankenkasse zahlt.'</t>
  </si>
  <si>
    <t>'Die Person ist unbezahlt freigestellt'</t>
  </si>
  <si>
    <t>uk_ReasonNonWorking_Denotation</t>
  </si>
  <si>
    <t>unique / representative denotation for this reason of idle time</t>
  </si>
  <si>
    <t>Reason</t>
  </si>
  <si>
    <t>entity set with non working days. Extensions possible, responsible for this table is HR.</t>
  </si>
  <si>
    <t>BETWEEN 1 AND 4</t>
  </si>
  <si>
    <t>BETWEEN 1 AND 12</t>
  </si>
  <si>
    <t>BETWEEN 0 AND 6</t>
  </si>
  <si>
    <t>idled</t>
  </si>
  <si>
    <t>part of relationship to idle times / times of non working</t>
  </si>
  <si>
    <t>refNonWorking2Employee</t>
  </si>
  <si>
    <t>refNonWorking2Reason</t>
  </si>
  <si>
    <t>range value who describe the reason for the idle time</t>
  </si>
  <si>
    <t>Entitlement to annual vacations for this employee</t>
  </si>
  <si>
    <t>VacationDays</t>
  </si>
  <si>
    <t>NOT LIKE '%[^0-9]%'</t>
  </si>
  <si>
    <t>unique denotation for a record in this domain with tax class types, used in the programm to indentify this tax class, as selection in comboboxes and such</t>
  </si>
  <si>
    <t>unique denotation for a record in this domain with months, used in the programm to indentify this month, as selection in comboboxes and such</t>
  </si>
  <si>
    <t>unique abbreviation of a month in the domain, used in overviews and reports</t>
  </si>
  <si>
    <t>domain with months for human resources, actually used for working time, later for processes too. This range make it possible additional informations to adding later. This isn't a typical range value.</t>
  </si>
  <si>
    <t>uk_WD_Months_Denotation</t>
  </si>
  <si>
    <t>uk_WD_Months_Abbreviation</t>
  </si>
  <si>
    <t>unique / representative denotation for this month, use in selections or to display</t>
  </si>
  <si>
    <t>unique / representative abbreviation for this month, use in selections or to display</t>
  </si>
  <si>
    <t>uk_WD_Weekdays_Denotation</t>
  </si>
  <si>
    <t>uk_WD_Weekdays_Abbreviation</t>
  </si>
  <si>
    <t>unique / representative denotation for this weekday, use in selections or to display</t>
  </si>
  <si>
    <t>unique / representative abbreviation for this weekdays, use in selections or to display</t>
  </si>
  <si>
    <t>connections for different kinds of communications about the internet as part of persons (part of relationship)</t>
  </si>
  <si>
    <t>unique identification number of the person to whom the internet connection data belongs (foreign key from person)</t>
  </si>
  <si>
    <t>type of internet connection data (value range from InternetType as foreign key, extension to 1:n relationship))</t>
  </si>
  <si>
    <t>internet address for this connection, possible to split the protocol to the value table InternetTypes</t>
  </si>
  <si>
    <t>SalaryType</t>
  </si>
  <si>
    <t>dbo.SalaryType</t>
  </si>
  <si>
    <t>myHR::SalaryType</t>
  </si>
  <si>
    <t>kind of salary as range value and base for calculations (flix, bonus, hourly, dayly, monthly, …)</t>
  </si>
  <si>
    <t>SalaryBase</t>
  </si>
  <si>
    <t>fix domain for the calculation, this value determine the base for the salary, used in table SalaryType</t>
  </si>
  <si>
    <t>myHR::SalaryBase</t>
  </si>
  <si>
    <t>dbo.SalaryBase</t>
  </si>
  <si>
    <t>ID for this Base of Salary (0 = free, 1 = hourly, 2 = dayly, 3 = monthly). Extentable via model, needed for calculations</t>
  </si>
  <si>
    <t>unique description / donation for this base of salary. The algorithm use the id , the text is for display or select</t>
  </si>
  <si>
    <t>unique abbreviation for this base of salary. The algorithm use the id , the text is for display or select</t>
  </si>
  <si>
    <t>a longer description for this base to use as hint or for display</t>
  </si>
  <si>
    <t>uk_SalaryBase_Denotation</t>
  </si>
  <si>
    <t>uk_SalaryBase_Abbreviation</t>
  </si>
  <si>
    <t>unique / representative abbreviation for this base of salary</t>
  </si>
  <si>
    <t>unique / representative denotation for this base of salary</t>
  </si>
  <si>
    <t>'ohne'</t>
  </si>
  <si>
    <t>'stündlich'</t>
  </si>
  <si>
    <t>'täglich'</t>
  </si>
  <si>
    <t>'monatlich'</t>
  </si>
  <si>
    <t>'Die Angabe des Gehalts wird ignoriert oder einmalig gezahlt. Kostenloses Praktikum oder Probezeit.'</t>
  </si>
  <si>
    <t>'Die Angabe des Gehalts erfolgt auf Stundenbasis. Entspricht meistens dem Arbeitslohn, eventuell mit Zuschlägen.'</t>
  </si>
  <si>
    <t>'Die Angabe des Gehalts erfolgt auf Tagesbasis. Dieses wird oft für Honorare verwendet.'</t>
  </si>
  <si>
    <t>'Die Angabe des Bezugs erfolgt auf Monatsbasis.Das entspricht meistens dem Gehalt bei Angestellten*innen'</t>
  </si>
  <si>
    <t>refEmployees2SalaryType</t>
  </si>
  <si>
    <t>salary / income that the employee currently receives, dependant by the SalaryBase</t>
  </si>
  <si>
    <t>range for SalaryType with the kind of Salary and determine the SalaryBase for the calculation</t>
  </si>
  <si>
    <t>range values as domain for the attribute SalaryType (inside this SalaryBase)</t>
  </si>
  <si>
    <t>domain / range of values for family status, this is used in person to qualifify the actual status, maybe a date needed too</t>
  </si>
  <si>
    <t>unique identification number for a record in this domain with family status</t>
  </si>
  <si>
    <t>unique description of a family status entity in the domain, used in selections, comboboxes, … (key canditate)</t>
  </si>
  <si>
    <t>non-representative abbreviation that can be used for a short advertisement for this family status</t>
  </si>
  <si>
    <t>non-representative abbreviation that can be used for a short advertisement for this family type</t>
  </si>
  <si>
    <t>detailed description of these family status,this is a self documentation, possible use as hint or to information in the programm</t>
  </si>
  <si>
    <t>notes, with additional / free information for this type of family type, not used in application</t>
  </si>
  <si>
    <t>boolean value that show if persones with this status are coupled and possibly receive tax relief</t>
  </si>
  <si>
    <t xml:space="preserve">boolean value which determine that the date when the person status changed the last time needed. </t>
  </si>
  <si>
    <t>Salary</t>
  </si>
  <si>
    <t>independent entity with the departments in the company, independent identity</t>
  </si>
  <si>
    <t xml:space="preserve">description for this department, is used in the program, for example as hint </t>
  </si>
  <si>
    <t>person responsible / head of this department (association with the employys entity)</t>
  </si>
  <si>
    <t>free notes to record information that is not used in the program</t>
  </si>
  <si>
    <t>WD_Workdays</t>
  </si>
  <si>
    <t>dbo.WD_Workdays</t>
  </si>
  <si>
    <t>myHR::WD_Workdays</t>
  </si>
  <si>
    <t>domain with all days, additional informations and as owner of all recorded working time and non-working times</t>
  </si>
  <si>
    <t>CalendarDay</t>
  </si>
  <si>
    <t>CalendarWeekday</t>
  </si>
  <si>
    <t>CalendarWeek</t>
  </si>
  <si>
    <t>CalendarYear</t>
  </si>
  <si>
    <t>CalendarMonth</t>
  </si>
  <si>
    <t>CalendarDayInYear</t>
  </si>
  <si>
    <t>CalendarQuarter</t>
  </si>
  <si>
    <t>CalendarDayInWeek</t>
  </si>
  <si>
    <t>calendar day. is used as a key in all day-dependent time accounting tables. it is the basis for the calculated fields that are provided also</t>
  </si>
  <si>
    <t>day in the calendar week (values between 0 .. 6). The field referencing to the table with weekdays to get rules. set as a data element to avoid calculations, possible server settings and deviations from various standards</t>
  </si>
  <si>
    <t>calendar week. set as a data element to avoid calculations, possible server settings and deviations from various standards</t>
  </si>
  <si>
    <t>calculated field for the year of the calendar day</t>
  </si>
  <si>
    <t>calculated field, use relationship to WD_Months and the function GetQuarterOfMonth to get the quarter</t>
  </si>
  <si>
    <t>DATEPART(DAYOFYEAR, CalendarDay)</t>
  </si>
  <si>
    <t>calculated field for the year of the calendar day, persistent for the relationship to the table WD_Months</t>
  </si>
  <si>
    <t>(YEAR(CalendarDay))</t>
  </si>
  <si>
    <t>(MONTH(CalendarDay))</t>
  </si>
  <si>
    <t>(DAY(CalendarDay))</t>
  </si>
  <si>
    <t>[[dbo].[Country_Dialing](Country)+SUBSTRING(AreaCode, 2, LEN(AreaCode))+CallNumber]</t>
  </si>
  <si>
    <t>range value for the salary base, used for different kinds of calculations</t>
  </si>
  <si>
    <t>refSalaryType2SalaryBase</t>
  </si>
  <si>
    <t>refWD_Workdays2WeekDay</t>
  </si>
  <si>
    <t>refWD_Workdays2Month</t>
  </si>
  <si>
    <t>range value for the calendar weekday</t>
  </si>
  <si>
    <t>range value for the calendar month</t>
  </si>
  <si>
    <t>idxWD_Workdays_Years_Month</t>
  </si>
  <si>
    <t>access path for search year and month for reports</t>
  </si>
  <si>
    <t>refWD_Holidays_Workdays</t>
  </si>
  <si>
    <t>is free</t>
  </si>
  <si>
    <t>assoziation of a holiday to the working days table</t>
  </si>
  <si>
    <t>calendar day on which the holiday is</t>
  </si>
  <si>
    <t>specification of the holiday as text</t>
  </si>
  <si>
    <t>share of the holiday (addition for later extension, e.g. holy eve as a half holiday)</t>
  </si>
  <si>
    <t>additional, more detailed description of the holiday. can use as hint in programm or reports</t>
  </si>
  <si>
    <t>dbo.WD_Holidays</t>
  </si>
  <si>
    <t>myHR::WD_Holidays</t>
  </si>
  <si>
    <t>boolean value which determin the day as work day, using functions of WD_Weekdays and WD_Holidays</t>
  </si>
  <si>
    <t>[[dbo].[GetQuarterOfMonth](MONTH(CalendarDay))]</t>
  </si>
  <si>
    <t>[IIF(dbo.GetIsWorkday(CalendarWeekday) = 1 AND dbo.GetIsHoliday(CalendarDay) = 0, 1, 0)]</t>
  </si>
  <si>
    <t>'f'</t>
  </si>
  <si>
    <t>'h'</t>
  </si>
  <si>
    <t>'d'</t>
  </si>
  <si>
    <t>'m'</t>
  </si>
  <si>
    <t>'Pfingstsonntag'</t>
  </si>
  <si>
    <t>date when the non working time starts as foreign key from the wokdays table</t>
  </si>
  <si>
    <t>date when the non working time finishing. Value must exists in workdays, but isn't in the key. May be open</t>
  </si>
  <si>
    <t>reason of non working time, there exist a table, but values are interpreted through the applications</t>
  </si>
  <si>
    <t>free notices to the non-working time</t>
  </si>
  <si>
    <t>refNonWorking2Workday_Start</t>
  </si>
  <si>
    <t>refNonWorking2Workday_Finishing</t>
  </si>
  <si>
    <t>is at</t>
  </si>
  <si>
    <t>assoziation between the non-working time and the working days for the begin</t>
  </si>
  <si>
    <t>assoziation between the non-working time and the working days for the end</t>
  </si>
  <si>
    <t>entities with public holidays, in relation to working days table to determine non working days</t>
  </si>
  <si>
    <t>domain or range of values for different positions for the employee. Important as anchor for additional informations</t>
  </si>
  <si>
    <t>domain with the possible values for form of addresses with additional informations for this</t>
  </si>
  <si>
    <t>unique identification number of the form of address to use it in relationships</t>
  </si>
  <si>
    <t>notes, with additional / free information for this type of form of address, not used in application</t>
  </si>
  <si>
    <t>is in this</t>
  </si>
  <si>
    <t>range value which descripe which kind of salary this JobPositions use</t>
  </si>
  <si>
    <t>refJobPosition2SalaryType</t>
  </si>
  <si>
    <t>unique identification number for a record in this domain with positions in job</t>
  </si>
  <si>
    <t>unique denotation for this job position, used in selections, and lists to descripe this position</t>
  </si>
  <si>
    <t>abbreviation for this job position, used in overvies. Can be null and don't need be unique</t>
  </si>
  <si>
    <t>detailed description of these job position, this is a self documentation, possible use as hint or to information in the programm</t>
  </si>
  <si>
    <t>prefered salary type for this job positions. may be overridden in emplyee for individual aggreements</t>
  </si>
  <si>
    <t>notes, with additional / free information for this type of job position, not used in application</t>
  </si>
  <si>
    <t>boolean value that makes this entity of job position to a system value (cannot be changed as it is used directly by the program)</t>
  </si>
  <si>
    <t>myHR::WD_Weekdays</t>
  </si>
  <si>
    <t>0 : 1</t>
  </si>
  <si>
    <t>unique description of  this form of address entity in the domain, used in selections, comboboxes, … (key canditate)</t>
  </si>
  <si>
    <t>non-representative abbreviation that can be used for a short advertisement for this form of address</t>
  </si>
  <si>
    <t>detailed description of these form of address,this is a self documentation, possible use as hint or to information in the programm</t>
  </si>
  <si>
    <t>value from FamilyTypes who determine the art of persontype (gender, legal form, …)</t>
  </si>
  <si>
    <t>salutation formula to be used in letters and emails for this salutation type and therefore person type</t>
  </si>
  <si>
    <t>farewell formula to be used in letters and emails for this salutation type and therefore person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</si>
</sst>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
      <sz val="8"/>
      <name val="Aptos Narrow"/>
      <family val="2"/>
      <scheme val="minor"/>
    </font>
    <font>
      <sz val="9"/>
      <name val="Arial"/>
      <family val="2"/>
    </font>
    <font>
      <b/>
      <sz val="9"/>
      <name val="Arial"/>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xf numFmtId="20" fontId="0" fillId="0" borderId="0" xfId="0" quotePrefix="1" applyNumberFormat="1"/>
    <xf numFmtId="14" fontId="0" fillId="0" borderId="0" xfId="0" applyNumberFormat="1"/>
    <xf numFmtId="0" fontId="8" fillId="0" borderId="0" xfId="0" quotePrefix="1" applyFont="1"/>
    <xf numFmtId="0" fontId="8" fillId="0" borderId="0" xfId="0" applyFont="1"/>
    <xf numFmtId="0" fontId="9" fillId="0" borderId="0" xfId="0" applyFont="1"/>
    <xf numFmtId="0" fontId="1" fillId="0" borderId="0" xfId="0" applyFont="1"/>
    <xf numFmtId="0" fontId="0" fillId="0" borderId="0" xfId="0"/>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238"/>
  <sheetViews>
    <sheetView workbookViewId="0">
      <pane xSplit="2" ySplit="1" topLeftCell="C2" activePane="bottomRight" state="frozen"/>
      <selection pane="topRight" activeCell="C1" sqref="C1"/>
      <selection pane="bottomLeft" activeCell="A2" sqref="A2"/>
      <selection pane="bottomRight" activeCell="K11" sqref="K11"/>
    </sheetView>
  </sheetViews>
  <sheetFormatPr baseColWidth="10" defaultRowHeight="14.25" x14ac:dyDescent="0.45"/>
  <cols>
    <col min="1" max="1" width="14.33203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10.265625"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A1" s="1" t="s">
        <v>467</v>
      </c>
      <c r="B1" s="1" t="s">
        <v>468</v>
      </c>
      <c r="C1" s="1" t="s">
        <v>469</v>
      </c>
      <c r="D1" s="1" t="s">
        <v>470</v>
      </c>
      <c r="E1" s="1" t="s">
        <v>471</v>
      </c>
      <c r="K1" t="s">
        <v>280</v>
      </c>
      <c r="L1" t="s">
        <v>188</v>
      </c>
      <c r="M1" t="s">
        <v>473</v>
      </c>
      <c r="O1" s="1" t="s">
        <v>472</v>
      </c>
      <c r="P1" t="s">
        <v>60</v>
      </c>
    </row>
    <row r="2" spans="1:16" x14ac:dyDescent="0.45">
      <c r="A2" t="s">
        <v>99</v>
      </c>
      <c r="B2">
        <v>0</v>
      </c>
      <c r="C2" t="s">
        <v>113</v>
      </c>
      <c r="D2" t="s">
        <v>459</v>
      </c>
      <c r="E2" t="s">
        <v>166</v>
      </c>
      <c r="H2" t="s">
        <v>526</v>
      </c>
      <c r="I2" t="s">
        <v>168</v>
      </c>
      <c r="K2" s="4"/>
      <c r="L2" s="4"/>
      <c r="M2" s="4"/>
      <c r="O2" s="4" t="s">
        <v>198</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"System/Corporate", "SQL", "information on the addresses where a person lives, works or has any other relationship with them" )</v>
      </c>
    </row>
    <row r="3" spans="1:16" x14ac:dyDescent="0.45">
      <c r="A3" t="s">
        <v>99</v>
      </c>
      <c r="B3">
        <v>1</v>
      </c>
      <c r="C3" t="s">
        <v>133</v>
      </c>
      <c r="D3" t="s">
        <v>133</v>
      </c>
      <c r="E3" t="s">
        <v>20</v>
      </c>
      <c r="F3">
        <v>0</v>
      </c>
      <c r="G3">
        <v>0</v>
      </c>
      <c r="H3" t="s">
        <v>58</v>
      </c>
      <c r="I3" t="s">
        <v>58</v>
      </c>
      <c r="J3" t="s">
        <v>57</v>
      </c>
      <c r="K3" s="4"/>
      <c r="L3" s="4"/>
      <c r="M3" s="4"/>
      <c r="O3" s="4" t="s">
        <v>262</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99</v>
      </c>
      <c r="B4">
        <v>2</v>
      </c>
      <c r="C4" t="s">
        <v>135</v>
      </c>
      <c r="D4" t="s">
        <v>135</v>
      </c>
      <c r="E4" t="s">
        <v>20</v>
      </c>
      <c r="F4">
        <v>0</v>
      </c>
      <c r="G4">
        <v>0</v>
      </c>
      <c r="H4" t="s">
        <v>58</v>
      </c>
      <c r="I4" t="s">
        <v>58</v>
      </c>
      <c r="J4" t="s">
        <v>58</v>
      </c>
      <c r="K4" s="4"/>
      <c r="L4" s="4"/>
      <c r="M4" s="4"/>
      <c r="O4" s="4" t="s">
        <v>199</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99</v>
      </c>
      <c r="B5">
        <v>3</v>
      </c>
      <c r="C5" t="s">
        <v>137</v>
      </c>
      <c r="D5" t="s">
        <v>137</v>
      </c>
      <c r="E5" t="s">
        <v>19</v>
      </c>
      <c r="F5">
        <v>10</v>
      </c>
      <c r="G5">
        <v>0</v>
      </c>
      <c r="H5" t="s">
        <v>58</v>
      </c>
      <c r="I5" t="s">
        <v>57</v>
      </c>
      <c r="J5" t="s">
        <v>57</v>
      </c>
      <c r="K5" s="4"/>
      <c r="L5" s="4"/>
      <c r="M5" s="4"/>
      <c r="O5" s="4" t="s">
        <v>189</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99</v>
      </c>
      <c r="B6">
        <v>4</v>
      </c>
      <c r="C6" t="s">
        <v>5</v>
      </c>
      <c r="D6" t="s">
        <v>5</v>
      </c>
      <c r="E6" t="s">
        <v>19</v>
      </c>
      <c r="F6">
        <v>50</v>
      </c>
      <c r="G6">
        <v>0</v>
      </c>
      <c r="H6" t="s">
        <v>58</v>
      </c>
      <c r="I6" t="s">
        <v>57</v>
      </c>
      <c r="J6" t="s">
        <v>57</v>
      </c>
      <c r="K6" s="4"/>
      <c r="L6" s="4"/>
      <c r="M6" s="4"/>
      <c r="O6" s="4" t="s">
        <v>197</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99</v>
      </c>
      <c r="B7">
        <v>5</v>
      </c>
      <c r="C7" t="s">
        <v>8</v>
      </c>
      <c r="D7" t="s">
        <v>8</v>
      </c>
      <c r="E7" t="s">
        <v>19</v>
      </c>
      <c r="F7">
        <v>50</v>
      </c>
      <c r="G7">
        <v>0</v>
      </c>
      <c r="H7" t="s">
        <v>58</v>
      </c>
      <c r="I7" t="s">
        <v>57</v>
      </c>
      <c r="J7" t="s">
        <v>57</v>
      </c>
      <c r="K7" s="4"/>
      <c r="L7" s="4"/>
      <c r="M7" s="4"/>
      <c r="O7" s="4" t="s">
        <v>196</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99</v>
      </c>
      <c r="B8">
        <v>6</v>
      </c>
      <c r="C8" t="s">
        <v>136</v>
      </c>
      <c r="D8" t="s">
        <v>136</v>
      </c>
      <c r="E8" t="s">
        <v>19</v>
      </c>
      <c r="F8">
        <v>10</v>
      </c>
      <c r="G8">
        <v>0</v>
      </c>
      <c r="H8" t="s">
        <v>57</v>
      </c>
      <c r="I8" t="s">
        <v>57</v>
      </c>
      <c r="J8" t="s">
        <v>57</v>
      </c>
      <c r="K8" s="4"/>
      <c r="L8" s="4"/>
      <c r="M8" s="4"/>
      <c r="O8" s="4" t="s">
        <v>200</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99</v>
      </c>
      <c r="B9">
        <v>7</v>
      </c>
      <c r="C9" t="s">
        <v>138</v>
      </c>
      <c r="D9" t="s">
        <v>138</v>
      </c>
      <c r="E9" t="s">
        <v>20</v>
      </c>
      <c r="F9">
        <v>0</v>
      </c>
      <c r="G9">
        <v>0</v>
      </c>
      <c r="H9" t="s">
        <v>58</v>
      </c>
      <c r="I9" t="s">
        <v>57</v>
      </c>
      <c r="J9" t="s">
        <v>57</v>
      </c>
      <c r="K9" s="4"/>
      <c r="L9" s="4"/>
      <c r="M9" s="4"/>
      <c r="O9" s="4" t="s">
        <v>474</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100</v>
      </c>
      <c r="B11">
        <v>0</v>
      </c>
      <c r="C11" t="s">
        <v>114</v>
      </c>
      <c r="D11" t="s">
        <v>458</v>
      </c>
      <c r="E11" t="s">
        <v>93</v>
      </c>
      <c r="H11" t="s">
        <v>526</v>
      </c>
      <c r="I11" t="s">
        <v>168</v>
      </c>
      <c r="K11" s="4"/>
      <c r="L11" s="4"/>
      <c r="M11" s="4"/>
      <c r="O11" s="4" t="s">
        <v>195</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EMyEntityType::range, "AddressTypes", "dbo", "AddressTypes", "myCorporate", "System/Corporate", "SQL", "domain / range of values for address types, this is an extension of the relationship between persons and addresses.")</v>
      </c>
    </row>
    <row r="12" spans="1:16" x14ac:dyDescent="0.45">
      <c r="A12" t="s">
        <v>100</v>
      </c>
      <c r="B12">
        <v>1</v>
      </c>
      <c r="C12" t="s">
        <v>133</v>
      </c>
      <c r="D12" t="s">
        <v>133</v>
      </c>
      <c r="E12" t="s">
        <v>20</v>
      </c>
      <c r="F12">
        <v>0</v>
      </c>
      <c r="G12">
        <v>0</v>
      </c>
      <c r="H12" t="s">
        <v>58</v>
      </c>
      <c r="I12" t="s">
        <v>58</v>
      </c>
      <c r="J12" t="s">
        <v>57</v>
      </c>
      <c r="K12" s="4"/>
      <c r="L12" s="4"/>
      <c r="M12" s="4"/>
      <c r="O12" s="4" t="s">
        <v>218</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100</v>
      </c>
      <c r="B13">
        <v>2</v>
      </c>
      <c r="C13" t="s">
        <v>128</v>
      </c>
      <c r="D13" t="s">
        <v>128</v>
      </c>
      <c r="E13" t="s">
        <v>19</v>
      </c>
      <c r="F13">
        <v>50</v>
      </c>
      <c r="G13">
        <v>0</v>
      </c>
      <c r="H13" t="s">
        <v>58</v>
      </c>
      <c r="I13" t="s">
        <v>57</v>
      </c>
      <c r="J13" t="s">
        <v>58</v>
      </c>
      <c r="K13" s="4"/>
      <c r="L13" s="4"/>
      <c r="M13" s="4"/>
      <c r="O13" s="4" t="s">
        <v>201</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100</v>
      </c>
      <c r="B14">
        <v>3</v>
      </c>
      <c r="C14" t="s">
        <v>129</v>
      </c>
      <c r="D14" t="s">
        <v>129</v>
      </c>
      <c r="E14" t="s">
        <v>19</v>
      </c>
      <c r="F14">
        <v>10</v>
      </c>
      <c r="G14">
        <v>0</v>
      </c>
      <c r="H14" t="s">
        <v>57</v>
      </c>
      <c r="I14" t="s">
        <v>57</v>
      </c>
      <c r="J14" t="s">
        <v>57</v>
      </c>
      <c r="K14" s="4"/>
      <c r="L14" s="4"/>
      <c r="M14" s="4"/>
      <c r="O14" s="4" t="s">
        <v>202</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100</v>
      </c>
      <c r="B15">
        <v>4</v>
      </c>
      <c r="C15" t="s">
        <v>130</v>
      </c>
      <c r="D15" t="s">
        <v>130</v>
      </c>
      <c r="E15" t="s">
        <v>77</v>
      </c>
      <c r="F15">
        <v>0</v>
      </c>
      <c r="G15">
        <v>0</v>
      </c>
      <c r="H15" t="s">
        <v>57</v>
      </c>
      <c r="I15" t="s">
        <v>57</v>
      </c>
      <c r="J15" t="s">
        <v>57</v>
      </c>
      <c r="K15" s="4"/>
      <c r="L15" s="4"/>
      <c r="M15" s="4"/>
      <c r="O15" s="4" t="s">
        <v>203</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100</v>
      </c>
      <c r="B16">
        <v>5</v>
      </c>
      <c r="C16" t="s">
        <v>131</v>
      </c>
      <c r="D16" t="s">
        <v>131</v>
      </c>
      <c r="E16" t="s">
        <v>77</v>
      </c>
      <c r="F16">
        <v>0</v>
      </c>
      <c r="G16">
        <v>0</v>
      </c>
      <c r="H16" t="s">
        <v>57</v>
      </c>
      <c r="I16" t="s">
        <v>57</v>
      </c>
      <c r="J16" t="s">
        <v>57</v>
      </c>
      <c r="K16" s="4"/>
      <c r="L16" s="4"/>
      <c r="M16" s="4"/>
      <c r="O16" s="4" t="s">
        <v>204</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100</v>
      </c>
      <c r="B17">
        <v>6</v>
      </c>
      <c r="C17" t="s">
        <v>132</v>
      </c>
      <c r="D17" t="s">
        <v>132</v>
      </c>
      <c r="E17" t="s">
        <v>27</v>
      </c>
      <c r="F17">
        <v>0</v>
      </c>
      <c r="G17">
        <v>0</v>
      </c>
      <c r="H17" t="s">
        <v>57</v>
      </c>
      <c r="I17" t="s">
        <v>57</v>
      </c>
      <c r="J17" t="s">
        <v>57</v>
      </c>
      <c r="K17" s="4"/>
      <c r="L17" s="4"/>
      <c r="M17" s="4"/>
      <c r="O17" s="4" t="s">
        <v>219</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101</v>
      </c>
      <c r="B19">
        <v>0</v>
      </c>
      <c r="C19" t="s">
        <v>115</v>
      </c>
      <c r="D19" t="s">
        <v>456</v>
      </c>
      <c r="E19" t="s">
        <v>166</v>
      </c>
      <c r="H19" t="s">
        <v>526</v>
      </c>
      <c r="I19" t="s">
        <v>168</v>
      </c>
      <c r="K19" s="4"/>
      <c r="L19" s="4"/>
      <c r="M19" s="4"/>
      <c r="O19" s="4" t="s">
        <v>210</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"System/Corporate", "SQL", "informations about the account details provided by a person and used in a specific context")</v>
      </c>
    </row>
    <row r="20" spans="1:16" x14ac:dyDescent="0.45">
      <c r="A20" t="s">
        <v>101</v>
      </c>
      <c r="B20">
        <v>1</v>
      </c>
      <c r="C20" t="s">
        <v>133</v>
      </c>
      <c r="D20" t="s">
        <v>133</v>
      </c>
      <c r="E20" t="s">
        <v>20</v>
      </c>
      <c r="F20">
        <v>0</v>
      </c>
      <c r="G20">
        <v>0</v>
      </c>
      <c r="H20" t="s">
        <v>58</v>
      </c>
      <c r="I20" t="s">
        <v>58</v>
      </c>
      <c r="J20" t="s">
        <v>57</v>
      </c>
      <c r="K20" s="4"/>
      <c r="L20" s="4"/>
      <c r="M20" s="4"/>
      <c r="O20" s="4" t="s">
        <v>263</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101</v>
      </c>
      <c r="B21">
        <v>2</v>
      </c>
      <c r="C21" t="s">
        <v>143</v>
      </c>
      <c r="D21" t="s">
        <v>143</v>
      </c>
      <c r="E21" t="s">
        <v>20</v>
      </c>
      <c r="F21">
        <v>0</v>
      </c>
      <c r="G21">
        <v>0</v>
      </c>
      <c r="H21" t="s">
        <v>58</v>
      </c>
      <c r="I21" t="s">
        <v>58</v>
      </c>
      <c r="J21" t="s">
        <v>57</v>
      </c>
      <c r="K21" s="4"/>
      <c r="L21" s="4"/>
      <c r="M21" s="4"/>
      <c r="O21" s="4" t="s">
        <v>211</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101</v>
      </c>
      <c r="B22">
        <v>3</v>
      </c>
      <c r="C22" t="s">
        <v>144</v>
      </c>
      <c r="D22" t="s">
        <v>144</v>
      </c>
      <c r="E22" t="s">
        <v>19</v>
      </c>
      <c r="F22">
        <v>50</v>
      </c>
      <c r="G22">
        <v>0</v>
      </c>
      <c r="H22" t="s">
        <v>57</v>
      </c>
      <c r="I22" t="s">
        <v>57</v>
      </c>
      <c r="J22" t="s">
        <v>57</v>
      </c>
      <c r="K22" s="4"/>
      <c r="L22" s="4"/>
      <c r="M22" s="4"/>
      <c r="O22" s="4" t="s">
        <v>212</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101</v>
      </c>
      <c r="B23">
        <v>4</v>
      </c>
      <c r="C23" t="s">
        <v>145</v>
      </c>
      <c r="D23" t="s">
        <v>145</v>
      </c>
      <c r="E23" t="s">
        <v>19</v>
      </c>
      <c r="F23">
        <v>33</v>
      </c>
      <c r="G23">
        <v>0</v>
      </c>
      <c r="H23" t="s">
        <v>58</v>
      </c>
      <c r="I23" t="s">
        <v>57</v>
      </c>
      <c r="J23" t="s">
        <v>57</v>
      </c>
      <c r="K23" s="4"/>
      <c r="L23" s="4"/>
      <c r="M23" s="4"/>
      <c r="O23" s="4" t="s">
        <v>213</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101</v>
      </c>
      <c r="B24">
        <v>5</v>
      </c>
      <c r="C24" t="s">
        <v>146</v>
      </c>
      <c r="D24" t="s">
        <v>146</v>
      </c>
      <c r="E24" t="s">
        <v>19</v>
      </c>
      <c r="F24">
        <v>12</v>
      </c>
      <c r="G24">
        <v>0</v>
      </c>
      <c r="H24" t="s">
        <v>57</v>
      </c>
      <c r="I24" t="s">
        <v>57</v>
      </c>
      <c r="J24" t="s">
        <v>57</v>
      </c>
      <c r="K24" s="4"/>
      <c r="L24" s="4"/>
      <c r="M24" s="4"/>
      <c r="O24" s="4" t="s">
        <v>214</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101</v>
      </c>
      <c r="B25">
        <v>6</v>
      </c>
      <c r="C25" t="s">
        <v>147</v>
      </c>
      <c r="D25" t="s">
        <v>147</v>
      </c>
      <c r="E25" t="s">
        <v>19</v>
      </c>
      <c r="F25">
        <v>27</v>
      </c>
      <c r="G25">
        <v>0</v>
      </c>
      <c r="H25" t="s">
        <v>57</v>
      </c>
      <c r="I25" t="s">
        <v>57</v>
      </c>
      <c r="J25" t="s">
        <v>57</v>
      </c>
      <c r="K25" s="4"/>
      <c r="L25" s="4"/>
      <c r="M25" s="4"/>
      <c r="O25" s="4" t="s">
        <v>215</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101</v>
      </c>
      <c r="B26">
        <v>7</v>
      </c>
      <c r="C26" t="s">
        <v>138</v>
      </c>
      <c r="D26" t="s">
        <v>138</v>
      </c>
      <c r="E26" t="s">
        <v>20</v>
      </c>
      <c r="F26">
        <v>0</v>
      </c>
      <c r="G26">
        <v>0</v>
      </c>
      <c r="H26" t="s">
        <v>57</v>
      </c>
      <c r="I26" t="s">
        <v>57</v>
      </c>
      <c r="J26" t="s">
        <v>57</v>
      </c>
      <c r="K26" s="4"/>
      <c r="L26" s="4"/>
      <c r="M26" s="4"/>
      <c r="O26" s="4" t="s">
        <v>475</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102</v>
      </c>
      <c r="B28">
        <v>0</v>
      </c>
      <c r="C28" t="s">
        <v>116</v>
      </c>
      <c r="D28" t="s">
        <v>457</v>
      </c>
      <c r="E28" t="s">
        <v>93</v>
      </c>
      <c r="H28" t="s">
        <v>526</v>
      </c>
      <c r="I28" t="s">
        <v>168</v>
      </c>
      <c r="K28" s="4"/>
      <c r="L28" s="4"/>
      <c r="M28" s="4"/>
      <c r="O28" s="4" t="s">
        <v>216</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EMyEntityType::range, "BankingTypes", "dbo", "BankingTypes", "myCorporate", "System/Corporate", "SQL", "domain / range of values for banking types, this is an extension of the relationship between persons and banking accounts.")</v>
      </c>
    </row>
    <row r="29" spans="1:16" x14ac:dyDescent="0.45">
      <c r="A29" t="s">
        <v>102</v>
      </c>
      <c r="B29">
        <v>1</v>
      </c>
      <c r="C29" t="s">
        <v>133</v>
      </c>
      <c r="D29" t="s">
        <v>133</v>
      </c>
      <c r="E29" t="s">
        <v>20</v>
      </c>
      <c r="F29">
        <v>0</v>
      </c>
      <c r="G29">
        <v>0</v>
      </c>
      <c r="H29" t="s">
        <v>58</v>
      </c>
      <c r="I29" t="s">
        <v>58</v>
      </c>
      <c r="J29" t="s">
        <v>57</v>
      </c>
      <c r="K29" s="4"/>
      <c r="L29" s="4"/>
      <c r="M29" s="4"/>
      <c r="O29" s="4" t="s">
        <v>217</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102</v>
      </c>
      <c r="B30">
        <v>2</v>
      </c>
      <c r="C30" t="s">
        <v>128</v>
      </c>
      <c r="D30" t="s">
        <v>128</v>
      </c>
      <c r="E30" t="s">
        <v>19</v>
      </c>
      <c r="F30">
        <v>50</v>
      </c>
      <c r="G30">
        <v>0</v>
      </c>
      <c r="H30" t="s">
        <v>58</v>
      </c>
      <c r="I30" t="s">
        <v>57</v>
      </c>
      <c r="J30" t="s">
        <v>58</v>
      </c>
      <c r="K30" s="4"/>
      <c r="L30" s="4"/>
      <c r="M30" s="4"/>
      <c r="O30" s="4" t="s">
        <v>224</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102</v>
      </c>
      <c r="B31">
        <v>3</v>
      </c>
      <c r="C31" t="s">
        <v>129</v>
      </c>
      <c r="D31" t="s">
        <v>129</v>
      </c>
      <c r="E31" t="s">
        <v>19</v>
      </c>
      <c r="F31">
        <v>10</v>
      </c>
      <c r="G31">
        <v>0</v>
      </c>
      <c r="H31" t="s">
        <v>57</v>
      </c>
      <c r="I31" t="s">
        <v>57</v>
      </c>
      <c r="J31" t="s">
        <v>57</v>
      </c>
      <c r="K31" s="4"/>
      <c r="L31" s="4"/>
      <c r="M31" s="4"/>
      <c r="O31" s="4" t="s">
        <v>223</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102</v>
      </c>
      <c r="B32">
        <v>4</v>
      </c>
      <c r="C32" t="s">
        <v>130</v>
      </c>
      <c r="D32" t="s">
        <v>130</v>
      </c>
      <c r="E32" t="s">
        <v>77</v>
      </c>
      <c r="F32">
        <v>0</v>
      </c>
      <c r="G32">
        <v>0</v>
      </c>
      <c r="H32" t="s">
        <v>57</v>
      </c>
      <c r="I32" t="s">
        <v>57</v>
      </c>
      <c r="J32" t="s">
        <v>57</v>
      </c>
      <c r="K32" s="4"/>
      <c r="L32" s="4"/>
      <c r="M32" s="4"/>
      <c r="O32" s="4" t="s">
        <v>222</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102</v>
      </c>
      <c r="B33">
        <v>5</v>
      </c>
      <c r="C33" t="s">
        <v>131</v>
      </c>
      <c r="D33" t="s">
        <v>131</v>
      </c>
      <c r="E33" t="s">
        <v>77</v>
      </c>
      <c r="F33">
        <v>0</v>
      </c>
      <c r="G33">
        <v>0</v>
      </c>
      <c r="H33" t="s">
        <v>57</v>
      </c>
      <c r="I33" t="s">
        <v>57</v>
      </c>
      <c r="J33" t="s">
        <v>57</v>
      </c>
      <c r="K33" s="4"/>
      <c r="L33" s="4"/>
      <c r="M33" s="4"/>
      <c r="O33" s="4" t="s">
        <v>221</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102</v>
      </c>
      <c r="B34">
        <v>6</v>
      </c>
      <c r="C34" t="s">
        <v>132</v>
      </c>
      <c r="D34" t="s">
        <v>132</v>
      </c>
      <c r="E34" t="s">
        <v>27</v>
      </c>
      <c r="F34">
        <v>0</v>
      </c>
      <c r="G34">
        <v>0</v>
      </c>
      <c r="H34" t="s">
        <v>57</v>
      </c>
      <c r="I34" t="s">
        <v>57</v>
      </c>
      <c r="J34" t="s">
        <v>57</v>
      </c>
      <c r="K34" s="4"/>
      <c r="L34" s="4"/>
      <c r="M34" s="4"/>
      <c r="O34" s="4" t="s">
        <v>220</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103</v>
      </c>
      <c r="B36">
        <v>0</v>
      </c>
      <c r="C36" t="s">
        <v>117</v>
      </c>
      <c r="D36" t="s">
        <v>455</v>
      </c>
      <c r="E36" t="s">
        <v>166</v>
      </c>
      <c r="H36" t="s">
        <v>526</v>
      </c>
      <c r="I36" t="s">
        <v>168</v>
      </c>
      <c r="K36" s="4"/>
      <c r="L36" s="4"/>
      <c r="M36" s="4"/>
      <c r="O36" s="4" t="s">
        <v>400</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"System/Corporate", "SQL", "table with the countries and additional values for the countries. Used by others for assoziation.")</v>
      </c>
    </row>
    <row r="37" spans="1:16" x14ac:dyDescent="0.45">
      <c r="A37" t="s">
        <v>103</v>
      </c>
      <c r="B37">
        <v>1</v>
      </c>
      <c r="C37" t="s">
        <v>133</v>
      </c>
      <c r="D37" t="s">
        <v>133</v>
      </c>
      <c r="E37" t="s">
        <v>20</v>
      </c>
      <c r="F37">
        <v>0</v>
      </c>
      <c r="G37">
        <v>0</v>
      </c>
      <c r="H37" t="s">
        <v>58</v>
      </c>
      <c r="I37" t="s">
        <v>58</v>
      </c>
      <c r="J37" t="s">
        <v>57</v>
      </c>
      <c r="K37" s="4"/>
      <c r="L37" s="4"/>
      <c r="M37" s="4"/>
      <c r="O37" s="4" t="s">
        <v>401</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103</v>
      </c>
      <c r="B38">
        <v>2</v>
      </c>
      <c r="C38" t="s">
        <v>128</v>
      </c>
      <c r="D38" t="s">
        <v>128</v>
      </c>
      <c r="E38" t="s">
        <v>19</v>
      </c>
      <c r="F38">
        <v>50</v>
      </c>
      <c r="G38">
        <v>0</v>
      </c>
      <c r="H38" t="s">
        <v>58</v>
      </c>
      <c r="I38" t="s">
        <v>57</v>
      </c>
      <c r="J38" t="s">
        <v>58</v>
      </c>
      <c r="K38" s="4"/>
      <c r="L38" s="4"/>
      <c r="M38" s="4"/>
      <c r="O38" s="4" t="s">
        <v>402</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103</v>
      </c>
      <c r="B39">
        <v>3</v>
      </c>
      <c r="C39" t="s">
        <v>129</v>
      </c>
      <c r="D39" t="s">
        <v>129</v>
      </c>
      <c r="E39" t="s">
        <v>19</v>
      </c>
      <c r="F39">
        <v>10</v>
      </c>
      <c r="G39">
        <v>0</v>
      </c>
      <c r="H39" t="s">
        <v>57</v>
      </c>
      <c r="I39" t="s">
        <v>57</v>
      </c>
      <c r="J39" t="s">
        <v>57</v>
      </c>
      <c r="K39" s="4"/>
      <c r="L39" s="4"/>
      <c r="M39" s="4"/>
      <c r="O39" s="4" t="s">
        <v>676</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 (iso code 3166 - alpha 3)")</v>
      </c>
    </row>
    <row r="40" spans="1:16" x14ac:dyDescent="0.45">
      <c r="A40" t="s">
        <v>103</v>
      </c>
      <c r="B40">
        <v>4</v>
      </c>
      <c r="C40" t="s">
        <v>130</v>
      </c>
      <c r="D40" t="s">
        <v>130</v>
      </c>
      <c r="E40" t="s">
        <v>77</v>
      </c>
      <c r="F40">
        <v>0</v>
      </c>
      <c r="G40">
        <v>0</v>
      </c>
      <c r="H40" t="s">
        <v>57</v>
      </c>
      <c r="I40" t="s">
        <v>57</v>
      </c>
      <c r="J40" t="s">
        <v>57</v>
      </c>
      <c r="K40" s="4"/>
      <c r="L40" s="4"/>
      <c r="M40" s="4"/>
      <c r="O40" s="4" t="s">
        <v>405</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103</v>
      </c>
      <c r="B41">
        <v>5</v>
      </c>
      <c r="C41" t="s">
        <v>148</v>
      </c>
      <c r="D41" t="s">
        <v>148</v>
      </c>
      <c r="E41" t="s">
        <v>19</v>
      </c>
      <c r="F41">
        <v>10</v>
      </c>
      <c r="G41">
        <v>0</v>
      </c>
      <c r="H41" t="s">
        <v>57</v>
      </c>
      <c r="I41" t="s">
        <v>57</v>
      </c>
      <c r="J41" t="s">
        <v>57</v>
      </c>
      <c r="K41" s="4"/>
      <c r="L41" s="4"/>
      <c r="M41" s="4"/>
      <c r="O41" s="4" t="s">
        <v>406</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103</v>
      </c>
      <c r="B42">
        <v>6</v>
      </c>
      <c r="C42" t="s">
        <v>149</v>
      </c>
      <c r="D42" t="s">
        <v>149</v>
      </c>
      <c r="E42" t="s">
        <v>19</v>
      </c>
      <c r="F42">
        <v>5</v>
      </c>
      <c r="G42">
        <v>0</v>
      </c>
      <c r="H42" t="s">
        <v>57</v>
      </c>
      <c r="I42" t="s">
        <v>57</v>
      </c>
      <c r="J42" t="s">
        <v>57</v>
      </c>
      <c r="K42" s="4"/>
      <c r="L42" s="4"/>
      <c r="M42" s="4"/>
      <c r="O42" s="4" t="s">
        <v>677</v>
      </c>
      <c r="P42" s="2" t="str" cm="1">
        <f t="array" ref="P42">CONCATENATE("      .AddAttribute(",Fill(B42,3),", ",QTFunc(C42),", ",QTFunc(D42),", ",QTFunc(E42),", ",F42,", ",G42,", ",H42,", ",I42,", ",QTFunc(K42),", ",QTFunc(L42),", ",QTFunc(M42),", ",QTFunc(O42),   ")")</f>
        <v xml:space="preserve">      .AddAttribute(  6, "ISO_Code", "ISO_Code", "varchar", 5, 0, false, false, "", "", "", "unique, official international code (ISO code 3166 - alpha 2) for the country in the communication")</v>
      </c>
    </row>
    <row r="43" spans="1:16" x14ac:dyDescent="0.45">
      <c r="A43" t="s">
        <v>103</v>
      </c>
      <c r="B43">
        <v>7</v>
      </c>
      <c r="C43" t="s">
        <v>675</v>
      </c>
      <c r="D43" t="s">
        <v>675</v>
      </c>
      <c r="E43" t="s">
        <v>27</v>
      </c>
      <c r="F43">
        <v>0</v>
      </c>
      <c r="G43">
        <v>0</v>
      </c>
      <c r="H43" t="s">
        <v>57</v>
      </c>
      <c r="I43" t="s">
        <v>57</v>
      </c>
      <c r="J43" t="s">
        <v>57</v>
      </c>
      <c r="K43" s="4"/>
      <c r="L43" s="4"/>
      <c r="M43" s="4"/>
      <c r="O43" s="4" t="s">
        <v>680</v>
      </c>
      <c r="P43" s="2" t="str" cm="1">
        <f t="array" ref="P43">CONCATENATE("      .AddAttribute(",Fill(B43,3),", ",QTFunc(C43),", ",QTFunc(D43),", ",QTFunc(E43),", ",F43,", ",G43,", ",H43,", ",I43,", ",QTFunc(K43),", ",QTFunc(L43),", ",QTFunc(M43),", ",QTFunc(O43),   ")")</f>
        <v xml:space="preserve">      .AddAttribute(  7, "IsEU", "IsEU", "bool", 0, 0, false, false, "", "", "", "boolean value which is true when the country part of the european union")</v>
      </c>
    </row>
    <row r="44" spans="1:16" x14ac:dyDescent="0.45">
      <c r="A44" t="s">
        <v>103</v>
      </c>
      <c r="B44">
        <v>8</v>
      </c>
      <c r="C44" t="s">
        <v>678</v>
      </c>
      <c r="D44" t="s">
        <v>678</v>
      </c>
      <c r="E44" t="s">
        <v>19</v>
      </c>
      <c r="F44">
        <v>50</v>
      </c>
      <c r="G44">
        <v>0</v>
      </c>
      <c r="H44" t="s">
        <v>57</v>
      </c>
      <c r="I44" t="s">
        <v>57</v>
      </c>
      <c r="J44" t="s">
        <v>57</v>
      </c>
      <c r="K44" s="4"/>
      <c r="L44" s="4"/>
      <c r="M44" s="4"/>
      <c r="O44" s="4" t="s">
        <v>681</v>
      </c>
      <c r="P44" s="2" t="str" cm="1">
        <f t="array" ref="P44">CONCATENATE("      .AddAttribute(",Fill(B44,3),", ",QTFunc(C44),", ",QTFunc(D44),", ",QTFunc(E44),", ",F44,", ",G44,", ",H44,", ",I44,", ",QTFunc(K44),", ",QTFunc(L44),", ",QTFunc(M44),", ",QTFunc(O44),   ")")</f>
        <v xml:space="preserve">      .AddAttribute(  8, "Capital", "Capital", "varchar", 50, 0, false, false, "", "", "", "name of the capital of this country ")</v>
      </c>
    </row>
    <row r="45" spans="1:16" x14ac:dyDescent="0.45">
      <c r="A45" t="s">
        <v>103</v>
      </c>
      <c r="B45">
        <v>9</v>
      </c>
      <c r="C45" t="s">
        <v>679</v>
      </c>
      <c r="D45" t="s">
        <v>679</v>
      </c>
      <c r="E45" t="s">
        <v>19</v>
      </c>
      <c r="F45">
        <v>50</v>
      </c>
      <c r="G45">
        <v>0</v>
      </c>
      <c r="H45" t="s">
        <v>57</v>
      </c>
      <c r="I45" t="s">
        <v>57</v>
      </c>
      <c r="J45" t="s">
        <v>57</v>
      </c>
      <c r="K45" s="4"/>
      <c r="L45" s="4"/>
      <c r="M45" s="4"/>
      <c r="O45" s="4" t="s">
        <v>682</v>
      </c>
      <c r="P45" s="2" t="str" cm="1">
        <f t="array" ref="P45">CONCATENATE("      .AddAttribute(",Fill(B45,3),", ",QTFunc(C45),", ",QTFunc(D45),", ",QTFunc(E45),", ",F45,", ",G45,", ",H45,", ",I45,", ",QTFunc(K45),", ",QTFunc(L45),", ",QTFunc(M45),", ",QTFunc(O45),   ")")</f>
        <v xml:space="preserve">      .AddAttribute(  9, "Currency", "Currency", "varchar", 50, 0, false, false, "", "", "", "currency in this country")</v>
      </c>
    </row>
    <row r="46" spans="1:16" x14ac:dyDescent="0.45">
      <c r="A46" t="s">
        <v>103</v>
      </c>
      <c r="B46">
        <v>10</v>
      </c>
      <c r="C46" t="s">
        <v>131</v>
      </c>
      <c r="D46" t="s">
        <v>131</v>
      </c>
      <c r="E46" t="s">
        <v>77</v>
      </c>
      <c r="F46">
        <v>0</v>
      </c>
      <c r="G46">
        <v>0</v>
      </c>
      <c r="H46" t="s">
        <v>57</v>
      </c>
      <c r="I46" t="s">
        <v>57</v>
      </c>
      <c r="J46" t="s">
        <v>57</v>
      </c>
      <c r="K46" s="4"/>
      <c r="L46" s="4"/>
      <c r="M46" s="4"/>
      <c r="O46" s="4" t="s">
        <v>407</v>
      </c>
      <c r="P46" s="2" t="str" cm="1">
        <f t="array" ref="P46">CONCATENATE("      .AddAttribute(",Fill(B46,3),", ",QTFunc(C46),", ",QTFunc(D46),", ",QTFunc(E46),", ",F46,", ",G46,", ",H46,", ",I46,", ",QTFunc(K46),", ",QTFunc(L46),", ",QTFunc(M46),", ",QTFunc(O46),   ")")</f>
        <v xml:space="preserve">      .AddAttribute( 10, "Notes", "Notes", "text", 0, 0, false, false, "", "", "", "notes, with additional / free information for this country, not used in application")</v>
      </c>
    </row>
    <row r="47" spans="1:16" x14ac:dyDescent="0.45">
      <c r="A47" t="s">
        <v>103</v>
      </c>
      <c r="B47">
        <v>11</v>
      </c>
      <c r="C47" t="s">
        <v>132</v>
      </c>
      <c r="D47" t="s">
        <v>132</v>
      </c>
      <c r="E47" t="s">
        <v>27</v>
      </c>
      <c r="F47">
        <v>0</v>
      </c>
      <c r="G47">
        <v>0</v>
      </c>
      <c r="H47" t="s">
        <v>57</v>
      </c>
      <c r="I47" t="s">
        <v>57</v>
      </c>
      <c r="J47" t="s">
        <v>57</v>
      </c>
      <c r="K47" s="4"/>
      <c r="L47" s="4"/>
      <c r="M47" s="4"/>
      <c r="O47" s="4" t="s">
        <v>255</v>
      </c>
      <c r="P47" s="2" t="str" cm="1">
        <f t="array" ref="P47">CONCATENATE("      .AddAttribute(",Fill(B47,3),", ",QTFunc(C47),", ",QTFunc(D47),", ",QTFunc(E47),", ",F47,", ",G47,", ",H47,", ",I47,", ",QTFunc(K47),", ",QTFunc(L47),", ",QTFunc(M47),", ",QTFunc(O47),   ")")</f>
        <v xml:space="preserve">      .AddAttribute( 11, "UrgentValue", "UrgentValue", "bool", 0, 0, false, false, "", "", "", "boolean value that makes this entity of country to a system value (cannot be changed as it is used directly by the program)")</v>
      </c>
    </row>
    <row r="48" spans="1:16" x14ac:dyDescent="0.45">
      <c r="K48" s="4"/>
      <c r="L48" s="4"/>
      <c r="M48" s="4"/>
      <c r="O48" s="4"/>
    </row>
    <row r="49" spans="1:16" x14ac:dyDescent="0.45">
      <c r="A49" t="s">
        <v>104</v>
      </c>
      <c r="B49">
        <v>0</v>
      </c>
      <c r="C49" t="s">
        <v>118</v>
      </c>
      <c r="D49" t="s">
        <v>454</v>
      </c>
      <c r="E49" t="s">
        <v>166</v>
      </c>
      <c r="H49" t="s">
        <v>527</v>
      </c>
      <c r="I49" t="s">
        <v>168</v>
      </c>
      <c r="K49" s="4"/>
      <c r="L49" s="4"/>
      <c r="M49" s="4"/>
      <c r="O49" s="4" t="s">
        <v>799</v>
      </c>
      <c r="P49" s="2" t="str">
        <f>CONCATENATE("   ",$P$1,".AddTable(","""",A49,""", ",CONCATENATE("EMyEntityType::",E49),", """,IF(ISERROR(FIND(".",C49)),"",RIGHT(C49, LEN(C49) - FIND(".",C49))),""", """,IF(ISERROR(FIND(".",C49)),"",LEFT(C49, FIND(".",C49)-1)),""", """,IF(ISERROR(FIND("::",D49)),"",RIGHT(D49, LEN(D49) - FIND("::",D49)-1)),""", """,IF(ISERROR(FIND("::",D49)),"",LEFT(D49, FIND("::",D49)-1)),""", """,H49,""", """,I49,""", """,O49,""")")</f>
        <v xml:space="preserve">   dictionary.AddTable("Departments", EMyEntityType::table, "Departments", "dbo", "Departments", "myHR", "System/HR", "SQL", "independent entity with the departments in the company, independent identity")</v>
      </c>
    </row>
    <row r="50" spans="1:16" x14ac:dyDescent="0.45">
      <c r="A50" t="s">
        <v>104</v>
      </c>
      <c r="B50">
        <v>1</v>
      </c>
      <c r="C50" t="s">
        <v>133</v>
      </c>
      <c r="D50" t="s">
        <v>133</v>
      </c>
      <c r="E50" t="s">
        <v>20</v>
      </c>
      <c r="F50">
        <v>0</v>
      </c>
      <c r="G50">
        <v>0</v>
      </c>
      <c r="H50" t="s">
        <v>58</v>
      </c>
      <c r="I50" t="s">
        <v>58</v>
      </c>
      <c r="J50" t="s">
        <v>57</v>
      </c>
      <c r="K50" s="4"/>
      <c r="L50" s="4"/>
      <c r="M50" s="4"/>
      <c r="O50" s="4" t="s">
        <v>464</v>
      </c>
      <c r="P50" s="2" t="str" cm="1">
        <f t="array" ref="P50">CONCATENATE("      .AddAttribute(",Fill(B50,3),", ",QTFunc(C50),", ",QTFunc(D50),", ",QTFunc(E50),", ",F50,", ",G50,", ",H50,", ",I50,", ",QTFunc(K50),", ",QTFunc(L50),", ",QTFunc(M50),", ",QTFunc(O50),   ")")</f>
        <v xml:space="preserve">      .AddAttribute(  1, "ID", "ID", "integer", 0, 0, true, true, "", "", "", "unique identifications number of the department. primary key and used for assoziations")</v>
      </c>
    </row>
    <row r="51" spans="1:16" x14ac:dyDescent="0.45">
      <c r="A51" t="s">
        <v>104</v>
      </c>
      <c r="B51">
        <v>2</v>
      </c>
      <c r="C51" t="s">
        <v>128</v>
      </c>
      <c r="D51" t="s">
        <v>128</v>
      </c>
      <c r="E51" t="s">
        <v>19</v>
      </c>
      <c r="F51">
        <v>50</v>
      </c>
      <c r="G51">
        <v>0</v>
      </c>
      <c r="H51" t="s">
        <v>58</v>
      </c>
      <c r="I51" t="s">
        <v>57</v>
      </c>
      <c r="J51" t="s">
        <v>58</v>
      </c>
      <c r="K51" s="4"/>
      <c r="L51" s="4"/>
      <c r="M51" s="4"/>
      <c r="O51" s="4" t="s">
        <v>466</v>
      </c>
      <c r="P51" s="2" t="str" cm="1">
        <f t="array" ref="P51">CONCATENATE("      .AddAttribute(",Fill(B51,3),", ",QTFunc(C51),", ",QTFunc(D51),", ",QTFunc(E51),", ",F51,", ",G51,", ",H51,", ",I51,", ",QTFunc(K51),", ",QTFunc(L51),", ",QTFunc(M51),", ",QTFunc(O51),   ")")</f>
        <v xml:space="preserve">      .AddAttribute(  2, "Denotation", "Denotation", "varchar", 50, 0, true, false, "", "", "", "distinct name of the department in the company. used to identify this and use in application for select")</v>
      </c>
    </row>
    <row r="52" spans="1:16" x14ac:dyDescent="0.45">
      <c r="A52" t="s">
        <v>104</v>
      </c>
      <c r="B52">
        <v>3</v>
      </c>
      <c r="C52" t="s">
        <v>129</v>
      </c>
      <c r="D52" t="s">
        <v>129</v>
      </c>
      <c r="E52" t="s">
        <v>19</v>
      </c>
      <c r="F52">
        <v>10</v>
      </c>
      <c r="G52">
        <v>0</v>
      </c>
      <c r="H52" t="s">
        <v>57</v>
      </c>
      <c r="I52" t="s">
        <v>57</v>
      </c>
      <c r="J52" t="s">
        <v>57</v>
      </c>
      <c r="K52" s="4"/>
      <c r="L52" s="4"/>
      <c r="M52" s="4"/>
      <c r="O52" s="4" t="s">
        <v>465</v>
      </c>
      <c r="P52" s="2" t="str" cm="1">
        <f t="array" ref="P52">CONCATENATE("      .AddAttribute(",Fill(B52,3),", ",QTFunc(C52),", ",QTFunc(D52),", ",QTFunc(E52),", ",F52,", ",G52,", ",H52,", ",I52,", ",QTFunc(K52),", ",QTFunc(L52),", ",QTFunc(M52),", ",QTFunc(O52),   ")")</f>
        <v xml:space="preserve">      .AddAttribute(  3, "Abbreviation", "Abbreviation", "varchar", 10, 0, false, false, "", "", "", "used abbreviation of the department for list and such")</v>
      </c>
    </row>
    <row r="53" spans="1:16" x14ac:dyDescent="0.45">
      <c r="A53" t="s">
        <v>104</v>
      </c>
      <c r="B53">
        <v>4</v>
      </c>
      <c r="C53" t="s">
        <v>130</v>
      </c>
      <c r="D53" t="s">
        <v>130</v>
      </c>
      <c r="E53" t="s">
        <v>77</v>
      </c>
      <c r="F53">
        <v>0</v>
      </c>
      <c r="G53">
        <v>0</v>
      </c>
      <c r="H53" t="s">
        <v>57</v>
      </c>
      <c r="I53" t="s">
        <v>57</v>
      </c>
      <c r="J53" t="s">
        <v>57</v>
      </c>
      <c r="K53" s="4"/>
      <c r="L53" s="4"/>
      <c r="M53" s="4"/>
      <c r="O53" s="4" t="s">
        <v>800</v>
      </c>
      <c r="P53" s="2" t="str" cm="1">
        <f t="array" ref="P53">CONCATENATE("      .AddAttribute(",Fill(B53,3),", ",QTFunc(C53),", ",QTFunc(D53),", ",QTFunc(E53),", ",F53,", ",G53,", ",H53,", ",I53,", ",QTFunc(K53),", ",QTFunc(L53),", ",QTFunc(M53),", ",QTFunc(O53),   ")")</f>
        <v xml:space="preserve">      .AddAttribute(  4, "Description", "Description", "text", 0, 0, false, false, "", "", "", "description for this department, is used in the program, for example as hint ")</v>
      </c>
    </row>
    <row r="54" spans="1:16" x14ac:dyDescent="0.45">
      <c r="A54" t="s">
        <v>104</v>
      </c>
      <c r="B54">
        <v>5</v>
      </c>
      <c r="C54" t="s">
        <v>460</v>
      </c>
      <c r="D54" t="s">
        <v>460</v>
      </c>
      <c r="E54" t="s">
        <v>20</v>
      </c>
      <c r="F54">
        <v>0</v>
      </c>
      <c r="G54">
        <v>0</v>
      </c>
      <c r="H54" t="s">
        <v>57</v>
      </c>
      <c r="I54" t="s">
        <v>57</v>
      </c>
      <c r="J54" t="s">
        <v>57</v>
      </c>
      <c r="K54" s="4"/>
      <c r="L54" s="4"/>
      <c r="M54" s="4"/>
      <c r="O54" s="4" t="s">
        <v>801</v>
      </c>
      <c r="P54" s="2" t="str" cm="1">
        <f t="array" ref="P54">CONCATENATE("      .AddAttribute(",Fill(B54,3),", ",QTFunc(C54),", ",QTFunc(D54),", ",QTFunc(E54),", ",F54,", ",G54,", ",H54,", ",I54,", ",QTFunc(K54),", ",QTFunc(L54),", ",QTFunc(M54),", ",QTFunc(O54),   ")")</f>
        <v xml:space="preserve">      .AddAttribute(  5, "Officer", "Officer", "integer", 0, 0, false, false, "", "", "", "person responsible / head of this department (association with the employys entity)")</v>
      </c>
    </row>
    <row r="55" spans="1:16" x14ac:dyDescent="0.45">
      <c r="A55" t="s">
        <v>104</v>
      </c>
      <c r="B55">
        <v>6</v>
      </c>
      <c r="C55" t="s">
        <v>131</v>
      </c>
      <c r="D55" t="s">
        <v>131</v>
      </c>
      <c r="E55" t="s">
        <v>77</v>
      </c>
      <c r="F55">
        <v>0</v>
      </c>
      <c r="G55">
        <v>0</v>
      </c>
      <c r="H55" t="s">
        <v>57</v>
      </c>
      <c r="I55" t="s">
        <v>57</v>
      </c>
      <c r="J55" t="s">
        <v>57</v>
      </c>
      <c r="K55" s="4"/>
      <c r="L55" s="4"/>
      <c r="M55" s="4"/>
      <c r="O55" s="4" t="s">
        <v>802</v>
      </c>
      <c r="P55" s="2" t="str" cm="1">
        <f t="array" ref="P55">CONCATENATE("      .AddAttribute(",Fill(B55,3),", ",QTFunc(C55),", ",QTFunc(D55),", ",QTFunc(E55),", ",F55,", ",G55,", ",H55,", ",I55,", ",QTFunc(K55),", ",QTFunc(L55),", ",QTFunc(M55),", ",QTFunc(O55),   ")")</f>
        <v xml:space="preserve">      .AddAttribute(  6, "Notes", "Notes", "text", 0, 0, false, false, "", "", "", "free notes to record information that is not used in the program")</v>
      </c>
    </row>
    <row r="56" spans="1:16" x14ac:dyDescent="0.45">
      <c r="K56" s="4"/>
      <c r="L56" s="4"/>
      <c r="M56" s="4"/>
      <c r="O56" s="4"/>
    </row>
    <row r="57" spans="1:16" x14ac:dyDescent="0.45">
      <c r="A57" t="s">
        <v>105</v>
      </c>
      <c r="B57">
        <v>0</v>
      </c>
      <c r="C57" t="s">
        <v>119</v>
      </c>
      <c r="D57" t="s">
        <v>386</v>
      </c>
      <c r="E57" t="s">
        <v>166</v>
      </c>
      <c r="H57" t="s">
        <v>527</v>
      </c>
      <c r="I57" t="s">
        <v>168</v>
      </c>
      <c r="K57" s="4"/>
      <c r="L57" s="4"/>
      <c r="M57" s="4"/>
      <c r="O57" s="4" t="s">
        <v>275</v>
      </c>
      <c r="P57" s="2" t="str">
        <f>CONCATENATE("   ",$P$1,".AddTable(","""",A57,""", ",CONCATENATE("EMyEntityType::",E57),", """,IF(ISERROR(FIND(".",C57)),"",RIGHT(C57, LEN(C57) - FIND(".",C57))),""", """,IF(ISERROR(FIND(".",C57)),"",LEFT(C57, FIND(".",C57)-1)),""", """,IF(ISERROR(FIND("::",D57)),"",RIGHT(D57, LEN(D57) - FIND("::",D57)-1)),""", """,IF(ISERROR(FIND("::",D57)),"",LEFT(D57, FIND("::",D57)-1)),""", """,H57,""", """,I57,""", """,O57,""")")</f>
        <v xml:space="preserve">   dictionary.AddTable("Employees", EMyEntityType::table, "Employees", "dbo", "Employees", "myHR", "System/HR", "SQL", "information about the employees in the company (generalization of a person)")</v>
      </c>
    </row>
    <row r="58" spans="1:16" x14ac:dyDescent="0.45">
      <c r="A58" t="s">
        <v>105</v>
      </c>
      <c r="B58">
        <v>1</v>
      </c>
      <c r="C58" t="s">
        <v>133</v>
      </c>
      <c r="D58" t="s">
        <v>133</v>
      </c>
      <c r="E58" t="s">
        <v>20</v>
      </c>
      <c r="F58">
        <v>0</v>
      </c>
      <c r="G58">
        <v>0</v>
      </c>
      <c r="H58" t="s">
        <v>58</v>
      </c>
      <c r="I58" t="s">
        <v>58</v>
      </c>
      <c r="J58" t="s">
        <v>57</v>
      </c>
      <c r="K58" s="4"/>
      <c r="L58" s="4"/>
      <c r="M58" s="4"/>
      <c r="O58" s="4" t="s">
        <v>263</v>
      </c>
      <c r="P58" s="2" t="str" cm="1">
        <f t="array" ref="P58">CONCATENATE("      .AddAttribute(",Fill(B58,3),", ",QTFunc(C58),", ",QTFunc(D58),", ",QTFunc(E58),", ",F58,", ",G58,", ",H58,", ",I58,", ",QTFunc(K58),", ",QTFunc(L58),", ",QTFunc(M58),", ",QTFunc(O58),   ")")</f>
        <v xml:space="preserve">      .AddAttribute(  1, "ID", "ID", "integer", 0, 0, true, true, "", "", "", "attribute as foreign key from an attribute ID of a person entity to which these account details belong")</v>
      </c>
    </row>
    <row r="59" spans="1:16" x14ac:dyDescent="0.45">
      <c r="A59" t="s">
        <v>105</v>
      </c>
      <c r="B59">
        <v>2</v>
      </c>
      <c r="C59" t="s">
        <v>150</v>
      </c>
      <c r="D59" t="s">
        <v>150</v>
      </c>
      <c r="E59" t="s">
        <v>19</v>
      </c>
      <c r="F59">
        <v>15</v>
      </c>
      <c r="G59">
        <v>0</v>
      </c>
      <c r="H59" t="s">
        <v>58</v>
      </c>
      <c r="I59" t="s">
        <v>57</v>
      </c>
      <c r="J59" t="s">
        <v>58</v>
      </c>
      <c r="K59" s="4"/>
      <c r="L59" s="4"/>
      <c r="M59" s="4"/>
      <c r="O59" s="4" t="s">
        <v>274</v>
      </c>
      <c r="P59" s="2" t="str" cm="1">
        <f t="array" ref="P59">CONCATENATE("      .AddAttribute(",Fill(B59,3),", ",QTFunc(C59),", ",QTFunc(D59),", ",QTFunc(E59),", ",F59,", ",G59,", ",H59,", ",I59,", ",QTFunc(K59),", ",QTFunc(L59),", ",QTFunc(M59),", ",QTFunc(O59),   ")")</f>
        <v xml:space="preserve">      .AddAttribute(  2, "PersonNumber", "PersonNumber", "varchar", 15, 0, true, false, "", "", "", "unique HR number of the employee in the company, assigned by the HR department")</v>
      </c>
    </row>
    <row r="60" spans="1:16" x14ac:dyDescent="0.45">
      <c r="A60" t="s">
        <v>105</v>
      </c>
      <c r="B60">
        <v>3</v>
      </c>
      <c r="C60" t="s">
        <v>798</v>
      </c>
      <c r="D60" t="s">
        <v>798</v>
      </c>
      <c r="E60" t="s">
        <v>25</v>
      </c>
      <c r="F60">
        <v>10</v>
      </c>
      <c r="G60">
        <v>2</v>
      </c>
      <c r="H60" t="s">
        <v>57</v>
      </c>
      <c r="I60" t="s">
        <v>57</v>
      </c>
      <c r="J60" t="s">
        <v>57</v>
      </c>
      <c r="K60" s="4" t="s">
        <v>286</v>
      </c>
      <c r="L60" s="4"/>
      <c r="M60" s="4"/>
      <c r="O60" s="4" t="s">
        <v>786</v>
      </c>
      <c r="P60" s="2" t="str" cm="1">
        <f t="array" ref="P60">CONCATENATE("      .AddAttribute(",Fill(B60,3),", ",QTFunc(C60),", ",QTFunc(D60),", ",QTFunc(E60),", ",F60,", ",G60,", ",H60,", ",I60,", ",QTFunc(K60),", ",QTFunc(L60),", ",QTFunc(M60),", ",QTFunc(O60),   ")")</f>
        <v xml:space="preserve">      .AddAttribute(  3, "Salary", "Salary", "decimal", 10, 2, false, false, "&gt;= 0.0", "", "", "salary / income that the employee currently receives, dependant by the SalaryBase")</v>
      </c>
    </row>
    <row r="61" spans="1:16" x14ac:dyDescent="0.45">
      <c r="A61" t="s">
        <v>105</v>
      </c>
      <c r="B61">
        <v>4</v>
      </c>
      <c r="C61" t="s">
        <v>761</v>
      </c>
      <c r="D61" t="s">
        <v>761</v>
      </c>
      <c r="E61" t="s">
        <v>20</v>
      </c>
      <c r="F61">
        <v>0</v>
      </c>
      <c r="G61">
        <v>0</v>
      </c>
      <c r="H61" t="s">
        <v>57</v>
      </c>
      <c r="I61" t="s">
        <v>57</v>
      </c>
      <c r="J61" t="s">
        <v>57</v>
      </c>
      <c r="K61" s="4"/>
      <c r="L61" s="4"/>
      <c r="M61" s="4"/>
      <c r="O61" s="4" t="s">
        <v>787</v>
      </c>
      <c r="P61" s="2" t="str" cm="1">
        <f t="array" ref="P61">CONCATENATE("      .AddAttribute(",Fill(B61,3),", ",QTFunc(C61),", ",QTFunc(D61),", ",QTFunc(E61),", ",F61,", ",G61,", ",H61,", ",I61,", ",QTFunc(K61),", ",QTFunc(L61),", ",QTFunc(M61),", ",QTFunc(O61),   ")")</f>
        <v xml:space="preserve">      .AddAttribute(  4, "SalaryType", "SalaryType", "integer", 0, 0, false, false, "", "", "", "range for SalaryType with the kind of Salary and determine the SalaryBase for the calculation")</v>
      </c>
    </row>
    <row r="62" spans="1:16" x14ac:dyDescent="0.45">
      <c r="A62" t="s">
        <v>105</v>
      </c>
      <c r="B62">
        <v>5</v>
      </c>
      <c r="C62" t="s">
        <v>335</v>
      </c>
      <c r="D62" t="s">
        <v>335</v>
      </c>
      <c r="E62" t="s">
        <v>20</v>
      </c>
      <c r="F62">
        <v>0</v>
      </c>
      <c r="G62">
        <v>0</v>
      </c>
      <c r="H62" t="s">
        <v>58</v>
      </c>
      <c r="I62" t="s">
        <v>57</v>
      </c>
      <c r="J62" t="s">
        <v>57</v>
      </c>
      <c r="K62" s="4"/>
      <c r="L62" s="4"/>
      <c r="M62" s="4"/>
      <c r="O62" s="4" t="s">
        <v>336</v>
      </c>
      <c r="P62" s="2" t="str" cm="1">
        <f t="array" ref="P62">CONCATENATE("      .AddAttribute(",Fill(B62,3),", ",QTFunc(C62),", ",QTFunc(D62),", ",QTFunc(E62),", ",F62,", ",G62,", ",H62,", ",I62,", ",QTFunc(K62),", ",QTFunc(L62),", ",QTFunc(M62),", ",QTFunc(O62),   ")")</f>
        <v xml:space="preserve">      .AddAttribute(  5, "TaxClass", "TaxClass", "integer", 0, 0, true, false, "", "", "", "Tax class currently held by the employee")</v>
      </c>
    </row>
    <row r="63" spans="1:16" x14ac:dyDescent="0.45">
      <c r="A63" t="s">
        <v>105</v>
      </c>
      <c r="B63">
        <v>6</v>
      </c>
      <c r="C63" t="s">
        <v>152</v>
      </c>
      <c r="D63" t="s">
        <v>152</v>
      </c>
      <c r="E63" t="s">
        <v>22</v>
      </c>
      <c r="F63">
        <v>0</v>
      </c>
      <c r="G63">
        <v>0</v>
      </c>
      <c r="H63" t="s">
        <v>58</v>
      </c>
      <c r="I63" t="s">
        <v>57</v>
      </c>
      <c r="J63" t="s">
        <v>57</v>
      </c>
      <c r="K63" s="4"/>
      <c r="L63" s="4"/>
      <c r="M63" s="4"/>
      <c r="O63" s="4" t="s">
        <v>272</v>
      </c>
      <c r="P63" s="2" t="str" cm="1">
        <f t="array" ref="P63">CONCATENATE("      .AddAttribute(",Fill(B63,3),", ",QTFunc(C63),", ",QTFunc(D63),", ",QTFunc(E63),", ",F63,", ",G63,", ",H63,", ",I63,", ",QTFunc(K63),", ",QTFunc(L63),", ",QTFunc(M63),", ",QTFunc(O63),   ")")</f>
        <v xml:space="preserve">      .AddAttribute(  6, "StartOfJob", "StartOfJob", "date", 0, 0, true, false, "", "", "", "starting date of the employee in the company (can be extended later for the start of the current position)")</v>
      </c>
    </row>
    <row r="64" spans="1:16" x14ac:dyDescent="0.45">
      <c r="A64" t="s">
        <v>105</v>
      </c>
      <c r="B64">
        <v>7</v>
      </c>
      <c r="C64" t="s">
        <v>544</v>
      </c>
      <c r="D64" t="s">
        <v>544</v>
      </c>
      <c r="E64" t="s">
        <v>22</v>
      </c>
      <c r="F64">
        <v>0</v>
      </c>
      <c r="G64">
        <v>0</v>
      </c>
      <c r="H64" t="s">
        <v>57</v>
      </c>
      <c r="I64" t="s">
        <v>57</v>
      </c>
      <c r="J64" t="s">
        <v>57</v>
      </c>
      <c r="K64" s="4" t="s">
        <v>547</v>
      </c>
      <c r="L64" s="4"/>
      <c r="M64" s="4"/>
      <c r="O64" s="4" t="s">
        <v>545</v>
      </c>
      <c r="P64" s="2" t="str" cm="1">
        <f t="array" ref="P64">CONCATENATE("      .AddAttribute(",Fill(B64,3),", ",QTFunc(C64),", ",QTFunc(D64),", ",QTFunc(E64),", ",F64,", ",G64,", ",H64,", ",I64,", ",QTFunc(K64),", ",QTFunc(L64),", ",QTFunc(M64),", ",QTFunc(O64),   ")")</f>
        <v xml:space="preserve">      .AddAttribute(  7, "EndOfJob", "EndOfJob", "date", 0, 0, false, false, "[EndOfJob IS NULL OR (EndOfJob &gt; StartOfJob)]", "", "", "end date of the employee in the company, all dates without time history")</v>
      </c>
    </row>
    <row r="65" spans="1:16" x14ac:dyDescent="0.45">
      <c r="A65" t="s">
        <v>105</v>
      </c>
      <c r="B65">
        <v>8</v>
      </c>
      <c r="C65" t="s">
        <v>652</v>
      </c>
      <c r="D65" t="s">
        <v>652</v>
      </c>
      <c r="E65" t="s">
        <v>20</v>
      </c>
      <c r="F65">
        <v>0</v>
      </c>
      <c r="G65">
        <v>0</v>
      </c>
      <c r="H65" t="s">
        <v>57</v>
      </c>
      <c r="I65" t="s">
        <v>57</v>
      </c>
      <c r="J65" t="s">
        <v>57</v>
      </c>
      <c r="K65" s="4" t="s">
        <v>657</v>
      </c>
      <c r="L65" s="4"/>
      <c r="M65" s="4"/>
      <c r="O65" s="4" t="s">
        <v>653</v>
      </c>
      <c r="P65" s="2" t="str" cm="1">
        <f t="array" ref="P65">CONCATENATE("      .AddAttribute(",Fill(B65,3),", ",QTFunc(C65),", ",QTFunc(D65),", ",QTFunc(E65),", ",F65,", ",G65,", ",H65,", ",I65,", ",QTFunc(K65),", ",QTFunc(L65),", ",QTFunc(M65),", ",QTFunc(O65),   ")")</f>
        <v xml:space="preserve">      .AddAttribute(  8, "ReasonDeparture", "ReasonDeparture", "integer", 0, 0, false, false, "[(ReasonDeparture IS NULL AND EndOfJob IS NULL) OR  (ReasonDeparture IS NOT NULL AND EndOfJob IS NOT NULL)]", "", "", "reason of departture when the person separated and the emplyment finished (NULL if active)")</v>
      </c>
    </row>
    <row r="66" spans="1:16" x14ac:dyDescent="0.45">
      <c r="A66" t="s">
        <v>105</v>
      </c>
      <c r="B66">
        <v>9</v>
      </c>
      <c r="C66" t="s">
        <v>153</v>
      </c>
      <c r="D66" t="s">
        <v>153</v>
      </c>
      <c r="E66" t="s">
        <v>20</v>
      </c>
      <c r="F66">
        <v>0</v>
      </c>
      <c r="G66">
        <v>0</v>
      </c>
      <c r="H66" t="s">
        <v>57</v>
      </c>
      <c r="I66" t="s">
        <v>57</v>
      </c>
      <c r="J66" t="s">
        <v>57</v>
      </c>
      <c r="K66" s="4"/>
      <c r="L66" s="4"/>
      <c r="M66" s="4"/>
      <c r="O66" s="4" t="s">
        <v>271</v>
      </c>
      <c r="P66" s="2" t="str" cm="1">
        <f t="array" ref="P66">CONCATENATE("      .AddAttribute(",Fill(B66,3),", ",QTFunc(C66),", ",QTFunc(D66),", ",QTFunc(E66),", ",F66,", ",G66,", ",H66,", ",I66,", ",QTFunc(K66),", ",QTFunc(L66),", ",QTFunc(M66),", ",QTFunc(O66),   ")")</f>
        <v xml:space="preserve">      .AddAttribute(  9, "JobPosition", "JobPosition", "integer", 0, 0, false, false, "", "", "", "current position / activity of the employee within the company")</v>
      </c>
    </row>
    <row r="67" spans="1:16" x14ac:dyDescent="0.45">
      <c r="A67" t="s">
        <v>105</v>
      </c>
      <c r="B67">
        <v>10</v>
      </c>
      <c r="C67" t="s">
        <v>154</v>
      </c>
      <c r="D67" t="s">
        <v>154</v>
      </c>
      <c r="E67" t="s">
        <v>19</v>
      </c>
      <c r="F67">
        <v>100</v>
      </c>
      <c r="G67">
        <v>0</v>
      </c>
      <c r="H67" t="s">
        <v>57</v>
      </c>
      <c r="I67" t="s">
        <v>57</v>
      </c>
      <c r="J67" t="s">
        <v>57</v>
      </c>
      <c r="K67" s="4"/>
      <c r="L67" s="4"/>
      <c r="M67" s="4"/>
      <c r="O67" s="4" t="s">
        <v>287</v>
      </c>
      <c r="P67" s="2" t="str" cm="1">
        <f t="array" ref="P67">CONCATENATE("      .AddAttribute(",Fill(B67,3),", ",QTFunc(C67),", ",QTFunc(D67),", ",QTFunc(E67),", ",F67,", ",G67,", ",H67,", ",I67,", ",QTFunc(K67),", ",QTFunc(L67),", ",QTFunc(M67),", ",QTFunc(O67),   ")")</f>
        <v xml:space="preserve">      .AddAttribute( 10, "JobSpec", "JobSpec", "varchar", 100, 0, false, false, "", "", "", "specification of the job as free text to concretize this")</v>
      </c>
    </row>
    <row r="68" spans="1:16" x14ac:dyDescent="0.45">
      <c r="A68" t="s">
        <v>105</v>
      </c>
      <c r="B68">
        <v>11</v>
      </c>
      <c r="C68" t="s">
        <v>743</v>
      </c>
      <c r="D68" t="s">
        <v>743</v>
      </c>
      <c r="E68" t="s">
        <v>281</v>
      </c>
      <c r="F68">
        <v>0</v>
      </c>
      <c r="G68">
        <v>0</v>
      </c>
      <c r="H68" t="s">
        <v>57</v>
      </c>
      <c r="I68" t="s">
        <v>57</v>
      </c>
      <c r="J68" t="s">
        <v>57</v>
      </c>
      <c r="K68" s="4"/>
      <c r="L68" s="4"/>
      <c r="M68" s="4"/>
      <c r="O68" s="4" t="s">
        <v>742</v>
      </c>
      <c r="P68" s="2" t="str" cm="1">
        <f t="array" ref="P68">CONCATENATE("      .AddAttribute(",Fill(B68,3),", ",QTFunc(C68),", ",QTFunc(D68),", ",QTFunc(E68),", ",F68,", ",G68,", ",H68,", ",I68,", ",QTFunc(K68),", ",QTFunc(L68),", ",QTFunc(M68),", ",QTFunc(O68),   ")")</f>
        <v xml:space="preserve">      .AddAttribute( 11, "VacationDays", "VacationDays", "unsigned", 0, 0, false, false, "", "", "", "Entitlement to annual vacations for this employee")</v>
      </c>
    </row>
    <row r="69" spans="1:16" x14ac:dyDescent="0.45">
      <c r="A69" t="s">
        <v>105</v>
      </c>
      <c r="B69">
        <v>12</v>
      </c>
      <c r="C69" t="s">
        <v>155</v>
      </c>
      <c r="D69" t="s">
        <v>155</v>
      </c>
      <c r="E69" t="s">
        <v>20</v>
      </c>
      <c r="F69">
        <v>0</v>
      </c>
      <c r="G69">
        <v>0</v>
      </c>
      <c r="H69" t="s">
        <v>58</v>
      </c>
      <c r="I69" t="s">
        <v>57</v>
      </c>
      <c r="J69" t="s">
        <v>57</v>
      </c>
      <c r="K69" s="4"/>
      <c r="L69" s="4"/>
      <c r="M69" s="4"/>
      <c r="O69" s="4" t="s">
        <v>270</v>
      </c>
      <c r="P69" s="2" t="str" cm="1">
        <f t="array" ref="P69">CONCATENATE("      .AddAttribute(",Fill(B69,3),", ",QTFunc(C69),", ",QTFunc(D69),", ",QTFunc(E69),", ",F69,", ",G69,", ",H69,", ",I69,", ",QTFunc(K69),", ",QTFunc(L69),", ",QTFunc(M69),", ",QTFunc(O69),   ")")</f>
        <v xml:space="preserve">      .AddAttribute( 12, "Department", "Department", "integer", 0, 0, true, false, "", "", "", "id of the department where the employee currently work")</v>
      </c>
    </row>
    <row r="70" spans="1:16" x14ac:dyDescent="0.45">
      <c r="A70" t="s">
        <v>105</v>
      </c>
      <c r="B70">
        <v>13</v>
      </c>
      <c r="C70" t="s">
        <v>156</v>
      </c>
      <c r="D70" t="s">
        <v>156</v>
      </c>
      <c r="E70" t="s">
        <v>19</v>
      </c>
      <c r="F70">
        <v>20</v>
      </c>
      <c r="G70">
        <v>0</v>
      </c>
      <c r="H70" t="s">
        <v>58</v>
      </c>
      <c r="I70" t="s">
        <v>57</v>
      </c>
      <c r="J70" t="s">
        <v>58</v>
      </c>
      <c r="K70" s="4"/>
      <c r="L70" s="4"/>
      <c r="M70" s="4"/>
      <c r="O70" s="4" t="s">
        <v>276</v>
      </c>
      <c r="P70" s="2" t="str" cm="1">
        <f t="array" ref="P70">CONCATENATE("      .AddAttribute(",Fill(B70,3),", ",QTFunc(C70),", ",QTFunc(D70),", ",QTFunc(E70),", ",F70,", ",G70,", ",H70,", ",I70,", ",QTFunc(K70),", ",QTFunc(L70),", ",QTFunc(M70),", ",QTFunc(O70),   ")")</f>
        <v xml:space="preserve">      .AddAttribute( 13, "SocialNummer", "SocialNummer", "varchar", 20, 0, true, false, "", "", "", "social insurance number of the employee")</v>
      </c>
    </row>
    <row r="71" spans="1:16" x14ac:dyDescent="0.45">
      <c r="A71" t="s">
        <v>105</v>
      </c>
      <c r="B71">
        <v>14</v>
      </c>
      <c r="C71" t="s">
        <v>157</v>
      </c>
      <c r="D71" t="s">
        <v>157</v>
      </c>
      <c r="E71" t="s">
        <v>27</v>
      </c>
      <c r="F71">
        <v>0</v>
      </c>
      <c r="G71">
        <v>0</v>
      </c>
      <c r="H71" t="s">
        <v>57</v>
      </c>
      <c r="I71" t="s">
        <v>57</v>
      </c>
      <c r="J71" t="s">
        <v>57</v>
      </c>
      <c r="K71" s="4"/>
      <c r="L71" s="4"/>
      <c r="M71" s="4" t="s">
        <v>548</v>
      </c>
      <c r="O71" s="4" t="s">
        <v>546</v>
      </c>
      <c r="P71" s="2" t="str" cm="1">
        <f t="array" ref="P71">CONCATENATE("      .AddAttribute(",Fill(B71,3),", ",QTFunc(C71),", ",QTFunc(D71),", ",QTFunc(E71),", ",F71,", ",G71,", ",H71,", ",I71,", ",QTFunc(K71),", ",QTFunc(L71),", ",QTFunc(M71),", ",QTFunc(O71),   ")")</f>
        <v xml:space="preserve">      .AddAttribute( 14, "Active", "Active", "bool", 0, 0, false, false, "", "", "[IIF(EndOfJob IS NULL OR EndOfJob &gt;= GETDATE(), 1, 0)]", "calculated boolean value indicating whether the person is active in the company")</v>
      </c>
    </row>
    <row r="72" spans="1:16" x14ac:dyDescent="0.45">
      <c r="K72" s="4"/>
      <c r="L72" s="4"/>
      <c r="M72" s="4"/>
      <c r="O72" s="4"/>
      <c r="P72" s="2"/>
    </row>
    <row r="73" spans="1:16" x14ac:dyDescent="0.45">
      <c r="A73" t="s">
        <v>174</v>
      </c>
      <c r="B73">
        <v>0</v>
      </c>
      <c r="C73" t="s">
        <v>175</v>
      </c>
      <c r="D73" t="s">
        <v>446</v>
      </c>
      <c r="E73" t="s">
        <v>93</v>
      </c>
      <c r="H73" t="s">
        <v>526</v>
      </c>
      <c r="I73" t="s">
        <v>168</v>
      </c>
      <c r="K73" s="4"/>
      <c r="L73" s="4"/>
      <c r="M73" s="4"/>
      <c r="O73" s="4" t="s">
        <v>789</v>
      </c>
      <c r="P73" s="2" t="str">
        <f>CONCATENATE("   ",$P$1,".AddTable(","""",A73,""", ",CONCATENATE("EMyEntityType::",E73),", """,IF(ISERROR(FIND(".",C73)),"",RIGHT(C73, LEN(C73) - FIND(".",C73))),""", """,IF(ISERROR(FIND(".",C73)),"",LEFT(C73, FIND(".",C73)-1)),""", """,IF(ISERROR(FIND("::",D73)),"",RIGHT(D73, LEN(D73) - FIND("::",D73)-1)),""", """,IF(ISERROR(FIND("::",D73)),"",LEFT(D73, FIND("::",D73)-1)),""", """,H73,""", """,I73,""", """,O73,""")")</f>
        <v xml:space="preserve">   dictionary.AddTable("FamilyStatus", EMyEntityType::range, "FamilyStatus", "dbo", "FamilyStatus", "myCorporate", "System/Corporate", "SQL", "domain / range of values for family status, this is used in person to qualifify the actual status, maybe a date needed too")</v>
      </c>
    </row>
    <row r="74" spans="1:16" x14ac:dyDescent="0.45">
      <c r="A74" t="s">
        <v>174</v>
      </c>
      <c r="B74">
        <v>1</v>
      </c>
      <c r="C74" t="s">
        <v>133</v>
      </c>
      <c r="D74" t="s">
        <v>133</v>
      </c>
      <c r="E74" t="s">
        <v>20</v>
      </c>
      <c r="F74">
        <v>0</v>
      </c>
      <c r="G74">
        <v>0</v>
      </c>
      <c r="H74" t="s">
        <v>58</v>
      </c>
      <c r="I74" t="s">
        <v>58</v>
      </c>
      <c r="J74" t="s">
        <v>57</v>
      </c>
      <c r="K74" s="4"/>
      <c r="L74" s="4"/>
      <c r="M74" s="4"/>
      <c r="O74" s="4" t="s">
        <v>790</v>
      </c>
      <c r="P74" s="2" t="str" cm="1">
        <f t="array" ref="P74">CONCATENATE("      .AddAttribute(",Fill(B74,3),", ",QTFunc(C74),", ",QTFunc(D74),", ",QTFunc(E74),", ",F74,", ",G74,", ",H74,", ",I74,", ",QTFunc(K74),", ",QTFunc(L74),", ",QTFunc(M74),", ",QTFunc(O74),   ")")</f>
        <v xml:space="preserve">      .AddAttribute(  1, "ID", "ID", "integer", 0, 0, true, true, "", "", "", "unique identification number for a record in this domain with family status")</v>
      </c>
    </row>
    <row r="75" spans="1:16" x14ac:dyDescent="0.45">
      <c r="A75" t="s">
        <v>174</v>
      </c>
      <c r="B75">
        <v>2</v>
      </c>
      <c r="C75" t="s">
        <v>128</v>
      </c>
      <c r="D75" t="s">
        <v>128</v>
      </c>
      <c r="E75" t="s">
        <v>19</v>
      </c>
      <c r="F75">
        <v>50</v>
      </c>
      <c r="G75">
        <v>0</v>
      </c>
      <c r="H75" t="s">
        <v>58</v>
      </c>
      <c r="I75" t="s">
        <v>57</v>
      </c>
      <c r="J75" t="s">
        <v>58</v>
      </c>
      <c r="K75" s="4"/>
      <c r="L75" s="4"/>
      <c r="M75" s="4"/>
      <c r="O75" s="4" t="s">
        <v>791</v>
      </c>
      <c r="P75" s="2" t="str" cm="1">
        <f t="array" ref="P75">CONCATENATE("      .AddAttribute(",Fill(B75,3),", ",QTFunc(C75),", ",QTFunc(D75),", ",QTFunc(E75),", ",F75,", ",G75,", ",H75,", ",I75,", ",QTFunc(K75),", ",QTFunc(L75),", ",QTFunc(M75),", ",QTFunc(O75),   ")")</f>
        <v xml:space="preserve">      .AddAttribute(  2, "Denotation", "Denotation", "varchar", 50, 0, true, false, "", "", "", "unique description of a family status entity in the domain, used in selections, comboboxes, … (key canditate)")</v>
      </c>
    </row>
    <row r="76" spans="1:16" x14ac:dyDescent="0.45">
      <c r="A76" t="s">
        <v>174</v>
      </c>
      <c r="B76">
        <v>3</v>
      </c>
      <c r="C76" t="s">
        <v>129</v>
      </c>
      <c r="D76" t="s">
        <v>129</v>
      </c>
      <c r="E76" t="s">
        <v>19</v>
      </c>
      <c r="F76">
        <v>10</v>
      </c>
      <c r="G76">
        <v>0</v>
      </c>
      <c r="H76" t="s">
        <v>57</v>
      </c>
      <c r="I76" t="s">
        <v>57</v>
      </c>
      <c r="J76" t="s">
        <v>57</v>
      </c>
      <c r="K76" s="4"/>
      <c r="L76" s="4"/>
      <c r="M76" s="4"/>
      <c r="O76" s="4" t="s">
        <v>792</v>
      </c>
      <c r="P76" s="2" t="str" cm="1">
        <f t="array" ref="P76">CONCATENATE("      .AddAttribute(",Fill(B76,3),", ",QTFunc(C76),", ",QTFunc(D76),", ",QTFunc(E76),", ",F76,", ",G76,", ",H76,", ",I76,", ",QTFunc(K76),", ",QTFunc(L76),", ",QTFunc(M76),", ",QTFunc(O76),   ")")</f>
        <v xml:space="preserve">      .AddAttribute(  3, "Abbreviation", "Abbreviation", "varchar", 10, 0, false, false, "", "", "", "non-representative abbreviation that can be used for a short advertisement for this family status")</v>
      </c>
    </row>
    <row r="77" spans="1:16" x14ac:dyDescent="0.45">
      <c r="A77" t="s">
        <v>174</v>
      </c>
      <c r="B77">
        <v>4</v>
      </c>
      <c r="C77" t="s">
        <v>130</v>
      </c>
      <c r="D77" t="s">
        <v>130</v>
      </c>
      <c r="E77" t="s">
        <v>77</v>
      </c>
      <c r="F77">
        <v>0</v>
      </c>
      <c r="G77">
        <v>0</v>
      </c>
      <c r="H77" t="s">
        <v>57</v>
      </c>
      <c r="I77" t="s">
        <v>57</v>
      </c>
      <c r="J77" t="s">
        <v>57</v>
      </c>
      <c r="K77" s="4"/>
      <c r="L77" s="4"/>
      <c r="M77" s="4"/>
      <c r="O77" s="4" t="s">
        <v>794</v>
      </c>
      <c r="P77" s="2" t="str" cm="1">
        <f t="array" ref="P77">CONCATENATE("      .AddAttribute(",Fill(B77,3),", ",QTFunc(C77),", ",QTFunc(D77),", ",QTFunc(E77),", ",F77,", ",G77,", ",H77,", ",I77,", ",QTFunc(K77),", ",QTFunc(L77),", ",QTFunc(M77),", ",QTFunc(O77),   ")")</f>
        <v xml:space="preserve">      .AddAttribute(  4, "Description", "Description", "text", 0, 0, false, false, "", "", "", "detailed description of these family status,this is a self documentation, possible use as hint or to information in the programm")</v>
      </c>
    </row>
    <row r="78" spans="1:16" x14ac:dyDescent="0.45">
      <c r="A78" t="s">
        <v>174</v>
      </c>
      <c r="B78">
        <v>5</v>
      </c>
      <c r="C78" t="s">
        <v>176</v>
      </c>
      <c r="D78" t="s">
        <v>176</v>
      </c>
      <c r="E78" t="s">
        <v>27</v>
      </c>
      <c r="F78">
        <v>0</v>
      </c>
      <c r="G78">
        <v>0</v>
      </c>
      <c r="H78" t="s">
        <v>57</v>
      </c>
      <c r="I78" t="s">
        <v>57</v>
      </c>
      <c r="J78" t="s">
        <v>57</v>
      </c>
      <c r="K78" s="4"/>
      <c r="L78" s="4"/>
      <c r="M78" s="4"/>
      <c r="O78" s="4" t="s">
        <v>796</v>
      </c>
      <c r="P78" s="2" t="str" cm="1">
        <f t="array" ref="P78">CONCATENATE("      .AddAttribute(",Fill(B78,3),", ",QTFunc(C78),", ",QTFunc(D78),", ",QTFunc(E78),", ",F78,", ",G78,", ",H78,", ",I78,", ",QTFunc(K78),", ",QTFunc(L78),", ",QTFunc(M78),", ",QTFunc(O78),   ")")</f>
        <v xml:space="preserve">      .AddAttribute(  5, "Coupled", "Coupled", "bool", 0, 0, false, false, "", "", "", "boolean value that show if persones with this status are coupled and possibly receive tax relief")</v>
      </c>
    </row>
    <row r="79" spans="1:16" x14ac:dyDescent="0.45">
      <c r="A79" t="s">
        <v>174</v>
      </c>
      <c r="B79">
        <v>6</v>
      </c>
      <c r="C79" t="s">
        <v>177</v>
      </c>
      <c r="D79" t="s">
        <v>177</v>
      </c>
      <c r="E79" t="s">
        <v>27</v>
      </c>
      <c r="F79">
        <v>0</v>
      </c>
      <c r="G79">
        <v>0</v>
      </c>
      <c r="H79" t="s">
        <v>57</v>
      </c>
      <c r="I79" t="s">
        <v>57</v>
      </c>
      <c r="J79" t="s">
        <v>57</v>
      </c>
      <c r="K79" s="4"/>
      <c r="L79" s="4"/>
      <c r="M79" s="4"/>
      <c r="O79" s="4" t="s">
        <v>797</v>
      </c>
      <c r="P79" s="2" t="str" cm="1">
        <f t="array" ref="P79">CONCATENATE("      .AddAttribute(",Fill(B79,3),", ",QTFunc(C79),", ",QTFunc(D79),", ",QTFunc(E79),", ",F79,", ",G79,", ",H79,", ",I79,", ",QTFunc(K79),", ",QTFunc(L79),", ",QTFunc(M79),", ",QTFunc(O79),   ")")</f>
        <v xml:space="preserve">      .AddAttribute(  6, "NeedDate", "NeedDate", "bool", 0, 0, false, false, "", "", "", "boolean value which determine that the date when the person status changed the last time needed. ")</v>
      </c>
    </row>
    <row r="80" spans="1:16" x14ac:dyDescent="0.45">
      <c r="A80" t="s">
        <v>174</v>
      </c>
      <c r="B80">
        <v>7</v>
      </c>
      <c r="C80" t="s">
        <v>131</v>
      </c>
      <c r="D80" t="s">
        <v>131</v>
      </c>
      <c r="E80" t="s">
        <v>77</v>
      </c>
      <c r="F80">
        <v>0</v>
      </c>
      <c r="G80">
        <v>0</v>
      </c>
      <c r="H80" t="s">
        <v>57</v>
      </c>
      <c r="I80" t="s">
        <v>57</v>
      </c>
      <c r="J80" t="s">
        <v>57</v>
      </c>
      <c r="K80" s="4"/>
      <c r="L80" s="4"/>
      <c r="M80" s="4"/>
      <c r="O80" s="4" t="s">
        <v>252</v>
      </c>
      <c r="P80" s="2" t="str" cm="1">
        <f t="array" ref="P80">CONCATENATE("      .AddAttribute(",Fill(B80,3),", ",QTFunc(C80),", ",QTFunc(D80),", ",QTFunc(E80),", ",F80,", ",G80,", ",H80,", ",I80,", ",QTFunc(K80),", ",QTFunc(L80),", ",QTFunc(M80),", ",QTFunc(O80),   ")")</f>
        <v xml:space="preserve">      .AddAttribute(  7, "Notes", "Notes", "text", 0, 0, false, false, "", "", "", "notes, with additional / free information for this type of family status, not used in application")</v>
      </c>
    </row>
    <row r="81" spans="1:16" x14ac:dyDescent="0.45">
      <c r="A81" t="s">
        <v>174</v>
      </c>
      <c r="B81">
        <v>8</v>
      </c>
      <c r="C81" t="s">
        <v>132</v>
      </c>
      <c r="D81" t="s">
        <v>132</v>
      </c>
      <c r="E81" t="s">
        <v>27</v>
      </c>
      <c r="F81">
        <v>0</v>
      </c>
      <c r="G81">
        <v>0</v>
      </c>
      <c r="H81" t="s">
        <v>57</v>
      </c>
      <c r="I81" t="s">
        <v>57</v>
      </c>
      <c r="J81" t="s">
        <v>57</v>
      </c>
      <c r="K81" s="4"/>
      <c r="L81" s="4"/>
      <c r="M81" s="4"/>
      <c r="O81" s="4" t="s">
        <v>241</v>
      </c>
      <c r="P81" s="2" t="str" cm="1">
        <f t="array" ref="P81">CONCATENATE("      .AddAttribute(",Fill(B81,3),", ",QTFunc(C81),", ",QTFunc(D81),", ",QTFunc(E81),", ",F81,", ",G81,", ",H81,", ",I81,", ",QTFunc(K81),", ",QTFunc(L81),", ",QTFunc(M81),", ",QTFunc(O81),   ")")</f>
        <v xml:space="preserve">      .AddAttribute(  8, "UrgentValue", "UrgentValue", "bool", 0, 0, false, false, "", "", "", "boolean value that makes this entity of phone type to a system value (cannot be changed as it is used directly by the program)")</v>
      </c>
    </row>
    <row r="82" spans="1:16" x14ac:dyDescent="0.45">
      <c r="K82" s="4"/>
      <c r="L82" s="4"/>
      <c r="M82" s="4"/>
      <c r="O82" s="4"/>
      <c r="P82" s="2"/>
    </row>
    <row r="83" spans="1:16" x14ac:dyDescent="0.45">
      <c r="K83" s="4"/>
      <c r="L83" s="4"/>
      <c r="M83" s="4"/>
      <c r="O83" s="4"/>
    </row>
    <row r="84" spans="1:16" x14ac:dyDescent="0.45">
      <c r="A84" t="s">
        <v>106</v>
      </c>
      <c r="B84">
        <v>0</v>
      </c>
      <c r="C84" t="s">
        <v>120</v>
      </c>
      <c r="D84" t="s">
        <v>453</v>
      </c>
      <c r="E84" t="s">
        <v>93</v>
      </c>
      <c r="H84" t="s">
        <v>526</v>
      </c>
      <c r="I84" t="s">
        <v>168</v>
      </c>
      <c r="K84" s="4"/>
      <c r="L84" s="4"/>
      <c r="M84" s="4"/>
      <c r="O84" s="4" t="s">
        <v>301</v>
      </c>
      <c r="P84" s="2" t="str">
        <f>CONCATENATE("   ",$P$1,".AddTable(","""",A84,""", ",CONCATENATE("EMyEntityType::",E84),", """,IF(ISERROR(FIND(".",C84)),"",RIGHT(C84, LEN(C84) - FIND(".",C84))),""", """,IF(ISERROR(FIND(".",C84)),"",LEFT(C84, FIND(".",C84)-1)),""", """,IF(ISERROR(FIND("::",D84)),"",RIGHT(D84, LEN(D84) - FIND("::",D84)-1)),""", """,IF(ISERROR(FIND("::",D84)),"",LEFT(D84, FIND("::",D84)-1)),""", """,H84,""", """,I84,""", """,O84,""")")</f>
        <v xml:space="preserve">   dictionary.AddTable("FamilyTypes", EMyEntityType::range, "FamilyTypes", "dbo", "FamilyTypes", "myCorporate", "System/Corporate", "SQL", "domain / range of values for family types, this is used in form of address to qualifify the person gender")</v>
      </c>
    </row>
    <row r="85" spans="1:16" x14ac:dyDescent="0.45">
      <c r="A85" t="s">
        <v>106</v>
      </c>
      <c r="B85">
        <v>1</v>
      </c>
      <c r="C85" t="s">
        <v>133</v>
      </c>
      <c r="D85" t="s">
        <v>133</v>
      </c>
      <c r="E85" t="s">
        <v>20</v>
      </c>
      <c r="F85">
        <v>0</v>
      </c>
      <c r="G85">
        <v>0</v>
      </c>
      <c r="H85" t="s">
        <v>58</v>
      </c>
      <c r="I85" t="s">
        <v>58</v>
      </c>
      <c r="J85" t="s">
        <v>57</v>
      </c>
      <c r="K85" s="4"/>
      <c r="L85" s="4"/>
      <c r="M85" s="4"/>
      <c r="O85" s="4" t="s">
        <v>249</v>
      </c>
      <c r="P85" s="2" t="str" cm="1">
        <f t="array" ref="P85">CONCATENATE("      .AddAttribute(",Fill(B85,3),", ",QTFunc(C85),", ",QTFunc(D85),", ",QTFunc(E85),", ",F85,", ",G85,", ",H85,", ",I85,", ",QTFunc(K85),", ",QTFunc(L85),", ",QTFunc(M85),", ",QTFunc(O85),   ")")</f>
        <v xml:space="preserve">      .AddAttribute(  1, "ID", "ID", "integer", 0, 0, true, true, "", "", "", "unique identification number for a record in this domain with family types")</v>
      </c>
    </row>
    <row r="86" spans="1:16" x14ac:dyDescent="0.45">
      <c r="A86" t="s">
        <v>106</v>
      </c>
      <c r="B86">
        <v>2</v>
      </c>
      <c r="C86" t="s">
        <v>128</v>
      </c>
      <c r="D86" t="s">
        <v>128</v>
      </c>
      <c r="E86" t="s">
        <v>19</v>
      </c>
      <c r="F86">
        <v>50</v>
      </c>
      <c r="G86">
        <v>0</v>
      </c>
      <c r="H86" t="s">
        <v>58</v>
      </c>
      <c r="I86" t="s">
        <v>57</v>
      </c>
      <c r="J86" t="s">
        <v>58</v>
      </c>
      <c r="K86" s="4"/>
      <c r="L86" s="4"/>
      <c r="M86" s="4"/>
      <c r="O86" s="4" t="s">
        <v>250</v>
      </c>
      <c r="P86" s="2" t="str" cm="1">
        <f t="array" ref="P86">CONCATENATE("      .AddAttribute(",Fill(B86,3),", ",QTFunc(C86),", ",QTFunc(D86),", ",QTFunc(E86),", ",F86,", ",G86,", ",H86,", ",I86,", ",QTFunc(K86),", ",QTFunc(L86),", ",QTFunc(M86),", ",QTFunc(O86),   ")")</f>
        <v xml:space="preserve">      .AddAttribute(  2, "Denotation", "Denotation", "varchar", 50, 0, true, false, "", "", "", "unique description of a family type entity in the domain, used in selections, comboboxes, … (key canditate)")</v>
      </c>
    </row>
    <row r="87" spans="1:16" x14ac:dyDescent="0.45">
      <c r="A87" t="s">
        <v>106</v>
      </c>
      <c r="B87">
        <v>3</v>
      </c>
      <c r="C87" t="s">
        <v>129</v>
      </c>
      <c r="D87" t="s">
        <v>129</v>
      </c>
      <c r="E87" t="s">
        <v>19</v>
      </c>
      <c r="F87">
        <v>10</v>
      </c>
      <c r="G87">
        <v>0</v>
      </c>
      <c r="H87" t="s">
        <v>57</v>
      </c>
      <c r="I87" t="s">
        <v>57</v>
      </c>
      <c r="J87" t="s">
        <v>57</v>
      </c>
      <c r="K87" s="4"/>
      <c r="L87" s="4"/>
      <c r="M87" s="4"/>
      <c r="O87" s="4" t="s">
        <v>793</v>
      </c>
      <c r="P87" s="2" t="str" cm="1">
        <f t="array" ref="P87">CONCATENATE("      .AddAttribute(",Fill(B87,3),", ",QTFunc(C87),", ",QTFunc(D87),", ",QTFunc(E87),", ",F87,", ",G87,", ",H87,", ",I87,", ",QTFunc(K87),", ",QTFunc(L87),", ",QTFunc(M87),", ",QTFunc(O87),   ")")</f>
        <v xml:space="preserve">      .AddAttribute(  3, "Abbreviation", "Abbreviation", "varchar", 10, 0, false, false, "", "", "", "non-representative abbreviation that can be used for a short advertisement for this family type")</v>
      </c>
    </row>
    <row r="88" spans="1:16" x14ac:dyDescent="0.45">
      <c r="A88" t="s">
        <v>106</v>
      </c>
      <c r="B88">
        <v>4</v>
      </c>
      <c r="C88" t="s">
        <v>363</v>
      </c>
      <c r="D88" t="s">
        <v>363</v>
      </c>
      <c r="E88" t="s">
        <v>27</v>
      </c>
      <c r="F88">
        <v>0</v>
      </c>
      <c r="G88">
        <v>0</v>
      </c>
      <c r="H88" t="s">
        <v>57</v>
      </c>
      <c r="I88" t="s">
        <v>57</v>
      </c>
      <c r="J88" t="s">
        <v>57</v>
      </c>
      <c r="K88" s="4"/>
      <c r="L88" s="4"/>
      <c r="M88" s="4"/>
      <c r="O88" s="4" t="s">
        <v>364</v>
      </c>
      <c r="P88" s="2" t="str" cm="1">
        <f t="array" ref="P88">CONCATENATE("      .AddAttribute(",Fill(B88,3),", ",QTFunc(C88),", ",QTFunc(D88),", ",QTFunc(E88),", ",F88,", ",G88,", ",H88,", ",I88,", ",QTFunc(K88),", ",QTFunc(L88),", ",QTFunc(M88),", ",QTFunc(O88),   ")")</f>
        <v xml:space="preserve">      .AddAttribute(  4, "IsNaturalPerson", "IsNaturalPerson", "bool", 0, 0, false, false, "", "", "", "boolean indicator whether this entity is a natural person when true, otherwise ist a legal entity")</v>
      </c>
    </row>
    <row r="89" spans="1:16" x14ac:dyDescent="0.45">
      <c r="A89" t="s">
        <v>106</v>
      </c>
      <c r="B89">
        <v>5</v>
      </c>
      <c r="C89" t="s">
        <v>130</v>
      </c>
      <c r="D89" t="s">
        <v>130</v>
      </c>
      <c r="E89" t="s">
        <v>77</v>
      </c>
      <c r="F89">
        <v>0</v>
      </c>
      <c r="G89">
        <v>0</v>
      </c>
      <c r="H89" t="s">
        <v>57</v>
      </c>
      <c r="I89" t="s">
        <v>57</v>
      </c>
      <c r="J89" t="s">
        <v>57</v>
      </c>
      <c r="K89" s="4"/>
      <c r="L89" s="4"/>
      <c r="M89" s="4"/>
      <c r="O89" s="4" t="s">
        <v>251</v>
      </c>
      <c r="P89" s="2" t="str" cm="1">
        <f t="array" ref="P89">CONCATENATE("      .AddAttribute(",Fill(B89,3),", ",QTFunc(C89),", ",QTFunc(D89),", ",QTFunc(E89),", ",F89,", ",G89,", ",H89,", ",I89,", ",QTFunc(K89),", ",QTFunc(L89),", ",QTFunc(M89),", ",QTFunc(O89),   ")")</f>
        <v xml:space="preserve">      .AddAttribute(  5, "Description", "Description", "text", 0, 0, false, false, "", "", "", "detailed description of these family type,this is a self documentation, possible use as hint or to information in the programm")</v>
      </c>
    </row>
    <row r="90" spans="1:16" x14ac:dyDescent="0.45">
      <c r="A90" t="s">
        <v>106</v>
      </c>
      <c r="B90">
        <v>6</v>
      </c>
      <c r="C90" t="s">
        <v>131</v>
      </c>
      <c r="D90" t="s">
        <v>131</v>
      </c>
      <c r="E90" t="s">
        <v>77</v>
      </c>
      <c r="F90">
        <v>0</v>
      </c>
      <c r="G90">
        <v>0</v>
      </c>
      <c r="H90" t="s">
        <v>57</v>
      </c>
      <c r="I90" t="s">
        <v>57</v>
      </c>
      <c r="J90" t="s">
        <v>57</v>
      </c>
      <c r="K90" s="4"/>
      <c r="L90" s="4"/>
      <c r="M90" s="4"/>
      <c r="O90" s="4" t="s">
        <v>795</v>
      </c>
      <c r="P90" s="2" t="str" cm="1">
        <f t="array" ref="P90">CONCATENATE("      .AddAttribute(",Fill(B90,3),", ",QTFunc(C90),", ",QTFunc(D90),", ",QTFunc(E90),", ",F90,", ",G90,", ",H90,", ",I90,", ",QTFunc(K90),", ",QTFunc(L90),", ",QTFunc(M90),", ",QTFunc(O90),   ")")</f>
        <v xml:space="preserve">      .AddAttribute(  6, "Notes", "Notes", "text", 0, 0, false, false, "", "", "", "notes, with additional / free information for this type of family type, not used in application")</v>
      </c>
    </row>
    <row r="91" spans="1:16" x14ac:dyDescent="0.45">
      <c r="A91" t="s">
        <v>106</v>
      </c>
      <c r="B91">
        <v>7</v>
      </c>
      <c r="C91" t="s">
        <v>132</v>
      </c>
      <c r="D91" t="s">
        <v>132</v>
      </c>
      <c r="E91" t="s">
        <v>27</v>
      </c>
      <c r="F91">
        <v>0</v>
      </c>
      <c r="G91">
        <v>0</v>
      </c>
      <c r="H91" t="s">
        <v>57</v>
      </c>
      <c r="I91" t="s">
        <v>57</v>
      </c>
      <c r="J91" t="s">
        <v>57</v>
      </c>
      <c r="K91" s="4"/>
      <c r="L91" s="4"/>
      <c r="M91" s="4"/>
      <c r="O91" s="4" t="s">
        <v>253</v>
      </c>
      <c r="P91" s="2" t="str" cm="1">
        <f t="array" ref="P91">CONCATENATE("      .AddAttribute(",Fill(B91,3),", ",QTFunc(C91),", ",QTFunc(D91),", ",QTFunc(E91),", ",F91,", ",G91,", ",H91,", ",I91,", ",QTFunc(K91),", ",QTFunc(L91),", ",QTFunc(M91),", ",QTFunc(O91),   ")")</f>
        <v xml:space="preserve">      .AddAttribute(  7, "UrgentValue", "UrgentValue", "bool", 0, 0, false, false, "", "", "", "boolean value that makes this entity of family type to a system value (cannot be changed as it is used directly by the program)")</v>
      </c>
    </row>
    <row r="92" spans="1:16" x14ac:dyDescent="0.45">
      <c r="K92" s="4"/>
      <c r="L92" s="4"/>
      <c r="M92" s="4"/>
      <c r="O92" s="4"/>
    </row>
    <row r="93" spans="1:16" x14ac:dyDescent="0.45">
      <c r="A93" t="s">
        <v>107</v>
      </c>
      <c r="B93">
        <v>0</v>
      </c>
      <c r="C93" t="s">
        <v>121</v>
      </c>
      <c r="D93" t="s">
        <v>452</v>
      </c>
      <c r="E93" t="s">
        <v>93</v>
      </c>
      <c r="H93" t="s">
        <v>526</v>
      </c>
      <c r="I93" t="s">
        <v>168</v>
      </c>
      <c r="K93" s="4"/>
      <c r="L93" s="4"/>
      <c r="M93" s="4"/>
      <c r="O93" s="4" t="s">
        <v>862</v>
      </c>
      <c r="P93" s="2" t="str">
        <f>CONCATENATE("   ",$P$1,".AddTable(","""",A93,""", ",CONCATENATE("EMyEntityType::",E93),", """,IF(ISERROR(FIND(".",C93)),"",RIGHT(C93, LEN(C93) - FIND(".",C93))),""", """,IF(ISERROR(FIND(".",C93)),"",LEFT(C93, FIND(".",C93)-1)),""", """,IF(ISERROR(FIND("::",D93)),"",RIGHT(D93, LEN(D93) - FIND("::",D93)-1)),""", """,IF(ISERROR(FIND("::",D93)),"",LEFT(D93, FIND("::",D93)-1)),""", """,H93,""", """,I93,""", """,O93,""")")</f>
        <v xml:space="preserve">   dictionary.AddTable("FormOfAddress", EMyEntityType::range, "FormOfAddress", "dbo", "FormOfAddress", "myCorporate", "System/Corporate", "SQL", "domain with the possible values for form of addresses with additional informations for this")</v>
      </c>
    </row>
    <row r="94" spans="1:16" x14ac:dyDescent="0.45">
      <c r="A94" t="s">
        <v>107</v>
      </c>
      <c r="B94">
        <v>1</v>
      </c>
      <c r="C94" t="s">
        <v>133</v>
      </c>
      <c r="D94" t="s">
        <v>133</v>
      </c>
      <c r="E94" t="s">
        <v>20</v>
      </c>
      <c r="F94">
        <v>0</v>
      </c>
      <c r="G94">
        <v>0</v>
      </c>
      <c r="H94" t="s">
        <v>58</v>
      </c>
      <c r="I94" t="s">
        <v>58</v>
      </c>
      <c r="J94" t="s">
        <v>57</v>
      </c>
      <c r="K94" s="4"/>
      <c r="L94" s="4"/>
      <c r="M94" s="4"/>
      <c r="O94" s="4" t="s">
        <v>863</v>
      </c>
      <c r="P94" s="2" t="str" cm="1">
        <f t="array" ref="P94">CONCATENATE("      .AddAttribute(",Fill(B94,3),", ",QTFunc(C94),", ",QTFunc(D94),", ",QTFunc(E94),", ",F94,", ",G94,", ",H94,", ",I94,", ",QTFunc(K94),", ",QTFunc(L94),", ",QTFunc(M94),", ",QTFunc(O94),   ")")</f>
        <v xml:space="preserve">      .AddAttribute(  1, "ID", "ID", "integer", 0, 0, true, true, "", "", "", "unique identification number of the form of address to use it in relationships")</v>
      </c>
    </row>
    <row r="95" spans="1:16" x14ac:dyDescent="0.45">
      <c r="A95" t="s">
        <v>107</v>
      </c>
      <c r="B95">
        <v>2</v>
      </c>
      <c r="C95" t="s">
        <v>128</v>
      </c>
      <c r="D95" t="s">
        <v>128</v>
      </c>
      <c r="E95" t="s">
        <v>19</v>
      </c>
      <c r="F95">
        <v>50</v>
      </c>
      <c r="G95">
        <v>0</v>
      </c>
      <c r="H95" t="s">
        <v>58</v>
      </c>
      <c r="I95" t="s">
        <v>57</v>
      </c>
      <c r="J95" t="s">
        <v>58</v>
      </c>
      <c r="K95" s="4"/>
      <c r="L95" s="4"/>
      <c r="M95" s="4"/>
      <c r="O95" s="4" t="s">
        <v>877</v>
      </c>
      <c r="P95" s="2" t="str" cm="1">
        <f t="array" ref="P95">CONCATENATE("      .AddAttribute(",Fill(B95,3),", ",QTFunc(C95),", ",QTFunc(D95),", ",QTFunc(E95),", ",F95,", ",G95,", ",H95,", ",I95,", ",QTFunc(K95),", ",QTFunc(L95),", ",QTFunc(M95),", ",QTFunc(O95),   ")")</f>
        <v xml:space="preserve">      .AddAttribute(  2, "Denotation", "Denotation", "varchar", 50, 0, true, false, "", "", "", "unique description of  this form of address entity in the domain, used in selections, comboboxes, … (key canditate)")</v>
      </c>
    </row>
    <row r="96" spans="1:16" x14ac:dyDescent="0.45">
      <c r="A96" t="s">
        <v>107</v>
      </c>
      <c r="B96">
        <v>3</v>
      </c>
      <c r="C96" t="s">
        <v>129</v>
      </c>
      <c r="D96" t="s">
        <v>129</v>
      </c>
      <c r="E96" t="s">
        <v>19</v>
      </c>
      <c r="F96">
        <v>10</v>
      </c>
      <c r="G96">
        <v>0</v>
      </c>
      <c r="H96" t="s">
        <v>57</v>
      </c>
      <c r="I96" t="s">
        <v>57</v>
      </c>
      <c r="J96" t="s">
        <v>57</v>
      </c>
      <c r="K96" s="4"/>
      <c r="L96" s="4"/>
      <c r="M96" s="4"/>
      <c r="O96" s="4" t="s">
        <v>878</v>
      </c>
      <c r="P96" s="2" t="str" cm="1">
        <f t="array" ref="P96">CONCATENATE("      .AddAttribute(",Fill(B96,3),", ",QTFunc(C96),", ",QTFunc(D96),", ",QTFunc(E96),", ",F96,", ",G96,", ",H96,", ",I96,", ",QTFunc(K96),", ",QTFunc(L96),", ",QTFunc(M96),", ",QTFunc(O96),   ")")</f>
        <v xml:space="preserve">      .AddAttribute(  3, "Abbreviation", "Abbreviation", "varchar", 10, 0, false, false, "", "", "", "non-representative abbreviation that can be used for a short advertisement for this form of address")</v>
      </c>
    </row>
    <row r="97" spans="1:16" x14ac:dyDescent="0.45">
      <c r="A97" t="s">
        <v>107</v>
      </c>
      <c r="B97">
        <v>4</v>
      </c>
      <c r="C97" t="s">
        <v>130</v>
      </c>
      <c r="D97" t="s">
        <v>130</v>
      </c>
      <c r="E97" t="s">
        <v>77</v>
      </c>
      <c r="F97">
        <v>0</v>
      </c>
      <c r="G97">
        <v>0</v>
      </c>
      <c r="H97" t="s">
        <v>57</v>
      </c>
      <c r="I97" t="s">
        <v>57</v>
      </c>
      <c r="J97" t="s">
        <v>57</v>
      </c>
      <c r="K97" s="4"/>
      <c r="L97" s="4"/>
      <c r="M97" s="4"/>
      <c r="O97" s="4" t="s">
        <v>879</v>
      </c>
      <c r="P97" s="2" t="str" cm="1">
        <f t="array" ref="P97">CONCATENATE("      .AddAttribute(",Fill(B97,3),", ",QTFunc(C97),", ",QTFunc(D97),", ",QTFunc(E97),", ",F97,", ",G97,", ",H97,", ",I97,", ",QTFunc(K97),", ",QTFunc(L97),", ",QTFunc(M97),", ",QTFunc(O97),   ")")</f>
        <v xml:space="preserve">      .AddAttribute(  4, "Description", "Description", "text", 0, 0, false, false, "", "", "", "detailed description of these form of address,this is a self documentation, possible use as hint or to information in the programm")</v>
      </c>
    </row>
    <row r="98" spans="1:16" x14ac:dyDescent="0.45">
      <c r="A98" t="s">
        <v>107</v>
      </c>
      <c r="B98">
        <v>5</v>
      </c>
      <c r="C98" t="s">
        <v>158</v>
      </c>
      <c r="D98" t="s">
        <v>158</v>
      </c>
      <c r="E98" t="s">
        <v>20</v>
      </c>
      <c r="F98">
        <v>0</v>
      </c>
      <c r="G98">
        <v>0</v>
      </c>
      <c r="H98" t="s">
        <v>57</v>
      </c>
      <c r="I98" t="s">
        <v>57</v>
      </c>
      <c r="J98" t="s">
        <v>57</v>
      </c>
      <c r="K98" s="4"/>
      <c r="L98" s="4"/>
      <c r="M98" s="4"/>
      <c r="O98" s="4" t="s">
        <v>880</v>
      </c>
      <c r="P98" s="2" t="str" cm="1">
        <f t="array" ref="P98">CONCATENATE("      .AddAttribute(",Fill(B98,3),", ",QTFunc(C98),", ",QTFunc(D98),", ",QTFunc(E98),", ",F98,", ",G98,", ",H98,", ",I98,", ",QTFunc(K98),", ",QTFunc(L98),", ",QTFunc(M98),", ",QTFunc(O98),   ")")</f>
        <v xml:space="preserve">      .AddAttribute(  5, "TypeSpec", "TypeSpec", "integer", 0, 0, false, false, "", "", "", "value from FamilyTypes who determine the art of persontype (gender, legal form, …)")</v>
      </c>
    </row>
    <row r="99" spans="1:16" x14ac:dyDescent="0.45">
      <c r="A99" t="s">
        <v>107</v>
      </c>
      <c r="B99">
        <v>6</v>
      </c>
      <c r="C99" t="s">
        <v>159</v>
      </c>
      <c r="D99" t="s">
        <v>159</v>
      </c>
      <c r="E99" t="s">
        <v>19</v>
      </c>
      <c r="F99">
        <v>50</v>
      </c>
      <c r="G99">
        <v>0</v>
      </c>
      <c r="H99" t="s">
        <v>57</v>
      </c>
      <c r="I99" t="s">
        <v>57</v>
      </c>
      <c r="J99" t="s">
        <v>57</v>
      </c>
      <c r="K99" s="4"/>
      <c r="L99" s="4"/>
      <c r="M99" s="4"/>
      <c r="O99" s="4" t="s">
        <v>881</v>
      </c>
      <c r="P99" s="2" t="str" cm="1">
        <f t="array" ref="P99">CONCATENATE("      .AddAttribute(",Fill(B99,3),", ",QTFunc(C99),", ",QTFunc(D99),", ",QTFunc(E99),", ",F99,", ",G99,", ",H99,", ",I99,", ",QTFunc(K99),", ",QTFunc(L99),", ",QTFunc(M99),", ",QTFunc(O99),   ")")</f>
        <v xml:space="preserve">      .AddAttribute(  6, "Salutation", "Salutation", "varchar", 50, 0, false, false, "", "", "", "salutation formula to be used in letters and emails for this salutation type and therefore person type")</v>
      </c>
    </row>
    <row r="100" spans="1:16" x14ac:dyDescent="0.45">
      <c r="A100" t="s">
        <v>107</v>
      </c>
      <c r="B100">
        <v>7</v>
      </c>
      <c r="C100" t="s">
        <v>160</v>
      </c>
      <c r="D100" t="s">
        <v>160</v>
      </c>
      <c r="E100" t="s">
        <v>19</v>
      </c>
      <c r="F100">
        <v>50</v>
      </c>
      <c r="G100">
        <v>0</v>
      </c>
      <c r="H100" t="s">
        <v>57</v>
      </c>
      <c r="I100" t="s">
        <v>57</v>
      </c>
      <c r="J100" t="s">
        <v>57</v>
      </c>
      <c r="K100" s="4"/>
      <c r="L100" s="4"/>
      <c r="M100" s="4"/>
      <c r="O100" s="4" t="s">
        <v>882</v>
      </c>
      <c r="P100" s="2" t="str" cm="1">
        <f t="array" ref="P100">CONCATENATE("      .AddAttribute(",Fill(B100,3),", ",QTFunc(C100),", ",QTFunc(D100),", ",QTFunc(E100),", ",F100,", ",G100,", ",H100,", ",I100,", ",QTFunc(K100),", ",QTFunc(L100),", ",QTFunc(M100),", ",QTFunc(O100),   ")")</f>
        <v xml:space="preserve">      .AddAttribute(  7, "Valediction", "Valediction", "varchar", 50, 0, false, false, "", "", "", "farewell formula to be used in letters and emails for this salutation type and therefore person type")</v>
      </c>
    </row>
    <row r="101" spans="1:16" x14ac:dyDescent="0.45">
      <c r="A101" t="s">
        <v>107</v>
      </c>
      <c r="B101">
        <v>8</v>
      </c>
      <c r="C101" t="s">
        <v>131</v>
      </c>
      <c r="D101" t="s">
        <v>131</v>
      </c>
      <c r="E101" t="s">
        <v>77</v>
      </c>
      <c r="F101">
        <v>0</v>
      </c>
      <c r="G101">
        <v>0</v>
      </c>
      <c r="H101" t="s">
        <v>57</v>
      </c>
      <c r="I101" t="s">
        <v>57</v>
      </c>
      <c r="J101" t="s">
        <v>57</v>
      </c>
      <c r="K101" s="4"/>
      <c r="L101" s="4"/>
      <c r="M101" s="4"/>
      <c r="O101" s="4" t="s">
        <v>864</v>
      </c>
      <c r="P101" s="2" t="str" cm="1">
        <f t="array" ref="P101">CONCATENATE("      .AddAttribute(",Fill(B101,3),", ",QTFunc(C101),", ",QTFunc(D101),", ",QTFunc(E101),", ",F101,", ",G101,", ",H101,", ",I101,", ",QTFunc(K101),", ",QTFunc(L101),", ",QTFunc(M101),", ",QTFunc(O101),   ")")</f>
        <v xml:space="preserve">      .AddAttribute(  8, "Notes", "Notes", "text", 0, 0, false, false, "", "", "", "notes, with additional / free information for this type of form of address, not used in application")</v>
      </c>
    </row>
    <row r="102" spans="1:16" x14ac:dyDescent="0.45">
      <c r="A102" t="s">
        <v>107</v>
      </c>
      <c r="B102">
        <v>9</v>
      </c>
      <c r="C102" t="s">
        <v>132</v>
      </c>
      <c r="D102" t="s">
        <v>132</v>
      </c>
      <c r="E102" t="s">
        <v>27</v>
      </c>
      <c r="F102">
        <v>0</v>
      </c>
      <c r="G102">
        <v>0</v>
      </c>
      <c r="H102" t="s">
        <v>57</v>
      </c>
      <c r="I102" t="s">
        <v>57</v>
      </c>
      <c r="J102" t="s">
        <v>57</v>
      </c>
      <c r="K102" s="4"/>
      <c r="L102" s="4"/>
      <c r="M102" s="4"/>
      <c r="O102" s="4" t="s">
        <v>254</v>
      </c>
      <c r="P102" s="2" t="str" cm="1">
        <f t="array" ref="P102">CONCATENATE("      .AddAttribute(",Fill(B102,3),", ",QTFunc(C102),", ",QTFunc(D102),", ",QTFunc(E102),", ",F102,", ",G102,", ",H102,", ",I102,", ",QTFunc(K102),", ",QTFunc(L102),", ",QTFunc(M102),", ",QTFunc(O102),   ")")</f>
        <v xml:space="preserve">      .AddAttribute(  9, "UrgentValue", "UrgentValue", "bool", 0, 0, false, false, "", "", "", "boolean value that makes this entity of form of address type to a system value (cannot be changed as it is used directly by the program)")</v>
      </c>
    </row>
    <row r="103" spans="1:16" x14ac:dyDescent="0.45">
      <c r="K103" s="4"/>
      <c r="L103" s="4"/>
      <c r="M103" s="4"/>
      <c r="O103" s="4"/>
    </row>
    <row r="104" spans="1:16" x14ac:dyDescent="0.45">
      <c r="A104" t="s">
        <v>108</v>
      </c>
      <c r="B104">
        <v>0</v>
      </c>
      <c r="C104" t="s">
        <v>122</v>
      </c>
      <c r="D104" t="s">
        <v>451</v>
      </c>
      <c r="E104" t="s">
        <v>166</v>
      </c>
      <c r="H104" t="s">
        <v>526</v>
      </c>
      <c r="I104" t="s">
        <v>168</v>
      </c>
      <c r="K104" s="4"/>
      <c r="L104" s="4"/>
      <c r="M104" s="4"/>
      <c r="O104" s="4" t="s">
        <v>757</v>
      </c>
      <c r="P104" s="2" t="str">
        <f>CONCATENATE("   ",$P$1,".AddTable(","""",A104,""", ",CONCATENATE("EMyEntityType::",E104),", """,IF(ISERROR(FIND(".",C104)),"",RIGHT(C104, LEN(C104) - FIND(".",C104))),""", """,IF(ISERROR(FIND(".",C104)),"",LEFT(C104, FIND(".",C104)-1)),""", """,IF(ISERROR(FIND("::",D104)),"",RIGHT(D104, LEN(D104) - FIND("::",D104)-1)),""", """,IF(ISERROR(FIND("::",D104)),"",LEFT(D104, FIND("::",D104)-1)),""", """,H104,""", """,I104,""", """,O104,""")")</f>
        <v xml:space="preserve">   dictionary.AddTable("Internet", EMyEntityType::table, "Internet", "dbo", "Internet", "myCorporate", "System/Corporate", "SQL", "connections for different kinds of communications about the internet as part of persons (part of relationship)")</v>
      </c>
    </row>
    <row r="105" spans="1:16" x14ac:dyDescent="0.45">
      <c r="A105" t="s">
        <v>108</v>
      </c>
      <c r="B105">
        <v>1</v>
      </c>
      <c r="C105" t="s">
        <v>133</v>
      </c>
      <c r="D105" t="s">
        <v>133</v>
      </c>
      <c r="E105" t="s">
        <v>20</v>
      </c>
      <c r="F105">
        <v>0</v>
      </c>
      <c r="G105">
        <v>0</v>
      </c>
      <c r="H105" t="s">
        <v>58</v>
      </c>
      <c r="I105" t="s">
        <v>58</v>
      </c>
      <c r="J105" t="s">
        <v>57</v>
      </c>
      <c r="K105" s="4"/>
      <c r="L105" s="4"/>
      <c r="M105" s="4"/>
      <c r="O105" s="4" t="s">
        <v>758</v>
      </c>
      <c r="P105" s="2" t="str" cm="1">
        <f t="array" ref="P105">CONCATENATE("      .AddAttribute(",Fill(B105,3),", ",QTFunc(C105),", ",QTFunc(D105),", ",QTFunc(E105),", ",F105,", ",G105,", ",H105,", ",I105,", ",QTFunc(K105),", ",QTFunc(L105),", ",QTFunc(M105),", ",QTFunc(O105),   ")")</f>
        <v xml:space="preserve">      .AddAttribute(  1, "ID", "ID", "integer", 0, 0, true, true, "", "", "", "unique identification number of the person to whom the internet connection data belongs (foreign key from person)")</v>
      </c>
    </row>
    <row r="106" spans="1:16" x14ac:dyDescent="0.45">
      <c r="A106" t="s">
        <v>108</v>
      </c>
      <c r="B106">
        <v>2</v>
      </c>
      <c r="C106" t="s">
        <v>162</v>
      </c>
      <c r="D106" t="s">
        <v>162</v>
      </c>
      <c r="E106" t="s">
        <v>20</v>
      </c>
      <c r="F106">
        <v>0</v>
      </c>
      <c r="G106">
        <v>0</v>
      </c>
      <c r="H106" t="s">
        <v>58</v>
      </c>
      <c r="I106" t="s">
        <v>58</v>
      </c>
      <c r="J106" t="s">
        <v>58</v>
      </c>
      <c r="K106" s="4"/>
      <c r="L106" s="4"/>
      <c r="M106" s="4"/>
      <c r="O106" s="4" t="s">
        <v>759</v>
      </c>
      <c r="P106" s="2" t="str" cm="1">
        <f t="array" ref="P106">CONCATENATE("      .AddAttribute(",Fill(B106,3),", ",QTFunc(C106),", ",QTFunc(D106),", ",QTFunc(E106),", ",F106,", ",G106,", ",H106,", ",I106,", ",QTFunc(K106),", ",QTFunc(L106),", ",QTFunc(M106),", ",QTFunc(O106),   ")")</f>
        <v xml:space="preserve">      .AddAttribute(  2, "InternetType", "InternetType", "integer", 0, 0, true, true, "", "", "", "type of internet connection data (value range from InternetType as foreign key, extension to 1:n relationship))")</v>
      </c>
    </row>
    <row r="107" spans="1:16" x14ac:dyDescent="0.45">
      <c r="A107" t="s">
        <v>108</v>
      </c>
      <c r="B107">
        <v>3</v>
      </c>
      <c r="C107" t="s">
        <v>163</v>
      </c>
      <c r="D107" t="s">
        <v>163</v>
      </c>
      <c r="E107" t="s">
        <v>19</v>
      </c>
      <c r="F107">
        <v>100</v>
      </c>
      <c r="G107">
        <v>0</v>
      </c>
      <c r="H107" t="s">
        <v>58</v>
      </c>
      <c r="I107" t="s">
        <v>57</v>
      </c>
      <c r="J107" t="s">
        <v>57</v>
      </c>
      <c r="K107" s="4"/>
      <c r="L107" s="4"/>
      <c r="M107" s="4"/>
      <c r="O107" s="4" t="s">
        <v>760</v>
      </c>
      <c r="P107" s="2" t="str" cm="1">
        <f t="array" ref="P107">CONCATENATE("      .AddAttribute(",Fill(B107,3),", ",QTFunc(C107),", ",QTFunc(D107),", ",QTFunc(E107),", ",F107,", ",G107,", ",H107,", ",I107,", ",QTFunc(K107),", ",QTFunc(L107),", ",QTFunc(M107),", ",QTFunc(O107),   ")")</f>
        <v xml:space="preserve">      .AddAttribute(  3, "Adresse", "Adresse", "varchar", 100, 0, true, false, "", "", "", "internet address for this connection, possible to split the protocol to the value table InternetTypes")</v>
      </c>
    </row>
    <row r="108" spans="1:16" x14ac:dyDescent="0.45">
      <c r="K108" s="4"/>
      <c r="L108" s="4"/>
      <c r="M108" s="4"/>
      <c r="O108" s="4"/>
    </row>
    <row r="109" spans="1:16" x14ac:dyDescent="0.45">
      <c r="A109" t="s">
        <v>109</v>
      </c>
      <c r="B109">
        <v>0</v>
      </c>
      <c r="C109" t="s">
        <v>123</v>
      </c>
      <c r="D109" t="s">
        <v>450</v>
      </c>
      <c r="E109" t="s">
        <v>93</v>
      </c>
      <c r="H109" t="s">
        <v>526</v>
      </c>
      <c r="I109" t="s">
        <v>168</v>
      </c>
      <c r="K109" s="4"/>
      <c r="L109" s="4"/>
      <c r="M109" s="4"/>
      <c r="O109" s="4" t="s">
        <v>248</v>
      </c>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dictionary.AddTable("InternetTypes", EMyEntityType::range, "InternetTypes", "dbo", "InternetTypes", "myCorporate", "System/Corporate", "SQL", "domain / range of values for internet connection types, this is an extension of the relationship between persons and internet connections.")</v>
      </c>
    </row>
    <row r="110" spans="1:16" x14ac:dyDescent="0.45">
      <c r="A110" t="s">
        <v>109</v>
      </c>
      <c r="B110">
        <v>1</v>
      </c>
      <c r="C110" t="s">
        <v>133</v>
      </c>
      <c r="D110" t="s">
        <v>133</v>
      </c>
      <c r="E110" t="s">
        <v>20</v>
      </c>
      <c r="F110">
        <v>0</v>
      </c>
      <c r="G110">
        <v>0</v>
      </c>
      <c r="H110" t="s">
        <v>58</v>
      </c>
      <c r="I110" t="s">
        <v>58</v>
      </c>
      <c r="J110" t="s">
        <v>57</v>
      </c>
      <c r="K110" s="4"/>
      <c r="L110" s="4"/>
      <c r="M110" s="4"/>
      <c r="O110" s="4" t="s">
        <v>247</v>
      </c>
      <c r="P110" s="2" t="str" cm="1">
        <f t="array" ref="P110">CONCATENATE("      .AddAttribute(",Fill(B110,3),", ",QTFunc(C110),", ",QTFunc(D110),", ",QTFunc(E110),", ",F110,", ",G110,", ",H110,", ",I110,", ",QTFunc(K110),", ",QTFunc(L110),", ",QTFunc(M110),", ",QTFunc(O110),   ")")</f>
        <v xml:space="preserve">      .AddAttribute(  1, "ID", "ID", "integer", 0, 0, true, true, "", "", "", "unique identification number for a record in this domain with internet connection types")</v>
      </c>
    </row>
    <row r="111" spans="1:16" x14ac:dyDescent="0.45">
      <c r="A111" t="s">
        <v>109</v>
      </c>
      <c r="B111">
        <v>2</v>
      </c>
      <c r="C111" t="s">
        <v>128</v>
      </c>
      <c r="D111" t="s">
        <v>128</v>
      </c>
      <c r="E111" t="s">
        <v>19</v>
      </c>
      <c r="F111">
        <v>50</v>
      </c>
      <c r="G111">
        <v>0</v>
      </c>
      <c r="H111" t="s">
        <v>58</v>
      </c>
      <c r="I111" t="s">
        <v>57</v>
      </c>
      <c r="J111" t="s">
        <v>58</v>
      </c>
      <c r="K111" s="4"/>
      <c r="L111" s="4"/>
      <c r="M111" s="4"/>
      <c r="O111" s="4" t="s">
        <v>246</v>
      </c>
      <c r="P111" s="2" t="str" cm="1">
        <f t="array" ref="P111">CONCATENATE("      .AddAttribute(",Fill(B111,3),", ",QTFunc(C111),", ",QTFunc(D111),", ",QTFunc(E111),", ",F111,", ",G111,", ",H111,", ",I111,", ",QTFunc(K111),", ",QTFunc(L111),", ",QTFunc(M111),", ",QTFunc(O111),   ")")</f>
        <v xml:space="preserve">      .AddAttribute(  2, "Denotation", "Denotation", "varchar", 50, 0, true, false, "", "", "", "unique description of an internet connection type entity in the domain, used in selections, comboboxes, … (key canditate)")</v>
      </c>
    </row>
    <row r="112" spans="1:16" x14ac:dyDescent="0.45">
      <c r="A112" t="s">
        <v>109</v>
      </c>
      <c r="B112">
        <v>3</v>
      </c>
      <c r="C112" t="s">
        <v>129</v>
      </c>
      <c r="D112" t="s">
        <v>129</v>
      </c>
      <c r="E112" t="s">
        <v>19</v>
      </c>
      <c r="F112">
        <v>10</v>
      </c>
      <c r="G112">
        <v>0</v>
      </c>
      <c r="H112" t="s">
        <v>57</v>
      </c>
      <c r="I112" t="s">
        <v>57</v>
      </c>
      <c r="J112" t="s">
        <v>57</v>
      </c>
      <c r="K112" s="4"/>
      <c r="L112" s="4"/>
      <c r="M112" s="4"/>
      <c r="O112" s="4" t="s">
        <v>245</v>
      </c>
      <c r="P112" s="2" t="str" cm="1">
        <f t="array" ref="P112">CONCATENATE("      .AddAttribute(",Fill(B112,3),", ",QTFunc(C112),", ",QTFunc(D112),", ",QTFunc(E112),", ",F112,", ",G112,", ",H112,", ",I112,", ",QTFunc(K112),", ",QTFunc(L112),", ",QTFunc(M112),", ",QTFunc(O112),   ")")</f>
        <v xml:space="preserve">      .AddAttribute(  3, "Abbreviation", "Abbreviation", "varchar", 10, 0, false, false, "", "", "", "non-representative abbreviation that can be used for a short advertisement for this internet connection type")</v>
      </c>
    </row>
    <row r="113" spans="1:16" x14ac:dyDescent="0.45">
      <c r="A113" t="s">
        <v>109</v>
      </c>
      <c r="B113">
        <v>4</v>
      </c>
      <c r="C113" t="s">
        <v>130</v>
      </c>
      <c r="D113" t="s">
        <v>130</v>
      </c>
      <c r="E113" t="s">
        <v>77</v>
      </c>
      <c r="F113">
        <v>0</v>
      </c>
      <c r="G113">
        <v>0</v>
      </c>
      <c r="H113" t="s">
        <v>57</v>
      </c>
      <c r="I113" t="s">
        <v>57</v>
      </c>
      <c r="J113" t="s">
        <v>57</v>
      </c>
      <c r="K113" s="4"/>
      <c r="L113" s="4"/>
      <c r="M113" s="4"/>
      <c r="O113" s="4" t="s">
        <v>244</v>
      </c>
      <c r="P113" s="2" t="str" cm="1">
        <f t="array" ref="P113">CONCATENATE("      .AddAttribute(",Fill(B113,3),", ",QTFunc(C113),", ",QTFunc(D113),", ",QTFunc(E113),", ",F113,", ",G113,", ",H113,", ",I113,", ",QTFunc(K113),", ",QTFunc(L113),", ",QTFunc(M113),", ",QTFunc(O113),   ")")</f>
        <v xml:space="preserve">      .AddAttribute(  4, "Description", "Description", "text", 0, 0, false, false, "", "", "", "detailed description of these internet connection type,this is a self documentation, possible use as hint or to information in the programm")</v>
      </c>
    </row>
    <row r="114" spans="1:16" x14ac:dyDescent="0.45">
      <c r="A114" t="s">
        <v>109</v>
      </c>
      <c r="B114">
        <v>5</v>
      </c>
      <c r="C114" t="s">
        <v>161</v>
      </c>
      <c r="D114" t="s">
        <v>161</v>
      </c>
      <c r="E114" t="s">
        <v>19</v>
      </c>
      <c r="F114">
        <v>10</v>
      </c>
      <c r="G114">
        <v>0</v>
      </c>
      <c r="H114" t="s">
        <v>57</v>
      </c>
      <c r="I114" t="s">
        <v>57</v>
      </c>
      <c r="J114" t="s">
        <v>57</v>
      </c>
      <c r="K114" s="4"/>
      <c r="L114" s="4"/>
      <c r="M114" s="4"/>
      <c r="O114" s="4"/>
      <c r="P114" s="2" t="str" cm="1">
        <f t="array" ref="P114">CONCATENATE("      .AddAttribute(",Fill(B114,3),", ",QTFunc(C114),", ",QTFunc(D114),", ",QTFunc(E114),", ",F114,", ",G114,", ",H114,", ",I114,", ",QTFunc(K114),", ",QTFunc(L114),", ",QTFunc(M114),", ",QTFunc(O114),   ")")</f>
        <v xml:space="preserve">      .AddAttribute(  5, "Prefix", "Prefix", "varchar", 10, 0, false, false, "", "", "", "")</v>
      </c>
    </row>
    <row r="115" spans="1:16" x14ac:dyDescent="0.45">
      <c r="A115" t="s">
        <v>109</v>
      </c>
      <c r="B115">
        <v>6</v>
      </c>
      <c r="C115" t="s">
        <v>131</v>
      </c>
      <c r="D115" t="s">
        <v>131</v>
      </c>
      <c r="E115" t="s">
        <v>77</v>
      </c>
      <c r="F115">
        <v>0</v>
      </c>
      <c r="G115">
        <v>0</v>
      </c>
      <c r="H115" t="s">
        <v>57</v>
      </c>
      <c r="I115" t="s">
        <v>57</v>
      </c>
      <c r="J115" t="s">
        <v>57</v>
      </c>
      <c r="K115" s="4"/>
      <c r="L115" s="4"/>
      <c r="M115" s="4"/>
      <c r="O115" s="4" t="s">
        <v>243</v>
      </c>
      <c r="P115" s="2" t="str" cm="1">
        <f t="array" ref="P115">CONCATENATE("      .AddAttribute(",Fill(B115,3),", ",QTFunc(C115),", ",QTFunc(D115),", ",QTFunc(E115),", ",F115,", ",G115,", ",H115,", ",I115,", ",QTFunc(K115),", ",QTFunc(L115),", ",QTFunc(M115),", ",QTFunc(O115),   ")")</f>
        <v xml:space="preserve">      .AddAttribute(  6, "Notes", "Notes", "text", 0, 0, false, false, "", "", "", "notes, with additional / free information for this type of internet connection, not used in application")</v>
      </c>
    </row>
    <row r="116" spans="1:16" x14ac:dyDescent="0.45">
      <c r="A116" t="s">
        <v>109</v>
      </c>
      <c r="B116">
        <v>7</v>
      </c>
      <c r="C116" t="s">
        <v>132</v>
      </c>
      <c r="D116" t="s">
        <v>132</v>
      </c>
      <c r="E116" t="s">
        <v>27</v>
      </c>
      <c r="F116">
        <v>0</v>
      </c>
      <c r="G116">
        <v>0</v>
      </c>
      <c r="H116" t="s">
        <v>57</v>
      </c>
      <c r="I116" t="s">
        <v>57</v>
      </c>
      <c r="J116" t="s">
        <v>57</v>
      </c>
      <c r="K116" s="4"/>
      <c r="L116" s="4"/>
      <c r="M116" s="4"/>
      <c r="O116" s="4" t="s">
        <v>242</v>
      </c>
      <c r="P116" s="2" t="str" cm="1">
        <f t="array" ref="P116">CONCATENATE("      .AddAttribute(",Fill(B116,3),", ",QTFunc(C116),", ",QTFunc(D116),", ",QTFunc(E116),", ",F116,", ",G116,", ",H116,", ",I116,", ",QTFunc(K116),", ",QTFunc(L116),", ",QTFunc(M116),", ",QTFunc(O116),   ")")</f>
        <v xml:space="preserve">      .AddAttribute(  7, "UrgentValue", "UrgentValue", "bool", 0, 0, false, false, "", "", "", "boolean value that makes this entity of internet connection type to a system value (cannot be changed as it is used directly by the program)")</v>
      </c>
    </row>
    <row r="117" spans="1:16" x14ac:dyDescent="0.45">
      <c r="K117" s="4"/>
      <c r="L117" s="4"/>
      <c r="M117" s="4"/>
      <c r="O117" s="4"/>
    </row>
    <row r="118" spans="1:16" x14ac:dyDescent="0.45">
      <c r="A118" t="s">
        <v>110</v>
      </c>
      <c r="B118">
        <v>0</v>
      </c>
      <c r="C118" t="s">
        <v>124</v>
      </c>
      <c r="D118" t="s">
        <v>385</v>
      </c>
      <c r="E118" t="s">
        <v>166</v>
      </c>
      <c r="H118" t="s">
        <v>527</v>
      </c>
      <c r="I118" t="s">
        <v>168</v>
      </c>
      <c r="K118" s="4"/>
      <c r="L118" s="4"/>
      <c r="M118" s="4"/>
      <c r="O118" s="4" t="s">
        <v>861</v>
      </c>
      <c r="P118" s="2" t="str">
        <f>CONCATENATE("   ",$P$1,".AddTable(","""",A118,""", ",CONCATENATE("EMyEntityType::",E118),", """,IF(ISERROR(FIND(".",C118)),"",RIGHT(C118, LEN(C118) - FIND(".",C118))),""", """,IF(ISERROR(FIND(".",C118)),"",LEFT(C118, FIND(".",C118)-1)),""", """,IF(ISERROR(FIND("::",D118)),"",RIGHT(D118, LEN(D118) - FIND("::",D118)-1)),""", """,IF(ISERROR(FIND("::",D118)),"",LEFT(D118, FIND("::",D118)-1)),""", """,H118,""", """,I118,""", """,O118,""")")</f>
        <v xml:space="preserve">   dictionary.AddTable("JobPositions", EMyEntityType::table, "JobPositions", "dbo", "JobPositions", "myHR", "System/HR", "SQL", "domain or range of values for different positions for the employee. Important as anchor for additional informations")</v>
      </c>
    </row>
    <row r="119" spans="1:16" x14ac:dyDescent="0.45">
      <c r="A119" t="s">
        <v>110</v>
      </c>
      <c r="B119">
        <v>1</v>
      </c>
      <c r="C119" t="s">
        <v>133</v>
      </c>
      <c r="D119" t="s">
        <v>133</v>
      </c>
      <c r="E119" t="s">
        <v>20</v>
      </c>
      <c r="F119">
        <v>0</v>
      </c>
      <c r="G119">
        <v>0</v>
      </c>
      <c r="H119" t="s">
        <v>58</v>
      </c>
      <c r="I119" t="s">
        <v>58</v>
      </c>
      <c r="J119" t="s">
        <v>57</v>
      </c>
      <c r="K119" s="4"/>
      <c r="L119" s="4"/>
      <c r="M119" s="4"/>
      <c r="O119" s="4" t="s">
        <v>868</v>
      </c>
      <c r="P119" s="2" t="str" cm="1">
        <f t="array" ref="P119">CONCATENATE("      .AddAttribute(",Fill(B119,3),", ",QTFunc(C119),", ",QTFunc(D119),", ",QTFunc(E119),", ",F119,", ",G119,", ",H119,", ",I119,", ",QTFunc(K119),", ",QTFunc(L119),", ",QTFunc(M119),", ",QTFunc(O119),   ")")</f>
        <v xml:space="preserve">      .AddAttribute(  1, "ID", "ID", "integer", 0, 0, true, true, "", "", "", "unique identification number for a record in this domain with positions in job")</v>
      </c>
    </row>
    <row r="120" spans="1:16" x14ac:dyDescent="0.45">
      <c r="A120" t="s">
        <v>110</v>
      </c>
      <c r="B120">
        <v>2</v>
      </c>
      <c r="C120" t="s">
        <v>128</v>
      </c>
      <c r="D120" t="s">
        <v>128</v>
      </c>
      <c r="E120" t="s">
        <v>19</v>
      </c>
      <c r="F120">
        <v>50</v>
      </c>
      <c r="G120">
        <v>0</v>
      </c>
      <c r="H120" t="s">
        <v>58</v>
      </c>
      <c r="I120" t="s">
        <v>57</v>
      </c>
      <c r="J120" t="s">
        <v>58</v>
      </c>
      <c r="K120" s="4"/>
      <c r="L120" s="4"/>
      <c r="M120" s="4"/>
      <c r="O120" s="4" t="s">
        <v>869</v>
      </c>
      <c r="P120" s="2" t="str" cm="1">
        <f t="array" ref="P120">CONCATENATE("      .AddAttribute(",Fill(B120,3),", ",QTFunc(C120),", ",QTFunc(D120),", ",QTFunc(E120),", ",F120,", ",G120,", ",H120,", ",I120,", ",QTFunc(K120),", ",QTFunc(L120),", ",QTFunc(M120),", ",QTFunc(O120),   ")")</f>
        <v xml:space="preserve">      .AddAttribute(  2, "Denotation", "Denotation", "varchar", 50, 0, true, false, "", "", "", "unique denotation for this job position, used in selections, and lists to descripe this position")</v>
      </c>
    </row>
    <row r="121" spans="1:16" x14ac:dyDescent="0.45">
      <c r="A121" t="s">
        <v>110</v>
      </c>
      <c r="B121">
        <v>3</v>
      </c>
      <c r="C121" t="s">
        <v>129</v>
      </c>
      <c r="D121" t="s">
        <v>129</v>
      </c>
      <c r="E121" t="s">
        <v>19</v>
      </c>
      <c r="F121">
        <v>10</v>
      </c>
      <c r="G121">
        <v>0</v>
      </c>
      <c r="H121" t="s">
        <v>57</v>
      </c>
      <c r="I121" t="s">
        <v>57</v>
      </c>
      <c r="J121" t="s">
        <v>57</v>
      </c>
      <c r="K121" s="4"/>
      <c r="L121" s="4"/>
      <c r="M121" s="4"/>
      <c r="O121" s="4" t="s">
        <v>870</v>
      </c>
      <c r="P121" s="2" t="str" cm="1">
        <f t="array" ref="P121">CONCATENATE("      .AddAttribute(",Fill(B121,3),", ",QTFunc(C121),", ",QTFunc(D121),", ",QTFunc(E121),", ",F121,", ",G121,", ",H121,", ",I121,", ",QTFunc(K121),", ",QTFunc(L121),", ",QTFunc(M121),", ",QTFunc(O121),   ")")</f>
        <v xml:space="preserve">      .AddAttribute(  3, "Abbreviation", "Abbreviation", "varchar", 10, 0, false, false, "", "", "", "abbreviation for this job position, used in overvies. Can be null and don't need be unique")</v>
      </c>
    </row>
    <row r="122" spans="1:16" x14ac:dyDescent="0.45">
      <c r="A122" t="s">
        <v>110</v>
      </c>
      <c r="B122">
        <v>4</v>
      </c>
      <c r="C122" t="s">
        <v>130</v>
      </c>
      <c r="D122" t="s">
        <v>130</v>
      </c>
      <c r="E122" t="s">
        <v>77</v>
      </c>
      <c r="F122">
        <v>0</v>
      </c>
      <c r="G122">
        <v>0</v>
      </c>
      <c r="H122" t="s">
        <v>57</v>
      </c>
      <c r="I122" t="s">
        <v>57</v>
      </c>
      <c r="J122" t="s">
        <v>57</v>
      </c>
      <c r="K122" s="4"/>
      <c r="L122" s="4"/>
      <c r="M122" s="4"/>
      <c r="O122" s="4" t="s">
        <v>871</v>
      </c>
      <c r="P122" s="2" t="str" cm="1">
        <f t="array" ref="P122">CONCATENATE("      .AddAttribute(",Fill(B122,3),", ",QTFunc(C122),", ",QTFunc(D122),", ",QTFunc(E122),", ",F122,", ",G122,", ",H122,", ",I122,", ",QTFunc(K122),", ",QTFunc(L122),", ",QTFunc(M122),", ",QTFunc(O122),   ")")</f>
        <v xml:space="preserve">      .AddAttribute(  4, "Description", "Description", "text", 0, 0, false, false, "", "", "", "detailed description of these job position, this is a self documentation, possible use as hint or to information in the programm")</v>
      </c>
    </row>
    <row r="123" spans="1:16" x14ac:dyDescent="0.45">
      <c r="A123" t="s">
        <v>110</v>
      </c>
      <c r="B123">
        <v>5</v>
      </c>
      <c r="C123" t="s">
        <v>761</v>
      </c>
      <c r="D123" t="s">
        <v>761</v>
      </c>
      <c r="E123" t="s">
        <v>20</v>
      </c>
      <c r="F123">
        <v>0</v>
      </c>
      <c r="G123">
        <v>0</v>
      </c>
      <c r="H123" t="s">
        <v>57</v>
      </c>
      <c r="I123" t="s">
        <v>57</v>
      </c>
      <c r="J123" t="s">
        <v>57</v>
      </c>
      <c r="K123" s="4"/>
      <c r="L123" s="4"/>
      <c r="M123" s="4"/>
      <c r="O123" s="4" t="s">
        <v>872</v>
      </c>
      <c r="P123" s="2" t="str" cm="1">
        <f t="array" ref="P123">CONCATENATE("      .AddAttribute(",Fill(B123,3),", ",QTFunc(C123),", ",QTFunc(D123),", ",QTFunc(E123),", ",F123,", ",G123,", ",H123,", ",I123,", ",QTFunc(K123),", ",QTFunc(L123),", ",QTFunc(M123),", ",QTFunc(O123),   ")")</f>
        <v xml:space="preserve">      .AddAttribute(  5, "SalaryType", "SalaryType", "integer", 0, 0, false, false, "", "", "", "prefered salary type for this job positions. may be overridden in emplyee for individual aggreements")</v>
      </c>
    </row>
    <row r="124" spans="1:16" x14ac:dyDescent="0.45">
      <c r="A124" t="s">
        <v>110</v>
      </c>
      <c r="B124">
        <v>6</v>
      </c>
      <c r="C124" t="s">
        <v>131</v>
      </c>
      <c r="D124" t="s">
        <v>131</v>
      </c>
      <c r="E124" t="s">
        <v>77</v>
      </c>
      <c r="F124">
        <v>0</v>
      </c>
      <c r="G124">
        <v>0</v>
      </c>
      <c r="H124" t="s">
        <v>57</v>
      </c>
      <c r="I124" t="s">
        <v>57</v>
      </c>
      <c r="J124" t="s">
        <v>57</v>
      </c>
      <c r="K124" s="4"/>
      <c r="L124" s="4"/>
      <c r="M124" s="4"/>
      <c r="O124" s="4" t="s">
        <v>873</v>
      </c>
      <c r="P124" s="2" t="str" cm="1">
        <f t="array" ref="P124">CONCATENATE("      .AddAttribute(",Fill(B124,3),", ",QTFunc(C124),", ",QTFunc(D124),", ",QTFunc(E124),", ",F124,", ",G124,", ",H124,", ",I124,", ",QTFunc(K124),", ",QTFunc(L124),", ",QTFunc(M124),", ",QTFunc(O124),   ")")</f>
        <v xml:space="preserve">      .AddAttribute(  6, "Notes", "Notes", "text", 0, 0, false, false, "", "", "", "notes, with additional / free information for this type of job position, not used in application")</v>
      </c>
    </row>
    <row r="125" spans="1:16" x14ac:dyDescent="0.45">
      <c r="A125" t="s">
        <v>110</v>
      </c>
      <c r="B125">
        <v>7</v>
      </c>
      <c r="C125" t="s">
        <v>132</v>
      </c>
      <c r="D125" t="s">
        <v>132</v>
      </c>
      <c r="E125" t="s">
        <v>27</v>
      </c>
      <c r="F125">
        <v>0</v>
      </c>
      <c r="G125">
        <v>0</v>
      </c>
      <c r="H125" t="s">
        <v>57</v>
      </c>
      <c r="I125" t="s">
        <v>57</v>
      </c>
      <c r="J125" t="s">
        <v>57</v>
      </c>
      <c r="K125" s="4"/>
      <c r="L125" s="4"/>
      <c r="M125" s="4"/>
      <c r="O125" s="4" t="s">
        <v>874</v>
      </c>
      <c r="P125" s="2" t="str" cm="1">
        <f t="array" ref="P125">CONCATENATE("      .AddAttribute(",Fill(B125,3),", ",QTFunc(C125),", ",QTFunc(D125),", ",QTFunc(E125),", ",F125,", ",G125,", ",H125,", ",I125,", ",QTFunc(K125),", ",QTFunc(L125),", ",QTFunc(M125),", ",QTFunc(O125),   ")")</f>
        <v xml:space="preserve">      .AddAttribute(  7, "UrgentValue", "UrgentValue", "bool", 0, 0, false, false, "", "", "", "boolean value that makes this entity of job position to a system value (cannot be changed as it is used directly by the program)")</v>
      </c>
    </row>
    <row r="126" spans="1:16" x14ac:dyDescent="0.45">
      <c r="K126" s="4"/>
      <c r="L126" s="4"/>
      <c r="M126" s="4"/>
      <c r="O126" s="4"/>
    </row>
    <row r="127" spans="1:16" x14ac:dyDescent="0.45">
      <c r="A127" t="s">
        <v>111</v>
      </c>
      <c r="B127">
        <v>0</v>
      </c>
      <c r="C127" t="s">
        <v>125</v>
      </c>
      <c r="D127" t="s">
        <v>449</v>
      </c>
      <c r="E127" t="s">
        <v>166</v>
      </c>
      <c r="H127" t="s">
        <v>526</v>
      </c>
      <c r="I127" t="s">
        <v>168</v>
      </c>
      <c r="K127" s="4"/>
      <c r="L127" s="4"/>
      <c r="M127" s="4"/>
      <c r="O127" s="4" t="s">
        <v>410</v>
      </c>
      <c r="P127" s="2" t="str">
        <f>CONCATENATE("   ",$P$1,".AddTable(","""",A127,""", ",CONCATENATE("EMyEntityType::",E127),", """,IF(ISERROR(FIND(".",C127)),"",RIGHT(C127, LEN(C127) - FIND(".",C127))),""", """,IF(ISERROR(FIND(".",C127)),"",LEFT(C127, FIND(".",C127)-1)),""", """,IF(ISERROR(FIND("::",D127)),"",RIGHT(D127, LEN(D127) - FIND("::",D127)-1)),""", """,IF(ISERROR(FIND("::",D127)),"",LEFT(D127, FIND("::",D127)-1)),""", """,H127,""", """,I127,""", """,O127,""")")</f>
        <v xml:space="preserve">   dictionary.AddTable("Person", EMyEntityType::table, "Person", "dbo", "Person", "myCorporate", "System/Corporate", "SQL", "informations about a person, base for different kinds of special persons in other areas of the company")</v>
      </c>
    </row>
    <row r="128" spans="1:16" x14ac:dyDescent="0.45">
      <c r="A128" t="s">
        <v>111</v>
      </c>
      <c r="B128">
        <v>1</v>
      </c>
      <c r="C128" t="s">
        <v>133</v>
      </c>
      <c r="D128" t="s">
        <v>133</v>
      </c>
      <c r="E128" t="s">
        <v>20</v>
      </c>
      <c r="F128">
        <v>0</v>
      </c>
      <c r="G128">
        <v>0</v>
      </c>
      <c r="H128" t="s">
        <v>58</v>
      </c>
      <c r="I128" t="s">
        <v>58</v>
      </c>
      <c r="J128" t="s">
        <v>57</v>
      </c>
      <c r="K128" s="4"/>
      <c r="L128" s="4"/>
      <c r="M128" s="4"/>
      <c r="O128" s="4" t="s">
        <v>411</v>
      </c>
      <c r="P128" s="2" t="str" cm="1">
        <f t="array" ref="P128">CONCATENATE("      .AddAttribute(",Fill(B128,3),", ",QTFunc(C128),", ",QTFunc(D128),", ",QTFunc(E128),", ",F128,", ",G128,", ",H128,", ",I128,", ",QTFunc(K128),", ",QTFunc(L128),", ",QTFunc(M128),", ",QTFunc(O128),   ")")</f>
        <v xml:space="preserve">      .AddAttribute(  1, "ID", "ID", "integer", 0, 0, true, true, "", "", "", "unique identification number for a entity of person")</v>
      </c>
    </row>
    <row r="129" spans="1:16" x14ac:dyDescent="0.45">
      <c r="A129" t="s">
        <v>111</v>
      </c>
      <c r="B129">
        <v>2</v>
      </c>
      <c r="C129" t="s">
        <v>82</v>
      </c>
      <c r="D129" t="s">
        <v>82</v>
      </c>
      <c r="E129" t="s">
        <v>19</v>
      </c>
      <c r="F129">
        <v>30</v>
      </c>
      <c r="G129">
        <v>0</v>
      </c>
      <c r="H129" t="s">
        <v>58</v>
      </c>
      <c r="I129" t="s">
        <v>57</v>
      </c>
      <c r="J129" t="s">
        <v>57</v>
      </c>
      <c r="K129" s="4"/>
      <c r="L129" s="4"/>
      <c r="M129" s="4"/>
      <c r="O129" s="4" t="s">
        <v>412</v>
      </c>
      <c r="P129" s="2" t="str" cm="1">
        <f t="array" ref="P129">CONCATENATE("      .AddAttribute(",Fill(B129,3),", ",QTFunc(C129),", ",QTFunc(D129),", ",QTFunc(E129),", ",F129,", ",G129,", ",H129,", ",I129,", ",QTFunc(K129),", ",QTFunc(L129),", ",QTFunc(M129),", ",QTFunc(O129),   ")")</f>
        <v xml:space="preserve">      .AddAttribute(  2, "Name", "Name", "varchar", 30, 0, true, false, "", "", "", "family name of the natural person respectively the name for a legal entity")</v>
      </c>
    </row>
    <row r="130" spans="1:16" x14ac:dyDescent="0.45">
      <c r="A130" t="s">
        <v>111</v>
      </c>
      <c r="B130">
        <v>3</v>
      </c>
      <c r="C130" t="s">
        <v>483</v>
      </c>
      <c r="D130" t="s">
        <v>483</v>
      </c>
      <c r="E130" t="s">
        <v>19</v>
      </c>
      <c r="F130">
        <v>30</v>
      </c>
      <c r="G130">
        <v>0</v>
      </c>
      <c r="H130" t="s">
        <v>57</v>
      </c>
      <c r="I130" t="s">
        <v>57</v>
      </c>
      <c r="J130" t="s">
        <v>57</v>
      </c>
      <c r="K130" s="4"/>
      <c r="L130" s="4"/>
      <c r="M130" s="4"/>
      <c r="O130" s="4" t="s">
        <v>413</v>
      </c>
      <c r="P130" s="2" t="str" cm="1">
        <f t="array" ref="P130">CONCATENATE("      .AddAttribute(",Fill(B130,3),", ",QTFunc(C130),", ",QTFunc(D130),", ",QTFunc(E130),", ",F130,", ",G130,", ",H130,", ",I130,", ",QTFunc(K130),", ",QTFunc(L130),", ",QTFunc(M130),", ",QTFunc(O130),   ")")</f>
        <v xml:space="preserve">      .AddAttribute(  3, "FirstName", "FirstName", "varchar", 30, 0, false, false, "", "", "", "first name of the natural person respectively a name extenstion for a legal entity")</v>
      </c>
    </row>
    <row r="131" spans="1:16" x14ac:dyDescent="0.45">
      <c r="A131" t="s">
        <v>111</v>
      </c>
      <c r="B131">
        <v>4</v>
      </c>
      <c r="C131" t="s">
        <v>107</v>
      </c>
      <c r="D131" t="s">
        <v>107</v>
      </c>
      <c r="E131" t="s">
        <v>20</v>
      </c>
      <c r="F131">
        <v>0</v>
      </c>
      <c r="G131">
        <v>0</v>
      </c>
      <c r="H131" t="s">
        <v>58</v>
      </c>
      <c r="I131" t="s">
        <v>57</v>
      </c>
      <c r="J131" t="s">
        <v>57</v>
      </c>
      <c r="K131" s="4"/>
      <c r="L131" s="4"/>
      <c r="M131" s="4"/>
      <c r="O131" s="4" t="s">
        <v>414</v>
      </c>
      <c r="P131" s="2" t="str" cm="1">
        <f t="array" ref="P131">CONCATENATE("      .AddAttribute(",Fill(B131,3),", ",QTFunc(C131),", ",QTFunc(D131),", ",QTFunc(E131),", ",F131,", ",G131,", ",H131,", ",I131,", ",QTFunc(K131),", ",QTFunc(L131),", ",QTFunc(M131),", ",QTFunc(O131),   ")")</f>
        <v xml:space="preserve">      .AddAttribute(  4, "FormOfAddress", "FormOfAddress", "integer", 0, 0, true, false, "", "", "", "form of address for this person. this attribute control the kind of a person too")</v>
      </c>
    </row>
    <row r="132" spans="1:16" x14ac:dyDescent="0.45">
      <c r="A132" t="s">
        <v>111</v>
      </c>
      <c r="B132">
        <v>5</v>
      </c>
      <c r="C132" t="s">
        <v>174</v>
      </c>
      <c r="D132" t="s">
        <v>174</v>
      </c>
      <c r="E132" t="s">
        <v>20</v>
      </c>
      <c r="F132">
        <v>0</v>
      </c>
      <c r="G132">
        <v>0</v>
      </c>
      <c r="H132" t="s">
        <v>58</v>
      </c>
      <c r="I132" t="s">
        <v>57</v>
      </c>
      <c r="J132" t="s">
        <v>57</v>
      </c>
      <c r="K132" s="4"/>
      <c r="L132" s="4"/>
      <c r="M132" s="4"/>
      <c r="O132" s="4" t="s">
        <v>415</v>
      </c>
      <c r="P132" s="2" t="str" cm="1">
        <f t="array" ref="P132">CONCATENATE("      .AddAttribute(",Fill(B132,3),", ",QTFunc(C132),", ",QTFunc(D132),", ",QTFunc(E132),", ",F132,", ",G132,", ",H132,", ",I132,", ",QTFunc(K132),", ",QTFunc(L132),", ",QTFunc(M132),", ",QTFunc(O132),   ")")</f>
        <v xml:space="preserve">      .AddAttribute(  5, "FamilyStatus", "FamilyStatus", "integer", 0, 0, true, false, "", "", "", "family status for the person")</v>
      </c>
    </row>
    <row r="133" spans="1:16" x14ac:dyDescent="0.45">
      <c r="A133" t="s">
        <v>111</v>
      </c>
      <c r="B133">
        <v>6</v>
      </c>
      <c r="C133" t="s">
        <v>178</v>
      </c>
      <c r="D133" t="s">
        <v>178</v>
      </c>
      <c r="E133" t="s">
        <v>22</v>
      </c>
      <c r="F133">
        <v>0</v>
      </c>
      <c r="G133">
        <v>0</v>
      </c>
      <c r="H133" t="s">
        <v>57</v>
      </c>
      <c r="I133" t="s">
        <v>57</v>
      </c>
      <c r="J133" t="s">
        <v>57</v>
      </c>
      <c r="K133" s="4"/>
      <c r="L133" s="4"/>
      <c r="M133" s="4"/>
      <c r="O133" s="4" t="s">
        <v>416</v>
      </c>
      <c r="P133" s="2" t="str" cm="1">
        <f t="array" ref="P133">CONCATENATE("      .AddAttribute(",Fill(B133,3),", ",QTFunc(C133),", ",QTFunc(D133),", ",QTFunc(E133),", ",F133,", ",G133,", ",H133,", ",I133,", ",QTFunc(K133),", ",QTFunc(L133),", ",QTFunc(M133),", ",QTFunc(O133),   ")")</f>
        <v xml:space="preserve">      .AddAttribute(  6, "FamilyStatusSince", "FamilyStatusSince", "date", 0, 0, false, false, "", "", "", "the date from which the current family status applies.")</v>
      </c>
    </row>
    <row r="134" spans="1:16" x14ac:dyDescent="0.45">
      <c r="A134" t="s">
        <v>111</v>
      </c>
      <c r="B134">
        <v>7</v>
      </c>
      <c r="C134" t="s">
        <v>165</v>
      </c>
      <c r="D134" t="s">
        <v>165</v>
      </c>
      <c r="E134" t="s">
        <v>22</v>
      </c>
      <c r="F134">
        <v>0</v>
      </c>
      <c r="G134">
        <v>0</v>
      </c>
      <c r="H134" t="s">
        <v>57</v>
      </c>
      <c r="I134" t="s">
        <v>57</v>
      </c>
      <c r="J134" t="s">
        <v>57</v>
      </c>
      <c r="K134" s="4"/>
      <c r="L134" s="4"/>
      <c r="M134" s="4"/>
      <c r="O134" s="4" t="s">
        <v>417</v>
      </c>
      <c r="P134" s="2" t="str" cm="1">
        <f t="array" ref="P134">CONCATENATE("      .AddAttribute(",Fill(B134,3),", ",QTFunc(C134),", ",QTFunc(D134),", ",QTFunc(E134),", ",F134,", ",G134,", ",H134,", ",I134,", ",QTFunc(K134),", ",QTFunc(L134),", ",QTFunc(M134),", ",QTFunc(O134),   ")")</f>
        <v xml:space="preserve">      .AddAttribute(  7, "Birthday", "Birthday", "date", 0, 0, false, false, "", "", "", "birthday of a natural person. This attribute is unused for legal entrities")</v>
      </c>
    </row>
    <row r="135" spans="1:16" x14ac:dyDescent="0.45">
      <c r="A135" t="s">
        <v>111</v>
      </c>
      <c r="B135">
        <v>8</v>
      </c>
      <c r="C135" t="s">
        <v>131</v>
      </c>
      <c r="D135" t="s">
        <v>131</v>
      </c>
      <c r="E135" t="s">
        <v>77</v>
      </c>
      <c r="F135">
        <v>0</v>
      </c>
      <c r="G135">
        <v>0</v>
      </c>
      <c r="H135" t="s">
        <v>57</v>
      </c>
      <c r="I135" t="s">
        <v>57</v>
      </c>
      <c r="J135" t="s">
        <v>57</v>
      </c>
      <c r="K135" s="4"/>
      <c r="L135" s="4"/>
      <c r="M135" s="4"/>
      <c r="O135" s="4" t="s">
        <v>418</v>
      </c>
      <c r="P135" s="2" t="str" cm="1">
        <f t="array" ref="P135">CONCATENATE("      .AddAttribute(",Fill(B135,3),", ",QTFunc(C135),", ",QTFunc(D135),", ",QTFunc(E135),", ",F135,", ",G135,", ",H135,", ",I135,", ",QTFunc(K135),", ",QTFunc(L135),", ",QTFunc(M135),", ",QTFunc(O135),   ")")</f>
        <v xml:space="preserve">      .AddAttribute(  8, "Notes", "Notes", "text", 0, 0, false, false, "", "", "", "notes, with additional / free information for this tperson, not used in application")</v>
      </c>
    </row>
    <row r="136" spans="1:16" x14ac:dyDescent="0.45">
      <c r="A136" t="s">
        <v>111</v>
      </c>
      <c r="B136">
        <v>9</v>
      </c>
      <c r="C136" t="s">
        <v>484</v>
      </c>
      <c r="D136" t="s">
        <v>484</v>
      </c>
      <c r="E136" t="s">
        <v>19</v>
      </c>
      <c r="F136">
        <v>60</v>
      </c>
      <c r="G136">
        <v>0</v>
      </c>
      <c r="H136" t="s">
        <v>57</v>
      </c>
      <c r="I136" t="s">
        <v>57</v>
      </c>
      <c r="J136" t="s">
        <v>57</v>
      </c>
      <c r="K136" s="4"/>
      <c r="L136" s="4"/>
      <c r="M136" s="4" t="s">
        <v>482</v>
      </c>
      <c r="O136" s="4" t="s">
        <v>525</v>
      </c>
      <c r="P136" s="2" t="str" cm="1">
        <f t="array" ref="P136">CONCATENATE("      .AddAttribute(",Fill(B136,3),", ",QTFunc(C136),", ",QTFunc(D136),", ",QTFunc(E136),", ",F136,", ",G136,", ",H136,", ",I136,", ",QTFunc(K136),", ",QTFunc(L136),", ",QTFunc(M136),", ",QTFunc(O136),   ")")</f>
        <v xml:space="preserve">      .AddAttribute(  9, "FullName", "FullName", "varchar", 60, 0, false, false, "", "", "Name + ', ' + FirstName", "calculated field for displaying the full name for use in the program \\n for example, if a person is to be selected")</v>
      </c>
    </row>
    <row r="137" spans="1:16" x14ac:dyDescent="0.45">
      <c r="K137" s="4"/>
      <c r="L137" s="4"/>
      <c r="M137" s="4"/>
      <c r="O137" s="4"/>
    </row>
    <row r="138" spans="1:16" x14ac:dyDescent="0.45">
      <c r="A138" t="s">
        <v>112</v>
      </c>
      <c r="B138">
        <v>0</v>
      </c>
      <c r="C138" t="s">
        <v>126</v>
      </c>
      <c r="D138" t="s">
        <v>448</v>
      </c>
      <c r="E138" t="s">
        <v>166</v>
      </c>
      <c r="H138" t="s">
        <v>526</v>
      </c>
      <c r="I138" t="s">
        <v>168</v>
      </c>
      <c r="K138" s="4"/>
      <c r="L138" s="4"/>
      <c r="M138" s="4"/>
      <c r="O138" s="4" t="s">
        <v>540</v>
      </c>
      <c r="P138" s="2" t="str">
        <f>CONCATENATE("   ",$P$1,".AddTable(","""",A138,""", ",CONCATENATE("EMyEntityType::",E138),", """,IF(ISERROR(FIND(".",C138)),"",RIGHT(C138, LEN(C138) - FIND(".",C138))),""", """,IF(ISERROR(FIND(".",C138)),"",LEFT(C138, FIND(".",C138)-1)),""", """,IF(ISERROR(FIND("::",D138)),"",RIGHT(D138, LEN(D138) - FIND("::",D138)-1)),""", """,IF(ISERROR(FIND("::",D138)),"",LEFT(D138, FIND("::",D138)-1)),""", """,H138,""", """,I138,""", """,O138,""")")</f>
        <v xml:space="preserve">   dictionary.AddTable("Phone", EMyEntityType::table, "Phone", "dbo", "Phone", "myCorporate", "System/Corporate", "SQL", "phone connections of persons (part of relationship)")</v>
      </c>
    </row>
    <row r="139" spans="1:16" x14ac:dyDescent="0.45">
      <c r="A139" t="s">
        <v>112</v>
      </c>
      <c r="B139">
        <v>1</v>
      </c>
      <c r="C139" t="s">
        <v>133</v>
      </c>
      <c r="D139" t="s">
        <v>133</v>
      </c>
      <c r="E139" t="s">
        <v>20</v>
      </c>
      <c r="F139">
        <v>0</v>
      </c>
      <c r="G139">
        <v>0</v>
      </c>
      <c r="H139" t="s">
        <v>58</v>
      </c>
      <c r="I139" t="s">
        <v>58</v>
      </c>
      <c r="J139" t="s">
        <v>57</v>
      </c>
      <c r="K139" s="4"/>
      <c r="L139" s="4"/>
      <c r="M139" s="4"/>
      <c r="O139" s="4" t="s">
        <v>616</v>
      </c>
      <c r="P139" s="2" t="str" cm="1">
        <f t="array" ref="P139">CONCATENATE("      .AddAttribute(",Fill(B139,3),", ",QTFunc(C139),", ",QTFunc(D139),", ",QTFunc(E139),", ",F139,", ",G139,", ",H139,", ",I139,", ",QTFunc(K139),", ",QTFunc(L139),", ",QTFunc(M139),", ",QTFunc(O139),   ")")</f>
        <v xml:space="preserve">      .AddAttribute(  1, "ID", "ID", "integer", 0, 0, true, true, "", "", "", "unique identification number of the person to whom the phone data belongs (foreign key from person)")</v>
      </c>
    </row>
    <row r="140" spans="1:16" x14ac:dyDescent="0.45">
      <c r="A140" t="s">
        <v>112</v>
      </c>
      <c r="B140">
        <v>2</v>
      </c>
      <c r="C140" t="s">
        <v>139</v>
      </c>
      <c r="D140" t="s">
        <v>139</v>
      </c>
      <c r="E140" t="s">
        <v>20</v>
      </c>
      <c r="F140">
        <v>0</v>
      </c>
      <c r="G140">
        <v>0</v>
      </c>
      <c r="H140" t="s">
        <v>58</v>
      </c>
      <c r="I140" t="s">
        <v>58</v>
      </c>
      <c r="J140" t="s">
        <v>57</v>
      </c>
      <c r="K140" s="4"/>
      <c r="L140" s="4"/>
      <c r="M140" s="4"/>
      <c r="O140" s="4" t="s">
        <v>617</v>
      </c>
      <c r="P140" s="2" t="str" cm="1">
        <f t="array" ref="P140">CONCATENATE("      .AddAttribute(",Fill(B140,3),", ",QTFunc(C140),", ",QTFunc(D140),", ",QTFunc(E140),", ",F140,", ",G140,", ",H140,", ",I140,", ",QTFunc(K140),", ",QTFunc(L140),", ",QTFunc(M140),", ",QTFunc(O140),   ")")</f>
        <v xml:space="preserve">      .AddAttribute(  2, "PhoneType", "PhoneType", "integer", 0, 0, true, true, "", "", "", "type of telephone data (value range from PhoneType as foreign key, extension to 1:n relationship))")</v>
      </c>
    </row>
    <row r="141" spans="1:16" x14ac:dyDescent="0.45">
      <c r="A141" t="s">
        <v>112</v>
      </c>
      <c r="B141">
        <v>3</v>
      </c>
      <c r="C141" t="s">
        <v>140</v>
      </c>
      <c r="D141" t="s">
        <v>140</v>
      </c>
      <c r="E141" t="s">
        <v>19</v>
      </c>
      <c r="F141">
        <v>10</v>
      </c>
      <c r="G141">
        <v>0</v>
      </c>
      <c r="H141" t="s">
        <v>58</v>
      </c>
      <c r="I141" t="s">
        <v>57</v>
      </c>
      <c r="J141" t="s">
        <v>57</v>
      </c>
      <c r="K141" s="4" t="s">
        <v>744</v>
      </c>
      <c r="L141" s="4"/>
      <c r="M141" s="4"/>
      <c r="O141" s="4" t="s">
        <v>618</v>
      </c>
      <c r="P141" s="2" t="str" cm="1">
        <f t="array" ref="P141">CONCATENATE("      .AddAttribute(",Fill(B141,3),", ",QTFunc(C141),", ",QTFunc(D141),", ",QTFunc(E141),", ",F141,", ",G141,", ",H141,", ",I141,", ",QTFunc(K141),", ",QTFunc(L141),", ",QTFunc(M141),", ",QTFunc(O141),   ")")</f>
        <v xml:space="preserve">      .AddAttribute(  3, "AreaCode", "AreaCode", "varchar", 10, 0, true, false, "NOT LIKE '%[^0-9]%'", "", "", "area code or network code of the telephone connection")</v>
      </c>
    </row>
    <row r="142" spans="1:16" x14ac:dyDescent="0.45">
      <c r="A142" t="s">
        <v>112</v>
      </c>
      <c r="B142">
        <v>4</v>
      </c>
      <c r="C142" t="s">
        <v>141</v>
      </c>
      <c r="D142" t="s">
        <v>141</v>
      </c>
      <c r="E142" t="s">
        <v>19</v>
      </c>
      <c r="F142">
        <v>13</v>
      </c>
      <c r="G142">
        <v>0</v>
      </c>
      <c r="H142" t="s">
        <v>58</v>
      </c>
      <c r="I142" t="s">
        <v>57</v>
      </c>
      <c r="J142" t="s">
        <v>57</v>
      </c>
      <c r="K142" s="4" t="s">
        <v>623</v>
      </c>
      <c r="L142" s="4"/>
      <c r="M142" s="4"/>
      <c r="O142" s="4" t="s">
        <v>619</v>
      </c>
      <c r="P142" s="2" t="str" cm="1">
        <f t="array" ref="P142">CONCATENATE("      .AddAttribute(",Fill(B142,3),", ",QTFunc(C142),", ",QTFunc(D142),", ",QTFunc(E142),", ",F142,", ",G142,", ",H142,", ",I142,", ",QTFunc(K142),", ",QTFunc(L142),", ",QTFunc(M142),", ",QTFunc(O142),   ")")</f>
        <v xml:space="preserve">      .AddAttribute(  4, "CallNumber", "CallNumber", "varchar", 13, 0, true, false, "NOT LIKE '%[^0-9 -]%'", "", "", "call number within the local network or the selected cellphone network")</v>
      </c>
    </row>
    <row r="143" spans="1:16" x14ac:dyDescent="0.45">
      <c r="A143" t="s">
        <v>112</v>
      </c>
      <c r="B143">
        <v>5</v>
      </c>
      <c r="C143" t="s">
        <v>138</v>
      </c>
      <c r="D143" t="s">
        <v>138</v>
      </c>
      <c r="E143" t="s">
        <v>20</v>
      </c>
      <c r="F143">
        <v>0</v>
      </c>
      <c r="G143">
        <v>0</v>
      </c>
      <c r="H143" t="s">
        <v>58</v>
      </c>
      <c r="I143" t="s">
        <v>57</v>
      </c>
      <c r="J143" t="s">
        <v>57</v>
      </c>
      <c r="K143" s="4"/>
      <c r="L143" s="4"/>
      <c r="M143" s="4"/>
      <c r="O143" s="4" t="s">
        <v>620</v>
      </c>
      <c r="P143" s="2" t="str" cm="1">
        <f t="array" ref="P143">CONCATENATE("      .AddAttribute(",Fill(B143,3),", ",QTFunc(C143),", ",QTFunc(D143),", ",QTFunc(E143),", ",F143,", ",G143,", ",H143,", ",I143,", ",QTFunc(K143),", ",QTFunc(L143),", ",QTFunc(M143),", ",QTFunc(O143),   ")")</f>
        <v xml:space="preserve">      .AddAttribute(  5, "Country", "Country", "integer", 0, 0, true, false, "", "", "", "country id for this data as foreign key in the Countries table. the country code is also located here")</v>
      </c>
    </row>
    <row r="144" spans="1:16" x14ac:dyDescent="0.45">
      <c r="A144" t="s">
        <v>112</v>
      </c>
      <c r="B144">
        <v>6</v>
      </c>
      <c r="C144" t="s">
        <v>615</v>
      </c>
      <c r="D144" t="s">
        <v>615</v>
      </c>
      <c r="E144" t="s">
        <v>19</v>
      </c>
      <c r="F144">
        <v>25</v>
      </c>
      <c r="G144">
        <v>0</v>
      </c>
      <c r="H144" t="s">
        <v>57</v>
      </c>
      <c r="I144" t="s">
        <v>57</v>
      </c>
      <c r="J144" t="s">
        <v>57</v>
      </c>
      <c r="K144" s="4"/>
      <c r="L144" s="4"/>
      <c r="M144" s="4" t="s">
        <v>624</v>
      </c>
      <c r="O144" s="4" t="s">
        <v>621</v>
      </c>
      <c r="P144" s="2" t="str" cm="1">
        <f t="array" ref="P144">CONCATENATE("      .AddAttribute(",Fill(B144,3),", ",QTFunc(C144),", ",QTFunc(D144),", ",QTFunc(E144),", ",F144,", ",G144,", ",H144,", ",I144,", ",QTFunc(K144),", ",QTFunc(L144),", ",QTFunc(M144),", ",QTFunc(O144),   ")")</f>
        <v xml:space="preserve">      .AddAttribute(  6, "DialingNational", "DialingNational", "varchar", 25, 0, false, false, "", "", "AreaCode + REPLACE(REPLACE(CallNumber, ' ', ''), '-', '')", "complete telephone number to be dialed in the national network as computed field")</v>
      </c>
    </row>
    <row r="145" spans="1:16" x14ac:dyDescent="0.45">
      <c r="A145" t="s">
        <v>112</v>
      </c>
      <c r="B145">
        <v>7</v>
      </c>
      <c r="C145" t="s">
        <v>614</v>
      </c>
      <c r="D145" t="s">
        <v>614</v>
      </c>
      <c r="E145" t="s">
        <v>19</v>
      </c>
      <c r="F145">
        <v>30</v>
      </c>
      <c r="G145">
        <v>0</v>
      </c>
      <c r="H145" t="s">
        <v>57</v>
      </c>
      <c r="I145" t="s">
        <v>57</v>
      </c>
      <c r="J145" t="s">
        <v>57</v>
      </c>
      <c r="K145" s="4"/>
      <c r="L145" s="4"/>
      <c r="M145" s="4" t="s">
        <v>825</v>
      </c>
      <c r="O145" s="4" t="s">
        <v>622</v>
      </c>
      <c r="P145" s="2" t="str" cm="1">
        <f t="array" ref="P145">CONCATENATE("      .AddAttribute(",Fill(B145,3),", ",QTFunc(C145),", ",QTFunc(D145),", ",QTFunc(E145),", ",F145,", ",G145,", ",H145,", ",I145,", ",QTFunc(K145),", ",QTFunc(L145),", ",QTFunc(M145),", ",QTFunc(O145),   ")")</f>
        <v xml:space="preserve">      .AddAttribute(  7, "DialingInternational", "DialingInternational", "varchar", 30, 0, false, false, "", "", "[[dbo].[Country_Dialing](Country)+SUBSTRING(AreaCode, 2, LEN(AreaCode))+CallNumber]", "complete telephone number to be dialed in the international network as computed field")</v>
      </c>
    </row>
    <row r="146" spans="1:16" x14ac:dyDescent="0.45">
      <c r="K146" s="4"/>
      <c r="L146" s="4"/>
      <c r="M146" s="4"/>
      <c r="O146" s="4"/>
    </row>
    <row r="147" spans="1:16" x14ac:dyDescent="0.45">
      <c r="A147" t="s">
        <v>142</v>
      </c>
      <c r="B147">
        <v>0</v>
      </c>
      <c r="C147" t="s">
        <v>127</v>
      </c>
      <c r="D147" t="s">
        <v>447</v>
      </c>
      <c r="E147" t="s">
        <v>93</v>
      </c>
      <c r="H147" t="s">
        <v>526</v>
      </c>
      <c r="I147" t="s">
        <v>168</v>
      </c>
      <c r="K147" s="4"/>
      <c r="L147" s="4"/>
      <c r="M147" s="4"/>
      <c r="O147" s="4" t="s">
        <v>236</v>
      </c>
      <c r="P147" s="2" t="str">
        <f>CONCATENATE("   ",$P$1,".AddTable(","""",A147,""", ",CONCATENATE("EMyEntityType::",E147),", """,IF(ISERROR(FIND(".",C147)),"",RIGHT(C147, LEN(C147) - FIND(".",C147))),""", """,IF(ISERROR(FIND(".",C147)),"",LEFT(C147, FIND(".",C147)-1)),""", """,IF(ISERROR(FIND("::",D147)),"",RIGHT(D147, LEN(D147) - FIND("::",D147)-1)),""", """,IF(ISERROR(FIND("::",D147)),"",LEFT(D147, FIND("::",D147)-1)),""", """,H147,""", """,I147,""", """,O147,""")")</f>
        <v xml:space="preserve">   dictionary.AddTable("PhonesTypes", EMyEntityType::range, "PhoneTypes", "dbo", "PhonesTypes", "myCorporate", "System/Corporate", "SQL", "domain / range of values for phone types, this is an extension of the relationship between persons and phone.")</v>
      </c>
    </row>
    <row r="148" spans="1:16" x14ac:dyDescent="0.45">
      <c r="A148" t="s">
        <v>142</v>
      </c>
      <c r="B148">
        <v>1</v>
      </c>
      <c r="C148" t="s">
        <v>133</v>
      </c>
      <c r="D148" t="s">
        <v>133</v>
      </c>
      <c r="E148" t="s">
        <v>20</v>
      </c>
      <c r="F148">
        <v>0</v>
      </c>
      <c r="G148">
        <v>0</v>
      </c>
      <c r="H148" t="s">
        <v>58</v>
      </c>
      <c r="I148" t="s">
        <v>58</v>
      </c>
      <c r="J148" t="s">
        <v>57</v>
      </c>
      <c r="K148" s="4"/>
      <c r="L148" s="4"/>
      <c r="M148" s="4"/>
      <c r="O148" s="4" t="s">
        <v>237</v>
      </c>
      <c r="P148" s="2" t="str" cm="1">
        <f t="array" ref="P148">CONCATENATE("      .AddAttribute(",Fill(B148,3),", ",QTFunc(C148),", ",QTFunc(D148),", ",QTFunc(E148),", ",F148,", ",G148,", ",H148,", ",I148,", ",QTFunc(K148),", ",QTFunc(L148),", ",QTFunc(M148),", ",QTFunc(O148),   ")")</f>
        <v xml:space="preserve">      .AddAttribute(  1, "ID", "ID", "integer", 0, 0, true, true, "", "", "", "unique identification number for a record in this domain with phone types")</v>
      </c>
    </row>
    <row r="149" spans="1:16" x14ac:dyDescent="0.45">
      <c r="A149" t="s">
        <v>142</v>
      </c>
      <c r="B149">
        <v>2</v>
      </c>
      <c r="C149" t="s">
        <v>128</v>
      </c>
      <c r="D149" t="s">
        <v>128</v>
      </c>
      <c r="E149" t="s">
        <v>19</v>
      </c>
      <c r="F149">
        <v>50</v>
      </c>
      <c r="G149">
        <v>0</v>
      </c>
      <c r="H149" t="s">
        <v>58</v>
      </c>
      <c r="I149" t="s">
        <v>57</v>
      </c>
      <c r="J149" t="s">
        <v>58</v>
      </c>
      <c r="K149" s="4"/>
      <c r="L149" s="4"/>
      <c r="M149" s="4"/>
      <c r="O149" s="4" t="s">
        <v>238</v>
      </c>
      <c r="P149" s="2" t="str" cm="1">
        <f t="array" ref="P149">CONCATENATE("      .AddAttribute(",Fill(B149,3),", ",QTFunc(C149),", ",QTFunc(D149),", ",QTFunc(E149),", ",F149,", ",G149,", ",H149,", ",I149,", ",QTFunc(K149),", ",QTFunc(L149),", ",QTFunc(M149),", ",QTFunc(O149),   ")")</f>
        <v xml:space="preserve">      .AddAttribute(  2, "Denotation", "Denotation", "varchar", 50, 0, true, false, "", "", "", "unique description of a phone type entity in the domain, used in selections, comboboxes, … (key canditate)")</v>
      </c>
    </row>
    <row r="150" spans="1:16" x14ac:dyDescent="0.45">
      <c r="A150" t="s">
        <v>142</v>
      </c>
      <c r="B150">
        <v>3</v>
      </c>
      <c r="C150" t="s">
        <v>129</v>
      </c>
      <c r="D150" t="s">
        <v>129</v>
      </c>
      <c r="E150" t="s">
        <v>19</v>
      </c>
      <c r="F150">
        <v>10</v>
      </c>
      <c r="G150">
        <v>0</v>
      </c>
      <c r="H150" t="s">
        <v>57</v>
      </c>
      <c r="I150" t="s">
        <v>57</v>
      </c>
      <c r="J150" t="s">
        <v>57</v>
      </c>
      <c r="K150" s="4"/>
      <c r="L150" s="4"/>
      <c r="M150" s="4"/>
      <c r="O150" s="4" t="s">
        <v>239</v>
      </c>
      <c r="P150" s="2" t="str" cm="1">
        <f t="array" ref="P150">CONCATENATE("      .AddAttribute(",Fill(B150,3),", ",QTFunc(C150),", ",QTFunc(D150),", ",QTFunc(E150),", ",F150,", ",G150,", ",H150,", ",I150,", ",QTFunc(K150),", ",QTFunc(L150),", ",QTFunc(M150),", ",QTFunc(O150),   ")")</f>
        <v xml:space="preserve">      .AddAttribute(  3, "Abbreviation", "Abbreviation", "varchar", 10, 0, false, false, "", "", "", "non-representative abbreviation that can be used for a short advertisement for this phone  type")</v>
      </c>
    </row>
    <row r="151" spans="1:16" x14ac:dyDescent="0.45">
      <c r="A151" t="s">
        <v>142</v>
      </c>
      <c r="B151">
        <v>4</v>
      </c>
      <c r="C151" t="s">
        <v>130</v>
      </c>
      <c r="D151" t="s">
        <v>130</v>
      </c>
      <c r="E151" t="s">
        <v>77</v>
      </c>
      <c r="F151">
        <v>0</v>
      </c>
      <c r="G151">
        <v>0</v>
      </c>
      <c r="H151" t="s">
        <v>57</v>
      </c>
      <c r="I151" t="s">
        <v>57</v>
      </c>
      <c r="J151" t="s">
        <v>57</v>
      </c>
      <c r="K151" s="4"/>
      <c r="L151" s="4"/>
      <c r="M151" s="4"/>
      <c r="O151" s="4" t="s">
        <v>240</v>
      </c>
      <c r="P151" s="2" t="str" cm="1">
        <f t="array" ref="P151">CONCATENATE("      .AddAttribute(",Fill(B151,3),", ",QTFunc(C151),", ",QTFunc(D151),", ",QTFunc(E151),", ",F151,", ",G151,", ",H151,", ",I151,", ",QTFunc(K151),", ",QTFunc(L151),", ",QTFunc(M151),", ",QTFunc(O151),   ")")</f>
        <v xml:space="preserve">      .AddAttribute(  4, "Description", "Description", "text", 0, 0, false, false, "", "", "", "detailed description of these phone  type,this is a self documentation, possible use as hint or to information in the programm")</v>
      </c>
    </row>
    <row r="152" spans="1:16" x14ac:dyDescent="0.45">
      <c r="A152" t="s">
        <v>142</v>
      </c>
      <c r="B152">
        <v>5</v>
      </c>
      <c r="C152" t="s">
        <v>131</v>
      </c>
      <c r="D152" t="s">
        <v>131</v>
      </c>
      <c r="E152" t="s">
        <v>77</v>
      </c>
      <c r="F152">
        <v>0</v>
      </c>
      <c r="G152">
        <v>0</v>
      </c>
      <c r="H152" t="s">
        <v>57</v>
      </c>
      <c r="I152" t="s">
        <v>57</v>
      </c>
      <c r="J152" t="s">
        <v>57</v>
      </c>
      <c r="K152" s="4"/>
      <c r="L152" s="4"/>
      <c r="M152" s="4"/>
      <c r="O152" s="4" t="s">
        <v>661</v>
      </c>
      <c r="P152" s="2" t="str" cm="1">
        <f t="array" ref="P152">CONCATENATE("      .AddAttribute(",Fill(B152,3),", ",QTFunc(C152),", ",QTFunc(D152),", ",QTFunc(E152),", ",F152,", ",G152,", ",H152,", ",I152,", ",QTFunc(K152),", ",QTFunc(L152),", ",QTFunc(M152),", ",QTFunc(O152),   ")")</f>
        <v xml:space="preserve">      .AddAttribute(  5, "Notes", "Notes", "text", 0, 0, false, false, "", "", "", "notes, with additional / free information for this type of phone connection, not used in application")</v>
      </c>
    </row>
    <row r="153" spans="1:16" x14ac:dyDescent="0.45">
      <c r="A153" t="s">
        <v>142</v>
      </c>
      <c r="B153">
        <v>6</v>
      </c>
      <c r="C153" t="s">
        <v>132</v>
      </c>
      <c r="D153" t="s">
        <v>132</v>
      </c>
      <c r="E153" t="s">
        <v>27</v>
      </c>
      <c r="F153">
        <v>0</v>
      </c>
      <c r="G153">
        <v>0</v>
      </c>
      <c r="H153" t="s">
        <v>57</v>
      </c>
      <c r="I153" t="s">
        <v>57</v>
      </c>
      <c r="J153" t="s">
        <v>57</v>
      </c>
      <c r="K153" s="4"/>
      <c r="L153" s="4"/>
      <c r="M153" s="4"/>
      <c r="O153" s="4" t="s">
        <v>241</v>
      </c>
      <c r="P153" s="2" t="str" cm="1">
        <f t="array" ref="P153">CONCATENATE("      .AddAttribute(",Fill(B153,3),", ",QTFunc(C153),", ",QTFunc(D153),", ",QTFunc(E153),", ",F153,", ",G153,", ",H153,", ",I153,", ",QTFunc(K153),", ",QTFunc(L153),", ",QTFunc(M153),", ",QTFunc(O153),   ")")</f>
        <v xml:space="preserve">      .AddAttribute(  6, "UrgentValue", "UrgentValue", "bool", 0, 0, false, false, "", "", "", "boolean value that makes this entity of phone type to a system value (cannot be changed as it is used directly by the program)")</v>
      </c>
    </row>
    <row r="154" spans="1:16" x14ac:dyDescent="0.45">
      <c r="K154" s="4"/>
      <c r="L154" s="4"/>
      <c r="M154" s="4"/>
      <c r="O154" s="4"/>
      <c r="P154" s="2"/>
    </row>
    <row r="155" spans="1:16" x14ac:dyDescent="0.45">
      <c r="A155" t="s">
        <v>652</v>
      </c>
      <c r="B155">
        <v>0</v>
      </c>
      <c r="C155" t="s">
        <v>658</v>
      </c>
      <c r="D155" t="s">
        <v>659</v>
      </c>
      <c r="E155" t="s">
        <v>93</v>
      </c>
      <c r="H155" t="s">
        <v>527</v>
      </c>
      <c r="I155" t="s">
        <v>168</v>
      </c>
      <c r="K155" s="4"/>
      <c r="L155" s="4"/>
      <c r="M155" s="4"/>
      <c r="O155" s="4" t="s">
        <v>705</v>
      </c>
      <c r="P155" s="2" t="str">
        <f>CONCATENATE("   ",$P$1,".AddTable(","""",A155,""", ",CONCATENATE("EMyEntityType::",E155),", """,IF(ISERROR(FIND(".",C155)),"",RIGHT(C155, LEN(C155) - FIND(".",C155))),""", """,IF(ISERROR(FIND(".",C155)),"",LEFT(C155, FIND(".",C155)-1)),""", """,IF(ISERROR(FIND("::",D155)),"",RIGHT(D155, LEN(D155) - FIND("::",D155)-1)),""", """,IF(ISERROR(FIND("::",D155)),"",LEFT(D155, FIND("::",D155)-1)),""", """,H155,""", """,I155,""", """,O155,""")")</f>
        <v xml:space="preserve">   dictionary.AddTable("ReasonDeparture", EMyEntityType::range, "ReasonDeparture", "dbo", "ReasonDeparture", "myHR", "System/HR", "SQL", "domain / range with the reasons of departure of the employee")</v>
      </c>
    </row>
    <row r="156" spans="1:16" x14ac:dyDescent="0.45">
      <c r="A156" t="s">
        <v>652</v>
      </c>
      <c r="B156">
        <v>1</v>
      </c>
      <c r="C156" t="s">
        <v>133</v>
      </c>
      <c r="D156" t="s">
        <v>133</v>
      </c>
      <c r="E156" t="s">
        <v>20</v>
      </c>
      <c r="F156">
        <v>0</v>
      </c>
      <c r="G156">
        <v>0</v>
      </c>
      <c r="H156" t="s">
        <v>58</v>
      </c>
      <c r="I156" t="s">
        <v>58</v>
      </c>
      <c r="J156" t="s">
        <v>57</v>
      </c>
      <c r="K156" s="4"/>
      <c r="L156" s="4"/>
      <c r="M156" s="4"/>
      <c r="O156" s="4" t="s">
        <v>660</v>
      </c>
      <c r="P156" s="2" t="str" cm="1">
        <f t="array" ref="P156">CONCATENATE("      .AddAttribute(",Fill(B156,3),", ",QTFunc(C156),", ",QTFunc(D156),", ",QTFunc(E156),", ",F156,", ",G156,", ",H156,", ",I156,", ",QTFunc(K156),", ",QTFunc(L156),", ",QTFunc(M156),", ",QTFunc(O156),   ")")</f>
        <v xml:space="preserve">      .AddAttribute(  1, "ID", "ID", "integer", 0, 0, true, true, "", "", "", "unique identification number / id of the reason of the departure")</v>
      </c>
    </row>
    <row r="157" spans="1:16" x14ac:dyDescent="0.45">
      <c r="A157" t="s">
        <v>652</v>
      </c>
      <c r="B157">
        <v>2</v>
      </c>
      <c r="C157" t="s">
        <v>128</v>
      </c>
      <c r="D157" t="s">
        <v>128</v>
      </c>
      <c r="E157" t="s">
        <v>19</v>
      </c>
      <c r="F157">
        <v>50</v>
      </c>
      <c r="G157">
        <v>0</v>
      </c>
      <c r="H157" t="s">
        <v>58</v>
      </c>
      <c r="I157" t="s">
        <v>57</v>
      </c>
      <c r="J157" t="s">
        <v>58</v>
      </c>
      <c r="K157" s="4"/>
      <c r="L157" s="4"/>
      <c r="M157" s="4"/>
      <c r="O157" s="4" t="s">
        <v>662</v>
      </c>
      <c r="P157" s="2" t="str" cm="1">
        <f t="array" ref="P157">CONCATENATE("      .AddAttribute(",Fill(B157,3),", ",QTFunc(C157),", ",QTFunc(D157),", ",QTFunc(E157),", ",F157,", ",G157,", ",H157,", ",I157,", ",QTFunc(K157),", ",QTFunc(L157),", ",QTFunc(M157),", ",QTFunc(O157),   ")")</f>
        <v xml:space="preserve">      .AddAttribute(  2, "Denotation", "Denotation", "varchar", 50, 0, true, false, "", "", "", "unique denotation for the reason of the departure")</v>
      </c>
    </row>
    <row r="158" spans="1:16" x14ac:dyDescent="0.45">
      <c r="A158" t="s">
        <v>652</v>
      </c>
      <c r="B158">
        <v>3</v>
      </c>
      <c r="C158" t="s">
        <v>129</v>
      </c>
      <c r="D158" t="s">
        <v>129</v>
      </c>
      <c r="E158" t="s">
        <v>19</v>
      </c>
      <c r="F158">
        <v>10</v>
      </c>
      <c r="G158">
        <v>0</v>
      </c>
      <c r="H158" t="s">
        <v>57</v>
      </c>
      <c r="I158" t="s">
        <v>57</v>
      </c>
      <c r="J158" t="s">
        <v>57</v>
      </c>
      <c r="K158" s="4"/>
      <c r="L158" s="4"/>
      <c r="M158" s="4"/>
      <c r="O158" s="4" t="s">
        <v>664</v>
      </c>
      <c r="P158" s="2" t="str" cm="1">
        <f t="array" ref="P158">CONCATENATE("      .AddAttribute(",Fill(B158,3),", ",QTFunc(C158),", ",QTFunc(D158),", ",QTFunc(E158),", ",F158,", ",G158,", ",H158,", ",I158,", ",QTFunc(K158),", ",QTFunc(L158),", ",QTFunc(M158),", ",QTFunc(O158),   ")")</f>
        <v xml:space="preserve">      .AddAttribute(  3, "Abbreviation", "Abbreviation", "varchar", 10, 0, false, false, "", "", "", "abbreviation for the reason of the departure, used in the application for a compact display")</v>
      </c>
    </row>
    <row r="159" spans="1:16" x14ac:dyDescent="0.45">
      <c r="A159" t="s">
        <v>652</v>
      </c>
      <c r="B159">
        <v>4</v>
      </c>
      <c r="C159" t="s">
        <v>130</v>
      </c>
      <c r="D159" t="s">
        <v>130</v>
      </c>
      <c r="E159" t="s">
        <v>77</v>
      </c>
      <c r="F159">
        <v>0</v>
      </c>
      <c r="G159">
        <v>0</v>
      </c>
      <c r="H159" t="s">
        <v>57</v>
      </c>
      <c r="I159" t="s">
        <v>57</v>
      </c>
      <c r="J159" t="s">
        <v>57</v>
      </c>
      <c r="K159" s="4"/>
      <c r="L159" s="4"/>
      <c r="M159" s="4"/>
      <c r="O159" s="4" t="s">
        <v>663</v>
      </c>
      <c r="P159" s="2" t="str" cm="1">
        <f t="array" ref="P159">CONCATENATE("      .AddAttribute(",Fill(B159,3),", ",QTFunc(C159),", ",QTFunc(D159),", ",QTFunc(E159),", ",F159,", ",G159,", ",H159,", ",I159,", ",QTFunc(K159),", ",QTFunc(L159),", ",QTFunc(M159),", ",QTFunc(O159),   ")")</f>
        <v xml:space="preserve">      .AddAttribute(  4, "Description", "Description", "text", 0, 0, false, false, "", "", "", "description as long text for the reason of the departure, used in the application for detailed informations")</v>
      </c>
    </row>
    <row r="160" spans="1:16" x14ac:dyDescent="0.45">
      <c r="A160" t="s">
        <v>652</v>
      </c>
      <c r="B160">
        <v>5</v>
      </c>
      <c r="C160" t="s">
        <v>131</v>
      </c>
      <c r="D160" t="s">
        <v>131</v>
      </c>
      <c r="E160" t="s">
        <v>77</v>
      </c>
      <c r="F160">
        <v>0</v>
      </c>
      <c r="G160">
        <v>0</v>
      </c>
      <c r="H160" t="s">
        <v>57</v>
      </c>
      <c r="I160" t="s">
        <v>57</v>
      </c>
      <c r="J160" t="s">
        <v>57</v>
      </c>
      <c r="K160" s="4"/>
      <c r="L160" s="4"/>
      <c r="M160" s="4"/>
      <c r="O160" s="4" t="s">
        <v>665</v>
      </c>
      <c r="P160" s="2" t="str" cm="1">
        <f t="array" ref="P160">CONCATENATE("      .AddAttribute(",Fill(B160,3),", ",QTFunc(C160),", ",QTFunc(D160),", ",QTFunc(E160),", ",F160,", ",G160,", ",H160,", ",I160,", ",QTFunc(K160),", ",QTFunc(L160),", ",QTFunc(M160),", ",QTFunc(O160),   ")")</f>
        <v xml:space="preserve">      .AddAttribute(  5, "Notes", "Notes", "text", 0, 0, false, false, "", "", "", "notes, with additional / free information for the reason of the departure, not used in the application")</v>
      </c>
    </row>
    <row r="161" spans="1:16" x14ac:dyDescent="0.45">
      <c r="A161" t="s">
        <v>652</v>
      </c>
      <c r="B161">
        <v>6</v>
      </c>
      <c r="C161" t="s">
        <v>132</v>
      </c>
      <c r="D161" t="s">
        <v>132</v>
      </c>
      <c r="E161" t="s">
        <v>27</v>
      </c>
      <c r="F161">
        <v>0</v>
      </c>
      <c r="G161">
        <v>0</v>
      </c>
      <c r="H161" t="s">
        <v>57</v>
      </c>
      <c r="I161" t="s">
        <v>57</v>
      </c>
      <c r="J161" t="s">
        <v>57</v>
      </c>
      <c r="K161" s="4"/>
      <c r="L161" s="4"/>
      <c r="M161" s="4"/>
      <c r="O161" s="4" t="s">
        <v>666</v>
      </c>
      <c r="P161" s="2" t="str" cm="1">
        <f t="array" ref="P161">CONCATENATE("      .AddAttribute(",Fill(B161,3),", ",QTFunc(C161),", ",QTFunc(D161),", ",QTFunc(E161),", ",F161,", ",G161,", ",H161,", ",I161,", ",QTFunc(K161),", ",QTFunc(L161),", ",QTFunc(M161),", ",QTFunc(O161),   ")")</f>
        <v xml:space="preserve">      .AddAttribute(  6, "UrgentValue", "UrgentValue", "bool", 0, 0, false, false, "", "", "", "boolean value that makes this entity of reason of departure to a system value (cannot be changed as it is used directly by the program)")</v>
      </c>
    </row>
    <row r="162" spans="1:16" x14ac:dyDescent="0.45">
      <c r="K162" s="4"/>
      <c r="L162" s="4"/>
      <c r="M162" s="4"/>
      <c r="O162" s="4"/>
      <c r="P162" s="2"/>
    </row>
    <row r="163" spans="1:16" x14ac:dyDescent="0.45">
      <c r="A163" t="s">
        <v>701</v>
      </c>
      <c r="B163">
        <v>0</v>
      </c>
      <c r="C163" t="s">
        <v>702</v>
      </c>
      <c r="D163" t="s">
        <v>703</v>
      </c>
      <c r="E163" t="s">
        <v>93</v>
      </c>
      <c r="H163" t="s">
        <v>527</v>
      </c>
      <c r="I163" t="s">
        <v>168</v>
      </c>
      <c r="K163" s="4"/>
      <c r="L163" s="4"/>
      <c r="M163" s="4"/>
      <c r="O163" s="4" t="s">
        <v>704</v>
      </c>
      <c r="P163" s="2" t="str">
        <f>CONCATENATE("   ",$P$1,".AddTable(","""",A163,""", ",CONCATENATE("EMyEntityType::",E163),", """,IF(ISERROR(FIND(".",C163)),"",RIGHT(C163, LEN(C163) - FIND(".",C163))),""", """,IF(ISERROR(FIND(".",C163)),"",LEFT(C163, FIND(".",C163)-1)),""", """,IF(ISERROR(FIND("::",D163)),"",RIGHT(D163, LEN(D163) - FIND("::",D163)-1)),""", """,IF(ISERROR(FIND("::",D163)),"",LEFT(D163, FIND("::",D163)-1)),""", """,H163,""", """,I163,""", """,O163,""")")</f>
        <v xml:space="preserve">   dictionary.AddTable("ReasonNonWorking", EMyEntityType::range, "ReasonNonWorking", "dbo", "ReasonNonWorking", "myHR", "System/HR", "SQL", "domain / range with the reasons of non working time / idle time")</v>
      </c>
    </row>
    <row r="164" spans="1:16" x14ac:dyDescent="0.45">
      <c r="A164" t="s">
        <v>701</v>
      </c>
      <c r="B164">
        <v>1</v>
      </c>
      <c r="C164" t="s">
        <v>133</v>
      </c>
      <c r="D164" t="s">
        <v>133</v>
      </c>
      <c r="E164" t="s">
        <v>20</v>
      </c>
      <c r="F164">
        <v>0</v>
      </c>
      <c r="G164">
        <v>0</v>
      </c>
      <c r="H164" t="s">
        <v>58</v>
      </c>
      <c r="I164" t="s">
        <v>58</v>
      </c>
      <c r="J164" t="s">
        <v>57</v>
      </c>
      <c r="K164" s="4"/>
      <c r="L164" s="4"/>
      <c r="M164" s="4"/>
      <c r="O164" s="4" t="s">
        <v>706</v>
      </c>
      <c r="P164" s="2" t="str" cm="1">
        <f t="array" ref="P164">CONCATENATE("      .AddAttribute(",Fill(B164,3),", ",QTFunc(C164),", ",QTFunc(D164),", ",QTFunc(E164),", ",F164,", ",G164,", ",H164,", ",I164,", ",QTFunc(K164),", ",QTFunc(L164),", ",QTFunc(M164),", ",QTFunc(O164),   ")")</f>
        <v xml:space="preserve">      .AddAttribute(  1, "ID", "ID", "integer", 0, 0, true, true, "", "", "", "unique identification number / id of the reason of non working times / idle times")</v>
      </c>
    </row>
    <row r="165" spans="1:16" x14ac:dyDescent="0.45">
      <c r="A165" t="s">
        <v>701</v>
      </c>
      <c r="B165">
        <v>2</v>
      </c>
      <c r="C165" t="s">
        <v>128</v>
      </c>
      <c r="D165" t="s">
        <v>128</v>
      </c>
      <c r="E165" t="s">
        <v>19</v>
      </c>
      <c r="F165">
        <v>50</v>
      </c>
      <c r="G165">
        <v>0</v>
      </c>
      <c r="H165" t="s">
        <v>58</v>
      </c>
      <c r="I165" t="s">
        <v>57</v>
      </c>
      <c r="J165" t="s">
        <v>58</v>
      </c>
      <c r="K165" s="4"/>
      <c r="L165" s="4"/>
      <c r="M165" s="4"/>
      <c r="O165" s="4" t="s">
        <v>707</v>
      </c>
      <c r="P165" s="2" t="str" cm="1">
        <f t="array" ref="P165">CONCATENATE("      .AddAttribute(",Fill(B165,3),", ",QTFunc(C165),", ",QTFunc(D165),", ",QTFunc(E165),", ",F165,", ",G165,", ",H165,", ",I165,", ",QTFunc(K165),", ",QTFunc(L165),", ",QTFunc(M165),", ",QTFunc(O165),   ")")</f>
        <v xml:space="preserve">      .AddAttribute(  2, "Denotation", "Denotation", "varchar", 50, 0, true, false, "", "", "", "unique denotation for the reason of the non working times / idle times")</v>
      </c>
    </row>
    <row r="166" spans="1:16" x14ac:dyDescent="0.45">
      <c r="A166" t="s">
        <v>701</v>
      </c>
      <c r="B166">
        <v>3</v>
      </c>
      <c r="C166" t="s">
        <v>129</v>
      </c>
      <c r="D166" t="s">
        <v>129</v>
      </c>
      <c r="E166" t="s">
        <v>19</v>
      </c>
      <c r="F166">
        <v>10</v>
      </c>
      <c r="G166">
        <v>0</v>
      </c>
      <c r="H166" t="s">
        <v>57</v>
      </c>
      <c r="I166" t="s">
        <v>57</v>
      </c>
      <c r="J166" t="s">
        <v>57</v>
      </c>
      <c r="K166" s="4"/>
      <c r="L166" s="4"/>
      <c r="M166" s="4"/>
      <c r="O166" s="4" t="s">
        <v>708</v>
      </c>
      <c r="P166" s="2" t="str" cm="1">
        <f t="array" ref="P166">CONCATENATE("      .AddAttribute(",Fill(B166,3),", ",QTFunc(C166),", ",QTFunc(D166),", ",QTFunc(E166),", ",F166,", ",G166,", ",H166,", ",I166,", ",QTFunc(K166),", ",QTFunc(L166),", ",QTFunc(M166),", ",QTFunc(O166),   ")")</f>
        <v xml:space="preserve">      .AddAttribute(  3, "Abbreviation", "Abbreviation", "varchar", 10, 0, false, false, "", "", "", "abbreviation for the reason of the non working times / idle times, used in the application for a compact display")</v>
      </c>
    </row>
    <row r="167" spans="1:16" x14ac:dyDescent="0.45">
      <c r="A167" t="s">
        <v>701</v>
      </c>
      <c r="B167">
        <v>4</v>
      </c>
      <c r="C167" t="s">
        <v>130</v>
      </c>
      <c r="D167" t="s">
        <v>130</v>
      </c>
      <c r="E167" t="s">
        <v>77</v>
      </c>
      <c r="F167">
        <v>0</v>
      </c>
      <c r="G167">
        <v>0</v>
      </c>
      <c r="H167" t="s">
        <v>57</v>
      </c>
      <c r="I167" t="s">
        <v>57</v>
      </c>
      <c r="J167" t="s">
        <v>57</v>
      </c>
      <c r="K167" s="4"/>
      <c r="L167" s="4"/>
      <c r="M167" s="4"/>
      <c r="O167" s="4" t="s">
        <v>709</v>
      </c>
      <c r="P167" s="2" t="str" cm="1">
        <f t="array" ref="P167">CONCATENATE("      .AddAttribute(",Fill(B167,3),", ",QTFunc(C167),", ",QTFunc(D167),", ",QTFunc(E167),", ",F167,", ",G167,", ",H167,", ",I167,", ",QTFunc(K167),", ",QTFunc(L167),", ",QTFunc(M167),", ",QTFunc(O167),   ")")</f>
        <v xml:space="preserve">      .AddAttribute(  4, "Description", "Description", "text", 0, 0, false, false, "", "", "", "description as long text for the reason of the non working times / idle times, used in the application for detailed informations")</v>
      </c>
    </row>
    <row r="168" spans="1:16" x14ac:dyDescent="0.45">
      <c r="A168" t="s">
        <v>701</v>
      </c>
      <c r="B168">
        <v>5</v>
      </c>
      <c r="C168" t="s">
        <v>131</v>
      </c>
      <c r="D168" t="s">
        <v>131</v>
      </c>
      <c r="E168" t="s">
        <v>77</v>
      </c>
      <c r="F168">
        <v>0</v>
      </c>
      <c r="G168">
        <v>0</v>
      </c>
      <c r="H168" t="s">
        <v>57</v>
      </c>
      <c r="I168" t="s">
        <v>57</v>
      </c>
      <c r="J168" t="s">
        <v>57</v>
      </c>
      <c r="K168" s="4"/>
      <c r="L168" s="4"/>
      <c r="M168" s="4"/>
      <c r="O168" s="4" t="s">
        <v>710</v>
      </c>
      <c r="P168" s="2" t="str" cm="1">
        <f t="array" ref="P168">CONCATENATE("      .AddAttribute(",Fill(B168,3),", ",QTFunc(C168),", ",QTFunc(D168),", ",QTFunc(E168),", ",F168,", ",G168,", ",H168,", ",I168,", ",QTFunc(K168),", ",QTFunc(L168),", ",QTFunc(M168),", ",QTFunc(O168),   ")")</f>
        <v xml:space="preserve">      .AddAttribute(  5, "Notes", "Notes", "text", 0, 0, false, false, "", "", "", "notes, with additional / free information for the reason of the non working times / idle times, not used in the application")</v>
      </c>
    </row>
    <row r="169" spans="1:16" x14ac:dyDescent="0.45">
      <c r="A169" t="s">
        <v>701</v>
      </c>
      <c r="B169">
        <v>6</v>
      </c>
      <c r="C169" t="s">
        <v>132</v>
      </c>
      <c r="D169" t="s">
        <v>132</v>
      </c>
      <c r="E169" t="s">
        <v>27</v>
      </c>
      <c r="F169">
        <v>0</v>
      </c>
      <c r="G169">
        <v>0</v>
      </c>
      <c r="H169" t="s">
        <v>57</v>
      </c>
      <c r="I169" t="s">
        <v>57</v>
      </c>
      <c r="J169" t="s">
        <v>57</v>
      </c>
      <c r="K169" s="4"/>
      <c r="L169" s="4"/>
      <c r="M169" s="4"/>
      <c r="O169" s="4" t="s">
        <v>666</v>
      </c>
      <c r="P169" s="2" t="str" cm="1">
        <f t="array" ref="P169">CONCATENATE("      .AddAttribute(",Fill(B169,3),", ",QTFunc(C169),", ",QTFunc(D169),", ",QTFunc(E169),", ",F169,", ",G169,", ",H169,", ",I169,", ",QTFunc(K169),", ",QTFunc(L169),", ",QTFunc(M169),", ",QTFunc(O169),   ")")</f>
        <v xml:space="preserve">      .AddAttribute(  6, "UrgentValue", "UrgentValue", "bool", 0, 0, false, false, "", "", "", "boolean value that makes this entity of reason of departure to a system value (cannot be changed as it is used directly by the program)")</v>
      </c>
    </row>
    <row r="170" spans="1:16" x14ac:dyDescent="0.45">
      <c r="K170" s="4"/>
      <c r="L170" s="4"/>
      <c r="M170" s="4"/>
      <c r="O170" s="4"/>
      <c r="P170" s="2"/>
    </row>
    <row r="171" spans="1:16" x14ac:dyDescent="0.45">
      <c r="A171" t="s">
        <v>765</v>
      </c>
      <c r="B171">
        <v>0</v>
      </c>
      <c r="C171" t="s">
        <v>768</v>
      </c>
      <c r="D171" t="s">
        <v>767</v>
      </c>
      <c r="E171" t="s">
        <v>93</v>
      </c>
      <c r="H171" t="s">
        <v>527</v>
      </c>
      <c r="I171" t="s">
        <v>168</v>
      </c>
      <c r="K171" s="4"/>
      <c r="L171" s="4"/>
      <c r="M171" s="4"/>
      <c r="O171" s="4" t="s">
        <v>766</v>
      </c>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dictionary.AddTable("SalaryBase", EMyEntityType::range, "SalaryBase", "dbo", "SalaryBase", "myHR", "System/HR", "SQL", "fix domain for the calculation, this value determine the base for the salary, used in table SalaryType")</v>
      </c>
    </row>
    <row r="172" spans="1:16" x14ac:dyDescent="0.45">
      <c r="A172" t="s">
        <v>765</v>
      </c>
      <c r="B172">
        <v>1</v>
      </c>
      <c r="C172" t="s">
        <v>133</v>
      </c>
      <c r="D172" t="s">
        <v>133</v>
      </c>
      <c r="E172" t="s">
        <v>20</v>
      </c>
      <c r="F172">
        <v>0</v>
      </c>
      <c r="G172">
        <v>0</v>
      </c>
      <c r="H172" t="s">
        <v>58</v>
      </c>
      <c r="I172" t="s">
        <v>58</v>
      </c>
      <c r="J172" t="s">
        <v>57</v>
      </c>
      <c r="K172" s="4"/>
      <c r="L172" s="4"/>
      <c r="M172" s="4"/>
      <c r="O172" s="4" t="s">
        <v>769</v>
      </c>
      <c r="P172" s="2" t="str" cm="1">
        <f t="array" ref="P172">CONCATENATE("      .AddAttribute(",Fill(B172,3),", ",QTFunc(C172),", ",QTFunc(D172),", ",QTFunc(E172),", ",F172,", ",G172,", ",H172,", ",I172,", ",QTFunc(K172),", ",QTFunc(L172),", ",QTFunc(M172),", ",QTFunc(O172),   ")")</f>
        <v xml:space="preserve">      .AddAttribute(  1, "ID", "ID", "integer", 0, 0, true, true, "", "", "", "ID for this Base of Salary (0 = free, 1 = hourly, 2 = dayly, 3 = monthly). Extentable via model, needed for calculations")</v>
      </c>
    </row>
    <row r="173" spans="1:16" x14ac:dyDescent="0.45">
      <c r="A173" t="s">
        <v>765</v>
      </c>
      <c r="B173">
        <v>2</v>
      </c>
      <c r="C173" t="s">
        <v>128</v>
      </c>
      <c r="D173" t="s">
        <v>128</v>
      </c>
      <c r="E173" t="s">
        <v>19</v>
      </c>
      <c r="F173">
        <v>50</v>
      </c>
      <c r="G173">
        <v>0</v>
      </c>
      <c r="H173" t="s">
        <v>58</v>
      </c>
      <c r="I173" t="s">
        <v>57</v>
      </c>
      <c r="J173" t="s">
        <v>58</v>
      </c>
      <c r="K173" s="4"/>
      <c r="L173" s="4"/>
      <c r="M173" s="4"/>
      <c r="O173" s="4" t="s">
        <v>770</v>
      </c>
      <c r="P173" s="2" t="str" cm="1">
        <f t="array" ref="P173">CONCATENATE("      .AddAttribute(",Fill(B173,3),", ",QTFunc(C173),", ",QTFunc(D173),", ",QTFunc(E173),", ",F173,", ",G173,", ",H173,", ",I173,", ",QTFunc(K173),", ",QTFunc(L173),", ",QTFunc(M173),", ",QTFunc(O173),   ")")</f>
        <v xml:space="preserve">      .AddAttribute(  2, "Denotation", "Denotation", "varchar", 50, 0, true, false, "", "", "", "unique description / donation for this base of salary. The algorithm use the id , the text is for display or select")</v>
      </c>
    </row>
    <row r="174" spans="1:16" x14ac:dyDescent="0.45">
      <c r="A174" t="s">
        <v>765</v>
      </c>
      <c r="B174">
        <v>3</v>
      </c>
      <c r="C174" t="s">
        <v>129</v>
      </c>
      <c r="D174" t="s">
        <v>129</v>
      </c>
      <c r="E174" t="s">
        <v>19</v>
      </c>
      <c r="F174">
        <v>10</v>
      </c>
      <c r="G174">
        <v>0</v>
      </c>
      <c r="H174" t="s">
        <v>57</v>
      </c>
      <c r="I174" t="s">
        <v>57</v>
      </c>
      <c r="J174" t="s">
        <v>57</v>
      </c>
      <c r="K174" s="4"/>
      <c r="L174" s="4"/>
      <c r="M174" s="4"/>
      <c r="O174" s="4" t="s">
        <v>771</v>
      </c>
      <c r="P174" s="2" t="str" cm="1">
        <f t="array" ref="P174">CONCATENATE("      .AddAttribute(",Fill(B174,3),", ",QTFunc(C174),", ",QTFunc(D174),", ",QTFunc(E174),", ",F174,", ",G174,", ",H174,", ",I174,", ",QTFunc(K174),", ",QTFunc(L174),", ",QTFunc(M174),", ",QTFunc(O174),   ")")</f>
        <v xml:space="preserve">      .AddAttribute(  3, "Abbreviation", "Abbreviation", "varchar", 10, 0, false, false, "", "", "", "unique abbreviation for this base of salary. The algorithm use the id , the text is for display or select")</v>
      </c>
    </row>
    <row r="175" spans="1:16" x14ac:dyDescent="0.45">
      <c r="A175" t="s">
        <v>765</v>
      </c>
      <c r="B175">
        <v>4</v>
      </c>
      <c r="C175" t="s">
        <v>130</v>
      </c>
      <c r="D175" t="s">
        <v>130</v>
      </c>
      <c r="E175" t="s">
        <v>77</v>
      </c>
      <c r="F175">
        <v>0</v>
      </c>
      <c r="G175">
        <v>0</v>
      </c>
      <c r="H175" t="s">
        <v>57</v>
      </c>
      <c r="I175" t="s">
        <v>57</v>
      </c>
      <c r="J175" t="s">
        <v>57</v>
      </c>
      <c r="K175" s="4"/>
      <c r="L175" s="4"/>
      <c r="M175" s="4"/>
      <c r="O175" s="4" t="s">
        <v>772</v>
      </c>
      <c r="P175" s="2" t="str" cm="1">
        <f t="array" ref="P175">CONCATENATE("      .AddAttribute(",Fill(B175,3),", ",QTFunc(C175),", ",QTFunc(D175),", ",QTFunc(E175),", ",F175,", ",G175,", ",H175,", ",I175,", ",QTFunc(K175),", ",QTFunc(L175),", ",QTFunc(M175),", ",QTFunc(O175),   ")")</f>
        <v xml:space="preserve">      .AddAttribute(  4, "Description", "Description", "text", 0, 0, false, false, "", "", "", "a longer description for this base to use as hint or for display")</v>
      </c>
    </row>
    <row r="176" spans="1:16" x14ac:dyDescent="0.45">
      <c r="A176" t="s">
        <v>765</v>
      </c>
      <c r="B176">
        <v>5</v>
      </c>
      <c r="C176" t="s">
        <v>132</v>
      </c>
      <c r="D176" t="s">
        <v>132</v>
      </c>
      <c r="E176" t="s">
        <v>27</v>
      </c>
      <c r="F176">
        <v>0</v>
      </c>
      <c r="G176">
        <v>0</v>
      </c>
      <c r="H176" t="s">
        <v>57</v>
      </c>
      <c r="I176" t="s">
        <v>57</v>
      </c>
      <c r="J176" t="s">
        <v>57</v>
      </c>
      <c r="K176" s="4"/>
      <c r="L176" s="4"/>
      <c r="M176" s="4"/>
      <c r="O176" s="4"/>
      <c r="P176" s="2" t="str" cm="1">
        <f t="array" ref="P176">CONCATENATE("      .AddAttribute(",Fill(B176,3),", ",QTFunc(C176),", ",QTFunc(D176),", ",QTFunc(E176),", ",F176,", ",G176,", ",H176,", ",I176,", ",QTFunc(K176),", ",QTFunc(L176),", ",QTFunc(M176),", ",QTFunc(O176),   ")")</f>
        <v xml:space="preserve">      .AddAttribute(  5, "UrgentValue", "UrgentValue", "bool", 0, 0, false, false, "", "", "", "")</v>
      </c>
    </row>
    <row r="177" spans="1:16" x14ac:dyDescent="0.45">
      <c r="K177" s="4"/>
      <c r="L177" s="4"/>
      <c r="M177" s="4"/>
      <c r="O177" s="4"/>
      <c r="P177" s="2"/>
    </row>
    <row r="178" spans="1:16" x14ac:dyDescent="0.45">
      <c r="A178" t="s">
        <v>761</v>
      </c>
      <c r="B178">
        <v>0</v>
      </c>
      <c r="C178" t="s">
        <v>762</v>
      </c>
      <c r="D178" t="s">
        <v>763</v>
      </c>
      <c r="E178" t="s">
        <v>93</v>
      </c>
      <c r="H178" t="s">
        <v>527</v>
      </c>
      <c r="I178" t="s">
        <v>168</v>
      </c>
      <c r="K178" s="4"/>
      <c r="L178" s="4"/>
      <c r="M178" s="4"/>
      <c r="O178" s="4" t="s">
        <v>764</v>
      </c>
      <c r="P178" s="2" t="str">
        <f>CONCATENATE("   ",$P$1,".AddTable(","""",A178,""", ",CONCATENATE("EMyEntityType::",E178),", """,IF(ISERROR(FIND(".",C178)),"",RIGHT(C178, LEN(C178) - FIND(".",C178))),""", """,IF(ISERROR(FIND(".",C178)),"",LEFT(C178, FIND(".",C178)-1)),""", """,IF(ISERROR(FIND("::",D178)),"",RIGHT(D178, LEN(D178) - FIND("::",D178)-1)),""", """,IF(ISERROR(FIND("::",D178)),"",LEFT(D178, FIND("::",D178)-1)),""", """,H178,""", """,I178,""", """,O178,""")")</f>
        <v xml:space="preserve">   dictionary.AddTable("SalaryType", EMyEntityType::range, "SalaryType", "dbo", "SalaryType", "myHR", "System/HR", "SQL", "kind of salary as range value and base for calculations (flix, bonus, hourly, dayly, monthly, …)")</v>
      </c>
    </row>
    <row r="179" spans="1:16" x14ac:dyDescent="0.45">
      <c r="A179" t="s">
        <v>761</v>
      </c>
      <c r="B179">
        <v>1</v>
      </c>
      <c r="C179" t="s">
        <v>133</v>
      </c>
      <c r="D179" t="s">
        <v>133</v>
      </c>
      <c r="E179" t="s">
        <v>20</v>
      </c>
      <c r="F179">
        <v>0</v>
      </c>
      <c r="G179">
        <v>0</v>
      </c>
      <c r="H179" t="s">
        <v>58</v>
      </c>
      <c r="I179" t="s">
        <v>58</v>
      </c>
      <c r="J179" t="s">
        <v>57</v>
      </c>
      <c r="K179" s="4"/>
      <c r="L179" s="4"/>
      <c r="M179" s="4"/>
      <c r="O179" s="4"/>
      <c r="P179" s="2" t="str" cm="1">
        <f t="array" ref="P179">CONCATENATE("      .AddAttribute(",Fill(B179,3),", ",QTFunc(C179),", ",QTFunc(D179),", ",QTFunc(E179),", ",F179,", ",G179,", ",H179,", ",I179,", ",QTFunc(K179),", ",QTFunc(L179),", ",QTFunc(M179),", ",QTFunc(O179),   ")")</f>
        <v xml:space="preserve">      .AddAttribute(  1, "ID", "ID", "integer", 0, 0, true, true, "", "", "", "")</v>
      </c>
    </row>
    <row r="180" spans="1:16" x14ac:dyDescent="0.45">
      <c r="A180" t="s">
        <v>761</v>
      </c>
      <c r="B180">
        <v>2</v>
      </c>
      <c r="C180" t="s">
        <v>128</v>
      </c>
      <c r="D180" t="s">
        <v>128</v>
      </c>
      <c r="E180" t="s">
        <v>19</v>
      </c>
      <c r="F180">
        <v>50</v>
      </c>
      <c r="G180">
        <v>0</v>
      </c>
      <c r="H180" t="s">
        <v>58</v>
      </c>
      <c r="I180" t="s">
        <v>57</v>
      </c>
      <c r="J180" t="s">
        <v>58</v>
      </c>
      <c r="K180" s="4"/>
      <c r="L180" s="4"/>
      <c r="M180" s="4"/>
      <c r="O180" s="4"/>
      <c r="P180" s="2" t="str" cm="1">
        <f t="array" ref="P180">CONCATENATE("      .AddAttribute(",Fill(B180,3),", ",QTFunc(C180),", ",QTFunc(D180),", ",QTFunc(E180),", ",F180,", ",G180,", ",H180,", ",I180,", ",QTFunc(K180),", ",QTFunc(L180),", ",QTFunc(M180),", ",QTFunc(O180),   ")")</f>
        <v xml:space="preserve">      .AddAttribute(  2, "Denotation", "Denotation", "varchar", 50, 0, true, false, "", "", "", "")</v>
      </c>
    </row>
    <row r="181" spans="1:16" x14ac:dyDescent="0.45">
      <c r="A181" t="s">
        <v>761</v>
      </c>
      <c r="B181">
        <v>3</v>
      </c>
      <c r="C181" t="s">
        <v>129</v>
      </c>
      <c r="D181" t="s">
        <v>129</v>
      </c>
      <c r="E181" t="s">
        <v>19</v>
      </c>
      <c r="F181">
        <v>10</v>
      </c>
      <c r="G181">
        <v>0</v>
      </c>
      <c r="H181" t="s">
        <v>57</v>
      </c>
      <c r="I181" t="s">
        <v>57</v>
      </c>
      <c r="J181" t="s">
        <v>57</v>
      </c>
      <c r="K181" s="4"/>
      <c r="L181" s="4"/>
      <c r="M181" s="4"/>
      <c r="O181" s="4"/>
      <c r="P181" s="2" t="str" cm="1">
        <f t="array" ref="P181">CONCATENATE("      .AddAttribute(",Fill(B181,3),", ",QTFunc(C181),", ",QTFunc(D181),", ",QTFunc(E181),", ",F181,", ",G181,", ",H181,", ",I181,", ",QTFunc(K181),", ",QTFunc(L181),", ",QTFunc(M181),", ",QTFunc(O181),   ")")</f>
        <v xml:space="preserve">      .AddAttribute(  3, "Abbreviation", "Abbreviation", "varchar", 10, 0, false, false, "", "", "", "")</v>
      </c>
    </row>
    <row r="182" spans="1:16" x14ac:dyDescent="0.45">
      <c r="A182" t="s">
        <v>761</v>
      </c>
      <c r="B182">
        <v>4</v>
      </c>
      <c r="C182" t="s">
        <v>130</v>
      </c>
      <c r="D182" t="s">
        <v>130</v>
      </c>
      <c r="E182" t="s">
        <v>77</v>
      </c>
      <c r="F182">
        <v>0</v>
      </c>
      <c r="G182">
        <v>0</v>
      </c>
      <c r="H182" t="s">
        <v>57</v>
      </c>
      <c r="I182" t="s">
        <v>57</v>
      </c>
      <c r="J182" t="s">
        <v>57</v>
      </c>
      <c r="K182" s="4"/>
      <c r="L182" s="4"/>
      <c r="M182" s="4"/>
      <c r="O182" s="4"/>
      <c r="P182" s="2" t="str" cm="1">
        <f t="array" ref="P182">CONCATENATE("      .AddAttribute(",Fill(B182,3),", ",QTFunc(C182),", ",QTFunc(D182),", ",QTFunc(E182),", ",F182,", ",G182,", ",H182,", ",I182,", ",QTFunc(K182),", ",QTFunc(L182),", ",QTFunc(M182),", ",QTFunc(O182),   ")")</f>
        <v xml:space="preserve">      .AddAttribute(  4, "Description", "Description", "text", 0, 0, false, false, "", "", "", "")</v>
      </c>
    </row>
    <row r="183" spans="1:16" x14ac:dyDescent="0.45">
      <c r="A183" t="s">
        <v>761</v>
      </c>
      <c r="B183">
        <v>5</v>
      </c>
      <c r="C183" t="s">
        <v>765</v>
      </c>
      <c r="D183" t="s">
        <v>765</v>
      </c>
      <c r="E183" t="s">
        <v>20</v>
      </c>
      <c r="F183">
        <v>0</v>
      </c>
      <c r="G183">
        <v>0</v>
      </c>
      <c r="H183" t="s">
        <v>57</v>
      </c>
      <c r="I183" t="s">
        <v>57</v>
      </c>
      <c r="J183" t="s">
        <v>57</v>
      </c>
      <c r="K183" s="4"/>
      <c r="L183" s="4"/>
      <c r="M183" s="4"/>
      <c r="O183" s="4"/>
      <c r="P183" s="2" t="str" cm="1">
        <f t="array" ref="P183">CONCATENATE("      .AddAttribute(",Fill(B183,3),", ",QTFunc(C183),", ",QTFunc(D183),", ",QTFunc(E183),", ",F183,", ",G183,", ",H183,", ",I183,", ",QTFunc(K183),", ",QTFunc(L183),", ",QTFunc(M183),", ",QTFunc(O183),   ")")</f>
        <v xml:space="preserve">      .AddAttribute(  5, "SalaryBase", "SalaryBase", "integer", 0, 0, false, false, "", "", "", "")</v>
      </c>
    </row>
    <row r="184" spans="1:16" x14ac:dyDescent="0.45">
      <c r="A184" t="s">
        <v>761</v>
      </c>
      <c r="B184">
        <v>6</v>
      </c>
      <c r="C184" t="s">
        <v>132</v>
      </c>
      <c r="D184" t="s">
        <v>132</v>
      </c>
      <c r="E184" t="s">
        <v>27</v>
      </c>
      <c r="F184">
        <v>0</v>
      </c>
      <c r="G184">
        <v>0</v>
      </c>
      <c r="H184" t="s">
        <v>57</v>
      </c>
      <c r="I184" t="s">
        <v>57</v>
      </c>
      <c r="J184" t="s">
        <v>57</v>
      </c>
      <c r="K184" s="4"/>
      <c r="L184" s="4"/>
      <c r="M184" s="4"/>
      <c r="O184" s="4"/>
      <c r="P184" s="2" t="str" cm="1">
        <f t="array" ref="P184">CONCATENATE("      .AddAttribute(",Fill(B184,3),", ",QTFunc(C184),", ",QTFunc(D184),", ",QTFunc(E184),", ",F184,", ",G184,", ",H184,", ",I184,", ",QTFunc(K184),", ",QTFunc(L184),", ",QTFunc(M184),", ",QTFunc(O184),   ")")</f>
        <v xml:space="preserve">      .AddAttribute(  6, "UrgentValue", "UrgentValue", "bool", 0, 0, false, false, "", "", "", "")</v>
      </c>
    </row>
    <row r="185" spans="1:16" x14ac:dyDescent="0.45">
      <c r="K185" s="4"/>
      <c r="L185" s="4"/>
      <c r="M185" s="4"/>
      <c r="O185" s="4"/>
      <c r="P185" s="2"/>
    </row>
    <row r="186" spans="1:16" x14ac:dyDescent="0.45">
      <c r="A186" t="s">
        <v>302</v>
      </c>
      <c r="B186">
        <v>0</v>
      </c>
      <c r="C186" t="s">
        <v>333</v>
      </c>
      <c r="D186" t="s">
        <v>384</v>
      </c>
      <c r="E186" t="s">
        <v>166</v>
      </c>
      <c r="H186" t="s">
        <v>527</v>
      </c>
      <c r="I186" t="s">
        <v>168</v>
      </c>
      <c r="K186" s="4"/>
      <c r="L186" s="4"/>
      <c r="M186" s="4"/>
      <c r="O186" s="4" t="s">
        <v>505</v>
      </c>
      <c r="P186" s="2" t="str">
        <f>CONCATENATE("   ",$P$1,".AddTable(","""",A186,""", ",CONCATENATE("EMyEntityType::",E186),", """,IF(ISERROR(FIND(".",C186)),"",RIGHT(C186, LEN(C186) - FIND(".",C186))),""", """,IF(ISERROR(FIND(".",C186)),"",LEFT(C186, FIND(".",C186)-1)),""", """,IF(ISERROR(FIND("::",D186)),"",RIGHT(D186, LEN(D186) - FIND("::",D186)-1)),""", """,IF(ISERROR(FIND("::",D186)),"",LEFT(D186, FIND("::",D186)-1)),""", """,H186,""", """,I186,""", """,O186,""")")</f>
        <v xml:space="preserve">   dictionary.AddTable("TaxClasses", EMyEntityType::table, "TaxClasses", "dbo", "TaxClasses", "myHR", "System/HR", "SQL", "tax class in germany to use it with employees (not a range, but very similar)")</v>
      </c>
    </row>
    <row r="187" spans="1:16" x14ac:dyDescent="0.45">
      <c r="A187" t="s">
        <v>302</v>
      </c>
      <c r="B187">
        <v>1</v>
      </c>
      <c r="C187" t="s">
        <v>133</v>
      </c>
      <c r="D187" t="s">
        <v>133</v>
      </c>
      <c r="E187" t="s">
        <v>20</v>
      </c>
      <c r="F187">
        <v>0</v>
      </c>
      <c r="G187">
        <v>0</v>
      </c>
      <c r="H187" t="s">
        <v>58</v>
      </c>
      <c r="I187" t="s">
        <v>58</v>
      </c>
      <c r="J187" t="s">
        <v>57</v>
      </c>
      <c r="K187" s="4"/>
      <c r="L187" s="4"/>
      <c r="M187" s="4"/>
      <c r="O187" s="4" t="s">
        <v>509</v>
      </c>
      <c r="P187" s="2" t="str" cm="1">
        <f t="array" ref="P187">CONCATENATE("      .AddAttribute(",Fill(B187,3),", ",QTFunc(C187),", ",QTFunc(D187),", ",QTFunc(E187),", ",F187,", ",G187,", ",H187,", ",I187,", ",QTFunc(K187),", ",QTFunc(L187),", ",QTFunc(M187),", ",QTFunc(O187),   ")")</f>
        <v xml:space="preserve">      .AddAttribute(  1, "ID", "ID", "integer", 0, 0, true, true, "", "", "", "unique identification number for a record in this domain with tax classes, used as key and attribute for relationships")</v>
      </c>
    </row>
    <row r="188" spans="1:16" x14ac:dyDescent="0.45">
      <c r="A188" t="s">
        <v>302</v>
      </c>
      <c r="B188">
        <v>2</v>
      </c>
      <c r="C188" t="s">
        <v>128</v>
      </c>
      <c r="D188" t="s">
        <v>128</v>
      </c>
      <c r="E188" t="s">
        <v>19</v>
      </c>
      <c r="F188">
        <v>50</v>
      </c>
      <c r="G188">
        <v>0</v>
      </c>
      <c r="H188" t="s">
        <v>58</v>
      </c>
      <c r="I188" t="s">
        <v>57</v>
      </c>
      <c r="J188" t="s">
        <v>58</v>
      </c>
      <c r="K188" s="4"/>
      <c r="L188" s="4"/>
      <c r="M188" s="4"/>
      <c r="O188" s="4" t="s">
        <v>745</v>
      </c>
      <c r="P188" s="2" t="str" cm="1">
        <f t="array" ref="P188">CONCATENATE("      .AddAttribute(",Fill(B188,3),", ",QTFunc(C188),", ",QTFunc(D188),", ",QTFunc(E188),", ",F188,", ",G188,", ",H188,", ",I188,", ",QTFunc(K188),", ",QTFunc(L188),", ",QTFunc(M188),", ",QTFunc(O188),   ")")</f>
        <v xml:space="preserve">      .AddAttribute(  2, "Denotation", "Denotation", "varchar", 50, 0, true, false, "", "", "", "unique denotation for a record in this domain with tax class types, used in the programm to indentify this tax class, as selection in comboboxes and such")</v>
      </c>
    </row>
    <row r="189" spans="1:16" x14ac:dyDescent="0.45">
      <c r="A189" t="s">
        <v>302</v>
      </c>
      <c r="B189">
        <v>3</v>
      </c>
      <c r="C189" t="s">
        <v>129</v>
      </c>
      <c r="D189" t="s">
        <v>129</v>
      </c>
      <c r="E189" t="s">
        <v>19</v>
      </c>
      <c r="F189">
        <v>10</v>
      </c>
      <c r="G189">
        <v>0</v>
      </c>
      <c r="H189" t="s">
        <v>57</v>
      </c>
      <c r="I189" t="s">
        <v>57</v>
      </c>
      <c r="J189" t="s">
        <v>57</v>
      </c>
      <c r="K189" s="4"/>
      <c r="L189" s="4"/>
      <c r="M189" s="4"/>
      <c r="O189" s="4" t="s">
        <v>506</v>
      </c>
      <c r="P189" s="2" t="str" cm="1">
        <f t="array" ref="P189">CONCATENATE("      .AddAttribute(",Fill(B189,3),", ",QTFunc(C189),", ",QTFunc(D189),", ",QTFunc(E189),", ",F189,", ",G189,", ",H189,", ",I189,", ",QTFunc(K189),", ",QTFunc(L189),", ",QTFunc(M189),", ",QTFunc(O189),   ")")</f>
        <v xml:space="preserve">      .AddAttribute(  3, "Abbreviation", "Abbreviation", "varchar", 10, 0, false, false, "", "", "", "unique abbreviation of a tax class entity in the domain, used in overviews and reports")</v>
      </c>
    </row>
    <row r="190" spans="1:16" x14ac:dyDescent="0.45">
      <c r="A190" t="s">
        <v>302</v>
      </c>
      <c r="B190">
        <v>4</v>
      </c>
      <c r="C190" t="s">
        <v>130</v>
      </c>
      <c r="D190" t="s">
        <v>130</v>
      </c>
      <c r="E190" t="s">
        <v>77</v>
      </c>
      <c r="F190">
        <v>0</v>
      </c>
      <c r="G190">
        <v>0</v>
      </c>
      <c r="H190" t="s">
        <v>57</v>
      </c>
      <c r="I190" t="s">
        <v>57</v>
      </c>
      <c r="J190" t="s">
        <v>57</v>
      </c>
      <c r="K190" s="4"/>
      <c r="L190" s="4"/>
      <c r="M190" s="4"/>
      <c r="O190" s="4" t="s">
        <v>508</v>
      </c>
      <c r="P190" s="2" t="str" cm="1">
        <f t="array" ref="P190">CONCATENATE("      .AddAttribute(",Fill(B190,3),", ",QTFunc(C190),", ",QTFunc(D190),", ",QTFunc(E190),", ",F190,", ",G190,", ",H190,", ",I190,", ",QTFunc(K190),", ",QTFunc(L190),", ",QTFunc(M190),", ",QTFunc(O190),   ")")</f>
        <v xml:space="preserve">      .AddAttribute(  4, "Description", "Description", "text", 0, 0, false, false, "", "", "", "description for this tax class, used for the program")</v>
      </c>
    </row>
    <row r="191" spans="1:16" x14ac:dyDescent="0.45">
      <c r="A191" t="s">
        <v>302</v>
      </c>
      <c r="B191">
        <v>5</v>
      </c>
      <c r="C191" t="s">
        <v>176</v>
      </c>
      <c r="D191" t="s">
        <v>176</v>
      </c>
      <c r="E191" t="s">
        <v>27</v>
      </c>
      <c r="F191">
        <v>0</v>
      </c>
      <c r="G191">
        <v>0</v>
      </c>
      <c r="H191" t="s">
        <v>58</v>
      </c>
      <c r="I191" t="s">
        <v>57</v>
      </c>
      <c r="J191" t="s">
        <v>57</v>
      </c>
      <c r="K191" s="4"/>
      <c r="L191" s="4"/>
      <c r="M191" s="4"/>
      <c r="O191" s="4" t="s">
        <v>507</v>
      </c>
      <c r="P191" s="2" t="str" cm="1">
        <f t="array" ref="P191">CONCATENATE("      .AddAttribute(",Fill(B191,3),", ",QTFunc(C191),", ",QTFunc(D191),", ",QTFunc(E191),", ",F191,", ",G191,", ",H191,", ",I191,", ",QTFunc(K191),", ",QTFunc(L191),", ",QTFunc(M191),", ",QTFunc(O191),   ")")</f>
        <v xml:space="preserve">      .AddAttribute(  5, "Coupled", "Coupled", "bool", 0, 0, true, false, "", "", "", "Indicator whether this tax class applies to married couples or registered civil partnerships")</v>
      </c>
    </row>
    <row r="192" spans="1:16" x14ac:dyDescent="0.45">
      <c r="A192" t="s">
        <v>302</v>
      </c>
      <c r="B192">
        <v>6</v>
      </c>
      <c r="C192" t="s">
        <v>132</v>
      </c>
      <c r="D192" t="s">
        <v>132</v>
      </c>
      <c r="E192" t="s">
        <v>27</v>
      </c>
      <c r="F192">
        <v>0</v>
      </c>
      <c r="G192">
        <v>0</v>
      </c>
      <c r="H192" t="s">
        <v>57</v>
      </c>
      <c r="I192" t="s">
        <v>57</v>
      </c>
      <c r="J192" t="s">
        <v>57</v>
      </c>
      <c r="K192" s="4"/>
      <c r="L192" s="4"/>
      <c r="M192" s="4"/>
      <c r="O192" s="4" t="s">
        <v>334</v>
      </c>
      <c r="P192" s="2" t="str" cm="1">
        <f t="array" ref="P192">CONCATENATE("      .AddAttribute(",Fill(B192,3),", ",QTFunc(C192),", ",QTFunc(D192),", ",QTFunc(E192),", ",F192,", ",G192,", ",H192,", ",I192,", ",QTFunc(K192),", ",QTFunc(L192),", ",QTFunc(M192),", ",QTFunc(O192),   ")")</f>
        <v xml:space="preserve">      .AddAttribute(  6, "UrgentValue", "UrgentValue", "bool", 0, 0, false, false, "", "", "", "boolean value that makes this entity of tax classes to a system value (cannot be changed as it is used directly by the program)")</v>
      </c>
    </row>
    <row r="193" spans="1:16" x14ac:dyDescent="0.45">
      <c r="K193" s="4"/>
      <c r="L193" s="4"/>
      <c r="M193" s="4"/>
      <c r="O193" s="4"/>
      <c r="P193" s="2"/>
    </row>
    <row r="194" spans="1:16" x14ac:dyDescent="0.45">
      <c r="A194" t="s">
        <v>601</v>
      </c>
      <c r="B194">
        <v>0</v>
      </c>
      <c r="C194" t="s">
        <v>841</v>
      </c>
      <c r="D194" t="s">
        <v>842</v>
      </c>
      <c r="E194" t="s">
        <v>166</v>
      </c>
      <c r="H194" t="s">
        <v>527</v>
      </c>
      <c r="I194" t="s">
        <v>168</v>
      </c>
      <c r="K194" s="4"/>
      <c r="L194" s="4"/>
      <c r="M194" s="4"/>
      <c r="O194" s="4" t="s">
        <v>860</v>
      </c>
      <c r="P194" s="2" t="str">
        <f>CONCATENATE("   ",$P$1,".AddTable(","""",A194,""", ",CONCATENATE("EMyEntityType::",E194),", """,IF(ISERROR(FIND(".",C194)),"",RIGHT(C194, LEN(C194) - FIND(".",C194))),""", """,IF(ISERROR(FIND(".",C194)),"",LEFT(C194, FIND(".",C194)-1)),""", """,IF(ISERROR(FIND("::",D194)),"",RIGHT(D194, LEN(D194) - FIND("::",D194)-1)),""", """,IF(ISERROR(FIND("::",D194)),"",LEFT(D194, FIND("::",D194)-1)),""", """,H194,""", """,I194,""", """,O194,""")")</f>
        <v xml:space="preserve">   dictionary.AddTable("WD_Holidays", EMyEntityType::table, "WD_Holidays", "dbo", "WD_Holidays", "myHR", "System/HR", "SQL", "entities with public holidays, in relation to working days table to determine non working days")</v>
      </c>
    </row>
    <row r="195" spans="1:16" x14ac:dyDescent="0.45">
      <c r="A195" t="s">
        <v>601</v>
      </c>
      <c r="B195">
        <v>1</v>
      </c>
      <c r="C195" t="s">
        <v>807</v>
      </c>
      <c r="D195" t="s">
        <v>807</v>
      </c>
      <c r="E195" t="s">
        <v>22</v>
      </c>
      <c r="F195">
        <v>0</v>
      </c>
      <c r="G195">
        <v>0</v>
      </c>
      <c r="H195" t="s">
        <v>58</v>
      </c>
      <c r="I195" t="s">
        <v>58</v>
      </c>
      <c r="J195" t="s">
        <v>57</v>
      </c>
      <c r="K195" s="4"/>
      <c r="L195" s="4"/>
      <c r="M195" s="4"/>
      <c r="O195" s="4" t="s">
        <v>837</v>
      </c>
      <c r="P195" s="2" t="str" cm="1">
        <f t="array" ref="P195">CONCATENATE("      .AddAttribute(",Fill(B195,3),", ",QTFunc(C195),", ",QTFunc(D195),", ",QTFunc(E195),", ",F195,", ",G195,", ",H195,", ",I195,", ",QTFunc(K195),", ",QTFunc(L195),", ",QTFunc(M195),", ",QTFunc(O195),   ")")</f>
        <v xml:space="preserve">      .AddAttribute(  1, "CalendarDay", "CalendarDay", "date", 0, 0, true, true, "", "", "", "calendar day on which the holiday is")</v>
      </c>
    </row>
    <row r="196" spans="1:16" x14ac:dyDescent="0.45">
      <c r="A196" t="s">
        <v>601</v>
      </c>
      <c r="B196">
        <v>2</v>
      </c>
      <c r="C196" t="s">
        <v>599</v>
      </c>
      <c r="D196" t="s">
        <v>599</v>
      </c>
      <c r="E196" t="s">
        <v>19</v>
      </c>
      <c r="F196">
        <v>50</v>
      </c>
      <c r="G196">
        <v>0</v>
      </c>
      <c r="H196" t="s">
        <v>58</v>
      </c>
      <c r="I196" t="s">
        <v>57</v>
      </c>
      <c r="J196" t="s">
        <v>57</v>
      </c>
      <c r="K196" s="4"/>
      <c r="L196" s="4"/>
      <c r="M196" s="4"/>
      <c r="O196" s="4" t="s">
        <v>838</v>
      </c>
      <c r="P196" s="2" t="str" cm="1">
        <f t="array" ref="P196">CONCATENATE("      .AddAttribute(",Fill(B196,3),", ",QTFunc(C196),", ",QTFunc(D196),", ",QTFunc(E196),", ",F196,", ",G196,", ",H196,", ",I196,", ",QTFunc(K196),", ",QTFunc(L196),", ",QTFunc(M196),", ",QTFunc(O196),   ")")</f>
        <v xml:space="preserve">      .AddAttribute(  2, "Donation", "Donation", "varchar", 50, 0, true, false, "", "", "", "specification of the holiday as text")</v>
      </c>
    </row>
    <row r="197" spans="1:16" x14ac:dyDescent="0.45">
      <c r="A197" t="s">
        <v>601</v>
      </c>
      <c r="B197">
        <v>3</v>
      </c>
      <c r="C197" t="s">
        <v>600</v>
      </c>
      <c r="D197" t="s">
        <v>600</v>
      </c>
      <c r="E197" t="s">
        <v>20</v>
      </c>
      <c r="F197">
        <v>0</v>
      </c>
      <c r="G197">
        <v>0</v>
      </c>
      <c r="H197" t="s">
        <v>58</v>
      </c>
      <c r="I197" t="s">
        <v>57</v>
      </c>
      <c r="J197" t="s">
        <v>57</v>
      </c>
      <c r="K197" s="4"/>
      <c r="L197" s="4"/>
      <c r="M197" s="4"/>
      <c r="O197" s="4" t="s">
        <v>839</v>
      </c>
      <c r="P197" s="2" t="str" cm="1">
        <f t="array" ref="P197">CONCATENATE("      .AddAttribute(",Fill(B197,3),", ",QTFunc(C197),", ",QTFunc(D197),", ",QTFunc(E197),", ",F197,", ",G197,", ",H197,", ",I197,", ",QTFunc(K197),", ",QTFunc(L197),", ",QTFunc(M197),", ",QTFunc(O197),   ")")</f>
        <v xml:space="preserve">      .AddAttribute(  3, "Share", "Share", "integer", 0, 0, true, false, "", "", "", "share of the holiday (addition for later extension, e.g. holy eve as a half holiday)")</v>
      </c>
    </row>
    <row r="198" spans="1:16" x14ac:dyDescent="0.45">
      <c r="A198" t="s">
        <v>601</v>
      </c>
      <c r="B198">
        <v>4</v>
      </c>
      <c r="C198" t="s">
        <v>130</v>
      </c>
      <c r="D198" t="s">
        <v>130</v>
      </c>
      <c r="E198" t="s">
        <v>77</v>
      </c>
      <c r="F198">
        <v>0</v>
      </c>
      <c r="G198">
        <v>0</v>
      </c>
      <c r="H198" t="s">
        <v>57</v>
      </c>
      <c r="I198" t="s">
        <v>57</v>
      </c>
      <c r="J198" t="s">
        <v>57</v>
      </c>
      <c r="K198" s="4"/>
      <c r="L198" s="4"/>
      <c r="M198" s="4"/>
      <c r="O198" s="4" t="s">
        <v>840</v>
      </c>
      <c r="P198" s="2" t="str" cm="1">
        <f t="array" ref="P198">CONCATENATE("      .AddAttribute(",Fill(B198,3),", ",QTFunc(C198),", ",QTFunc(D198),", ",QTFunc(E198),", ",F198,", ",G198,", ",H198,", ",I198,", ",QTFunc(K198),", ",QTFunc(L198),", ",QTFunc(M198),", ",QTFunc(O198),   ")")</f>
        <v xml:space="preserve">      .AddAttribute(  4, "Description", "Description", "text", 0, 0, false, false, "", "", "", "additional, more detailed description of the holiday. can use as hint in programm or reports")</v>
      </c>
    </row>
    <row r="199" spans="1:16" x14ac:dyDescent="0.45">
      <c r="K199" s="4"/>
      <c r="L199" s="4"/>
      <c r="M199" s="4"/>
      <c r="O199" s="4"/>
      <c r="P199" s="2"/>
    </row>
    <row r="200" spans="1:16" x14ac:dyDescent="0.45">
      <c r="A200" t="s">
        <v>588</v>
      </c>
      <c r="B200">
        <v>0</v>
      </c>
      <c r="C200" t="s">
        <v>591</v>
      </c>
      <c r="D200" t="s">
        <v>592</v>
      </c>
      <c r="E200" t="s">
        <v>93</v>
      </c>
      <c r="H200" t="s">
        <v>527</v>
      </c>
      <c r="I200" t="s">
        <v>168</v>
      </c>
      <c r="K200" s="4"/>
      <c r="L200" s="4"/>
      <c r="M200" s="4"/>
      <c r="O200" s="4" t="s">
        <v>748</v>
      </c>
      <c r="P200" s="2" t="str">
        <f>CONCATENATE("   ",$P$1,".AddTable(","""",A200,""", ",CONCATENATE("EMyEntityType::",E200),", """,IF(ISERROR(FIND(".",C200)),"",RIGHT(C200, LEN(C200) - FIND(".",C200))),""", """,IF(ISERROR(FIND(".",C200)),"",LEFT(C200, FIND(".",C200)-1)),""", """,IF(ISERROR(FIND("::",D200)),"",RIGHT(D200, LEN(D200) - FIND("::",D200)-1)),""", """,IF(ISERROR(FIND("::",D200)),"",LEFT(D200, FIND("::",D200)-1)),""", """,H200,""", """,I200,""", """,O200,""")")</f>
        <v xml:space="preserve">   dictionary.AddTable("WD_Months", EMyEntityType::range, "WD_Months", "dbo", "WD_Months", "myHR", "System/HR", "SQL", "domain with months for human resources, actually used for working time, later for processes too. This range make it possible additional informations to adding later. This isn't a typical range value.")</v>
      </c>
    </row>
    <row r="201" spans="1:16" x14ac:dyDescent="0.45">
      <c r="A201" t="s">
        <v>588</v>
      </c>
      <c r="B201">
        <v>1</v>
      </c>
      <c r="C201" t="s">
        <v>133</v>
      </c>
      <c r="D201" t="s">
        <v>133</v>
      </c>
      <c r="E201" t="s">
        <v>20</v>
      </c>
      <c r="F201">
        <v>0</v>
      </c>
      <c r="G201">
        <v>0</v>
      </c>
      <c r="H201" t="s">
        <v>58</v>
      </c>
      <c r="I201" t="s">
        <v>58</v>
      </c>
      <c r="J201" t="s">
        <v>57</v>
      </c>
      <c r="K201" s="4" t="s">
        <v>735</v>
      </c>
      <c r="L201" s="4"/>
      <c r="M201" s="4"/>
      <c r="O201" s="4" t="s">
        <v>593</v>
      </c>
      <c r="P201" s="2" t="str" cm="1">
        <f t="array" ref="P201">CONCATENATE("      .AddAttribute(",Fill(B201,3),", ",QTFunc(C201),", ",QTFunc(D201),", ",QTFunc(E201),", ",F201,", ",G201,", ",H201,", ",I201,", ",QTFunc(K201),", ",QTFunc(L201),", ",QTFunc(M201),", ",QTFunc(O201),   ")")</f>
        <v xml:space="preserve">      .AddAttribute(  1, "ID", "ID", "integer", 0, 0, true, true, "BETWEEN 1 AND 12", "", "", "unique identification number for a record in this domain with monthes for human resources")</v>
      </c>
    </row>
    <row r="202" spans="1:16" x14ac:dyDescent="0.45">
      <c r="A202" t="s">
        <v>588</v>
      </c>
      <c r="B202">
        <v>2</v>
      </c>
      <c r="C202" t="s">
        <v>128</v>
      </c>
      <c r="D202" t="s">
        <v>128</v>
      </c>
      <c r="E202" t="s">
        <v>19</v>
      </c>
      <c r="F202">
        <v>50</v>
      </c>
      <c r="G202">
        <v>0</v>
      </c>
      <c r="H202" t="s">
        <v>58</v>
      </c>
      <c r="I202" t="s">
        <v>57</v>
      </c>
      <c r="J202" t="s">
        <v>58</v>
      </c>
      <c r="K202" s="4"/>
      <c r="L202" s="4"/>
      <c r="M202" s="4"/>
      <c r="O202" s="4" t="s">
        <v>746</v>
      </c>
      <c r="P202" s="2" t="str" cm="1">
        <f t="array" ref="P202">CONCATENATE("      .AddAttribute(",Fill(B202,3),", ",QTFunc(C202),", ",QTFunc(D202),", ",QTFunc(E202),", ",F202,", ",G202,", ",H202,", ",I202,", ",QTFunc(K202),", ",QTFunc(L202),", ",QTFunc(M202),", ",QTFunc(O202),   ")")</f>
        <v xml:space="preserve">      .AddAttribute(  2, "Denotation", "Denotation", "varchar", 50, 0, true, false, "", "", "", "unique denotation for a record in this domain with months, used in the programm to indentify this month, as selection in comboboxes and such")</v>
      </c>
    </row>
    <row r="203" spans="1:16" x14ac:dyDescent="0.45">
      <c r="A203" t="s">
        <v>588</v>
      </c>
      <c r="B203">
        <v>3</v>
      </c>
      <c r="C203" t="s">
        <v>129</v>
      </c>
      <c r="D203" t="s">
        <v>129</v>
      </c>
      <c r="E203" t="s">
        <v>19</v>
      </c>
      <c r="F203">
        <v>10</v>
      </c>
      <c r="G203">
        <v>0</v>
      </c>
      <c r="H203" t="s">
        <v>58</v>
      </c>
      <c r="I203" t="s">
        <v>57</v>
      </c>
      <c r="J203" t="s">
        <v>58</v>
      </c>
      <c r="K203" s="4"/>
      <c r="L203" s="4"/>
      <c r="M203" s="4"/>
      <c r="O203" s="4" t="s">
        <v>747</v>
      </c>
      <c r="P203" s="2" t="str" cm="1">
        <f t="array" ref="P203">CONCATENATE("      .AddAttribute(",Fill(B203,3),", ",QTFunc(C203),", ",QTFunc(D203),", ",QTFunc(E203),", ",F203,", ",G203,", ",H203,", ",I203,", ",QTFunc(K203),", ",QTFunc(L203),", ",QTFunc(M203),", ",QTFunc(O203),   ")")</f>
        <v xml:space="preserve">      .AddAttribute(  3, "Abbreviation", "Abbreviation", "varchar", 10, 0, true, false, "", "", "", "unique abbreviation of a month in the domain, used in overviews and reports")</v>
      </c>
    </row>
    <row r="204" spans="1:16" x14ac:dyDescent="0.45">
      <c r="A204" t="s">
        <v>588</v>
      </c>
      <c r="B204">
        <v>4</v>
      </c>
      <c r="C204" t="s">
        <v>534</v>
      </c>
      <c r="D204" t="s">
        <v>534</v>
      </c>
      <c r="E204" t="s">
        <v>281</v>
      </c>
      <c r="F204">
        <v>0</v>
      </c>
      <c r="G204">
        <v>0</v>
      </c>
      <c r="H204" t="s">
        <v>58</v>
      </c>
      <c r="I204" t="s">
        <v>57</v>
      </c>
      <c r="J204" t="s">
        <v>58</v>
      </c>
      <c r="K204" s="4" t="s">
        <v>734</v>
      </c>
      <c r="L204" s="4"/>
      <c r="M204" s="4"/>
      <c r="O204" s="4" t="s">
        <v>598</v>
      </c>
      <c r="P204" s="2" t="str" cm="1">
        <f t="array" ref="P204">CONCATENATE("      .AddAttribute(",Fill(B204,3),", ",QTFunc(C204),", ",QTFunc(D204),", ",QTFunc(E204),", ",F204,", ",G204,", ",H204,", ",I204,", ",QTFunc(K204),", ",QTFunc(L204),", ",QTFunc(M204),", ",QTFunc(O204),   ")")</f>
        <v xml:space="preserve">      .AddAttribute(  4, "Quarter", "Quarter", "unsigned", 0, 0, true, false, "BETWEEN 1 AND 4", "", "", "unsigned value with the number auf the quarter, values in 1 - 4")</v>
      </c>
    </row>
    <row r="205" spans="1:16" x14ac:dyDescent="0.45">
      <c r="K205" s="4"/>
      <c r="L205" s="4"/>
      <c r="M205" s="4"/>
      <c r="O205" s="4"/>
      <c r="P205" s="2"/>
    </row>
    <row r="206" spans="1:16" x14ac:dyDescent="0.45">
      <c r="A206" t="s">
        <v>695</v>
      </c>
      <c r="B206">
        <v>0</v>
      </c>
      <c r="C206" t="s">
        <v>696</v>
      </c>
      <c r="D206" t="s">
        <v>697</v>
      </c>
      <c r="E206" t="s">
        <v>166</v>
      </c>
      <c r="H206" t="s">
        <v>527</v>
      </c>
      <c r="I206" t="s">
        <v>168</v>
      </c>
      <c r="K206" s="4"/>
      <c r="L206" s="4"/>
      <c r="M206" s="4"/>
      <c r="O206" s="4" t="s">
        <v>733</v>
      </c>
      <c r="P206" s="2" t="str">
        <f>CONCATENATE("   ",$P$1,".AddTable(","""",A206,""", ",CONCATENATE("EMyEntityType::",E206),", """,IF(ISERROR(FIND(".",C206)),"",RIGHT(C206, LEN(C206) - FIND(".",C206))),""", """,IF(ISERROR(FIND(".",C206)),"",LEFT(C206, FIND(".",C206)-1)),""", """,IF(ISERROR(FIND("::",D206)),"",RIGHT(D206, LEN(D206) - FIND("::",D206)-1)),""", """,IF(ISERROR(FIND("::",D206)),"",LEFT(D206, FIND("::",D206)-1)),""", """,H206,""", """,I206,""", """,O206,""")")</f>
        <v xml:space="preserve">   dictionary.AddTable("WD_NonWorking", EMyEntityType::table, "WD_NonWorking", "dbo", "WD_NonWorking", "myHR", "System/HR", "SQL", "entity set with non working days. Extensions possible, responsible for this table is HR.")</v>
      </c>
    </row>
    <row r="207" spans="1:16" x14ac:dyDescent="0.45">
      <c r="A207" t="s">
        <v>695</v>
      </c>
      <c r="B207">
        <v>1</v>
      </c>
      <c r="C207" t="s">
        <v>133</v>
      </c>
      <c r="D207" t="s">
        <v>133</v>
      </c>
      <c r="E207" t="s">
        <v>20</v>
      </c>
      <c r="F207">
        <v>0</v>
      </c>
      <c r="G207">
        <v>0</v>
      </c>
      <c r="H207" t="s">
        <v>58</v>
      </c>
      <c r="I207" t="s">
        <v>58</v>
      </c>
      <c r="J207" t="s">
        <v>57</v>
      </c>
      <c r="K207" s="4"/>
      <c r="L207" s="4"/>
      <c r="M207" s="4"/>
      <c r="O207" s="4" t="s">
        <v>698</v>
      </c>
      <c r="P207" s="2" t="str" cm="1">
        <f t="array" ref="P207">CONCATENATE("      .AddAttribute(",Fill(B207,3),", ",QTFunc(C207),", ",QTFunc(D207),", ",QTFunc(E207),", ",F207,", ",G207,", ",H207,", ",I207,", ",QTFunc(K207),", ",QTFunc(L207),", ",QTFunc(M207),", ",QTFunc(O207),   ")")</f>
        <v xml:space="preserve">      .AddAttribute(  1, "ID", "ID", "integer", 0, 0, true, true, "", "", "", "attribute as foreign key from an attribute ID of a employee entity to who as idle this time")</v>
      </c>
    </row>
    <row r="208" spans="1:16" x14ac:dyDescent="0.45">
      <c r="A208" t="s">
        <v>695</v>
      </c>
      <c r="B208">
        <v>2</v>
      </c>
      <c r="C208" t="s">
        <v>699</v>
      </c>
      <c r="D208" t="s">
        <v>699</v>
      </c>
      <c r="E208" t="s">
        <v>22</v>
      </c>
      <c r="F208">
        <v>0</v>
      </c>
      <c r="G208">
        <v>0</v>
      </c>
      <c r="H208" t="s">
        <v>58</v>
      </c>
      <c r="I208" t="s">
        <v>58</v>
      </c>
      <c r="J208" t="s">
        <v>57</v>
      </c>
      <c r="K208" s="4"/>
      <c r="L208" s="4"/>
      <c r="M208" s="4"/>
      <c r="O208" s="4" t="s">
        <v>851</v>
      </c>
      <c r="P208" s="2" t="str" cm="1">
        <f t="array" ref="P208">CONCATENATE("      .AddAttribute(",Fill(B208,3),", ",QTFunc(C208),", ",QTFunc(D208),", ",QTFunc(E208),", ",F208,", ",G208,", ",H208,", ",I208,", ",QTFunc(K208),", ",QTFunc(L208),", ",QTFunc(M208),", ",QTFunc(O208),   ")")</f>
        <v xml:space="preserve">      .AddAttribute(  2, "StartAt", "StartAt", "date", 0, 0, true, true, "", "", "", "date when the non working time starts as foreign key from the wokdays table")</v>
      </c>
    </row>
    <row r="209" spans="1:16" x14ac:dyDescent="0.45">
      <c r="A209" t="s">
        <v>695</v>
      </c>
      <c r="B209">
        <v>3</v>
      </c>
      <c r="C209" t="s">
        <v>700</v>
      </c>
      <c r="D209" t="s">
        <v>700</v>
      </c>
      <c r="E209" t="s">
        <v>22</v>
      </c>
      <c r="F209">
        <v>0</v>
      </c>
      <c r="G209">
        <v>0</v>
      </c>
      <c r="H209" t="s">
        <v>57</v>
      </c>
      <c r="I209" t="s">
        <v>57</v>
      </c>
      <c r="J209" t="s">
        <v>57</v>
      </c>
      <c r="K209" s="4"/>
      <c r="L209" s="4"/>
      <c r="M209" s="4"/>
      <c r="O209" s="4" t="s">
        <v>852</v>
      </c>
      <c r="P209" s="2" t="str" cm="1">
        <f t="array" ref="P209">CONCATENATE("      .AddAttribute(",Fill(B209,3),", ",QTFunc(C209),", ",QTFunc(D209),", ",QTFunc(E209),", ",F209,", ",G209,", ",H209,", ",I209,", ",QTFunc(K209),", ",QTFunc(L209),", ",QTFunc(M209),", ",QTFunc(O209),   ")")</f>
        <v xml:space="preserve">      .AddAttribute(  3, "ClosingAt", "ClosingAt", "date", 0, 0, false, false, "", "", "", "date when the non working time finishing. Value must exists in workdays, but isn't in the key. May be open")</v>
      </c>
    </row>
    <row r="210" spans="1:16" x14ac:dyDescent="0.45">
      <c r="A210" t="s">
        <v>695</v>
      </c>
      <c r="B210">
        <v>4</v>
      </c>
      <c r="C210" t="s">
        <v>732</v>
      </c>
      <c r="D210" t="s">
        <v>732</v>
      </c>
      <c r="E210" t="s">
        <v>20</v>
      </c>
      <c r="F210">
        <v>0</v>
      </c>
      <c r="G210">
        <v>0</v>
      </c>
      <c r="H210" t="s">
        <v>58</v>
      </c>
      <c r="I210" t="s">
        <v>57</v>
      </c>
      <c r="J210" t="s">
        <v>57</v>
      </c>
      <c r="K210" s="4" t="s">
        <v>736</v>
      </c>
      <c r="L210" s="4"/>
      <c r="M210" s="4"/>
      <c r="O210" s="4" t="s">
        <v>853</v>
      </c>
      <c r="P210" s="2" t="str" cm="1">
        <f t="array" ref="P210">CONCATENATE("      .AddAttribute(",Fill(B210,3),", ",QTFunc(C210),", ",QTFunc(D210),", ",QTFunc(E210),", ",F210,", ",G210,", ",H210,", ",I210,", ",QTFunc(K210),", ",QTFunc(L210),", ",QTFunc(M210),", ",QTFunc(O210),   ")")</f>
        <v xml:space="preserve">      .AddAttribute(  4, "Reason", "Reason", "integer", 0, 0, true, false, "BETWEEN 0 AND 6", "", "", "reason of non working time, there exist a table, but values are interpreted through the applications")</v>
      </c>
    </row>
    <row r="211" spans="1:16" x14ac:dyDescent="0.45">
      <c r="A211" t="s">
        <v>695</v>
      </c>
      <c r="B211">
        <v>5</v>
      </c>
      <c r="C211" t="s">
        <v>131</v>
      </c>
      <c r="D211" t="s">
        <v>131</v>
      </c>
      <c r="E211" t="s">
        <v>77</v>
      </c>
      <c r="F211">
        <v>0</v>
      </c>
      <c r="G211">
        <v>0</v>
      </c>
      <c r="H211" t="s">
        <v>57</v>
      </c>
      <c r="I211" t="s">
        <v>57</v>
      </c>
      <c r="J211" t="s">
        <v>57</v>
      </c>
      <c r="K211" s="4"/>
      <c r="L211" s="4"/>
      <c r="M211" s="4"/>
      <c r="O211" s="4" t="s">
        <v>854</v>
      </c>
      <c r="P211" s="2" t="str" cm="1">
        <f t="array" ref="P211">CONCATENATE("      .AddAttribute(",Fill(B211,3),", ",QTFunc(C211),", ",QTFunc(D211),", ",QTFunc(E211),", ",F211,", ",G211,", ",H211,", ",I211,", ",QTFunc(K211),", ",QTFunc(L211),", ",QTFunc(M211),", ",QTFunc(O211),   ")")</f>
        <v xml:space="preserve">      .AddAttribute(  5, "Notes", "Notes", "text", 0, 0, false, false, "", "", "", "free notices to the non-working time")</v>
      </c>
    </row>
    <row r="212" spans="1:16" x14ac:dyDescent="0.45">
      <c r="K212" s="4"/>
      <c r="L212" s="4"/>
      <c r="M212" s="4"/>
      <c r="O212" s="4"/>
      <c r="P212" s="2"/>
    </row>
    <row r="213" spans="1:16" x14ac:dyDescent="0.45">
      <c r="A213" t="s">
        <v>587</v>
      </c>
      <c r="B213">
        <v>0</v>
      </c>
      <c r="C213" t="s">
        <v>590</v>
      </c>
      <c r="D213" t="s">
        <v>875</v>
      </c>
      <c r="E213" t="s">
        <v>93</v>
      </c>
      <c r="H213" t="s">
        <v>527</v>
      </c>
      <c r="I213" t="s">
        <v>168</v>
      </c>
      <c r="K213" s="4"/>
      <c r="L213" s="4"/>
      <c r="M213" s="4"/>
      <c r="O213" s="4" t="s">
        <v>589</v>
      </c>
      <c r="P213" s="2" t="str">
        <f>CONCATENATE("   ",$P$1,".AddTable(","""",A213,""", ",CONCATENATE("EMyEntityType::",E213),", """,IF(ISERROR(FIND(".",C213)),"",RIGHT(C213, LEN(C213) - FIND(".",C213))),""", """,IF(ISERROR(FIND(".",C213)),"",LEFT(C213, FIND(".",C213)-1)),""", """,IF(ISERROR(FIND("::",D213)),"",RIGHT(D213, LEN(D213) - FIND("::",D213)-1)),""", """,IF(ISERROR(FIND("::",D213)),"",LEFT(D213, FIND("::",D213)-1)),""", """,H213,""", """,I213,""", """,O213,""")")</f>
        <v xml:space="preserve">   dictionary.AddTable("WD_Weekdays", EMyEntityType::range, "WD_Weekdays", "dbo", "WD_Weekdays", "myHR", "System/HR", "SQL", "domain for days of week, used for table working time. Possible to extent with informations. In area HR only")</v>
      </c>
    </row>
    <row r="214" spans="1:16" x14ac:dyDescent="0.45">
      <c r="A214" t="s">
        <v>587</v>
      </c>
      <c r="B214">
        <v>1</v>
      </c>
      <c r="C214" t="s">
        <v>133</v>
      </c>
      <c r="D214" t="s">
        <v>133</v>
      </c>
      <c r="E214" t="s">
        <v>20</v>
      </c>
      <c r="F214">
        <v>0</v>
      </c>
      <c r="G214">
        <v>0</v>
      </c>
      <c r="H214" t="s">
        <v>58</v>
      </c>
      <c r="I214" t="s">
        <v>58</v>
      </c>
      <c r="J214" t="s">
        <v>57</v>
      </c>
      <c r="K214" s="4" t="s">
        <v>736</v>
      </c>
      <c r="L214" s="4"/>
      <c r="M214" s="4"/>
      <c r="O214" s="4" t="s">
        <v>594</v>
      </c>
      <c r="P214" s="2" t="str" cm="1">
        <f t="array" ref="P214">CONCATENATE("      .AddAttribute(",Fill(B214,3),", ",QTFunc(C214),", ",QTFunc(D214),", ",QTFunc(E214),", ",F214,", ",G214,", ",H214,", ",I214,", ",QTFunc(K214),", ",QTFunc(L214),", ",QTFunc(M214),", ",QTFunc(O214),   ")")</f>
        <v xml:space="preserve">      .AddAttribute(  1, "ID", "ID", "integer", 0, 0, true, true, "BETWEEN 0 AND 6", "", "", "unique identification number for a record in this domain with weekdays for human resources")</v>
      </c>
    </row>
    <row r="215" spans="1:16" x14ac:dyDescent="0.45">
      <c r="A215" t="s">
        <v>587</v>
      </c>
      <c r="B215">
        <v>2</v>
      </c>
      <c r="C215" t="s">
        <v>128</v>
      </c>
      <c r="D215" t="s">
        <v>128</v>
      </c>
      <c r="E215" t="s">
        <v>19</v>
      </c>
      <c r="F215">
        <v>20</v>
      </c>
      <c r="G215">
        <v>0</v>
      </c>
      <c r="H215" t="s">
        <v>58</v>
      </c>
      <c r="I215" t="s">
        <v>57</v>
      </c>
      <c r="J215" t="s">
        <v>57</v>
      </c>
      <c r="K215" s="4"/>
      <c r="L215" s="4"/>
      <c r="M215" s="4"/>
      <c r="O215" s="4" t="s">
        <v>595</v>
      </c>
      <c r="P215" s="2" t="str" cm="1">
        <f t="array" ref="P215">CONCATENATE("      .AddAttribute(",Fill(B215,3),", ",QTFunc(C215),", ",QTFunc(D215),", ",QTFunc(E215),", ",F215,", ",G215,", ",H215,", ",I215,", ",QTFunc(K215),", ",QTFunc(L215),", ",QTFunc(M215),", ",QTFunc(O215),   ")")</f>
        <v xml:space="preserve">      .AddAttribute(  2, "Denotation", "Denotation", "varchar", 20, 0, true, false, "", "", "", "unique denation for this weekday ")</v>
      </c>
    </row>
    <row r="216" spans="1:16" x14ac:dyDescent="0.45">
      <c r="A216" t="s">
        <v>587</v>
      </c>
      <c r="B216">
        <v>3</v>
      </c>
      <c r="C216" t="s">
        <v>129</v>
      </c>
      <c r="D216" t="s">
        <v>129</v>
      </c>
      <c r="E216" t="s">
        <v>19</v>
      </c>
      <c r="F216">
        <v>5</v>
      </c>
      <c r="G216">
        <v>0</v>
      </c>
      <c r="H216" t="s">
        <v>58</v>
      </c>
      <c r="I216" t="s">
        <v>57</v>
      </c>
      <c r="J216" t="s">
        <v>57</v>
      </c>
      <c r="K216" s="4"/>
      <c r="L216" s="4"/>
      <c r="M216" s="4"/>
      <c r="O216" s="4" t="s">
        <v>596</v>
      </c>
      <c r="P216" s="2" t="str" cm="1">
        <f t="array" ref="P216">CONCATENATE("      .AddAttribute(",Fill(B216,3),", ",QTFunc(C216),", ",QTFunc(D216),", ",QTFunc(E216),", ",F216,", ",G216,", ",H216,", ",I216,", ",QTFunc(K216),", ",QTFunc(L216),", ",QTFunc(M216),", ",QTFunc(O216),   ")")</f>
        <v xml:space="preserve">      .AddAttribute(  3, "Abbreviation", "Abbreviation", "varchar", 5, 0, true, false, "", "", "", "unique abbreviation for this weekday ")</v>
      </c>
    </row>
    <row r="217" spans="1:16" x14ac:dyDescent="0.45">
      <c r="A217" t="s">
        <v>587</v>
      </c>
      <c r="B217">
        <v>4</v>
      </c>
      <c r="C217" t="s">
        <v>531</v>
      </c>
      <c r="D217" t="s">
        <v>531</v>
      </c>
      <c r="E217" t="s">
        <v>27</v>
      </c>
      <c r="F217">
        <v>0</v>
      </c>
      <c r="G217">
        <v>0</v>
      </c>
      <c r="H217" t="s">
        <v>58</v>
      </c>
      <c r="I217" t="s">
        <v>57</v>
      </c>
      <c r="J217" t="s">
        <v>57</v>
      </c>
      <c r="K217" s="4"/>
      <c r="L217" s="4"/>
      <c r="M217" s="4"/>
      <c r="O217" s="4" t="s">
        <v>597</v>
      </c>
      <c r="P217" s="2" t="str" cm="1">
        <f t="array" ref="P217">CONCATENATE("      .AddAttribute(",Fill(B217,3),", ",QTFunc(C217),", ",QTFunc(D217),", ",QTFunc(E217),", ",F217,", ",G217,", ",H217,", ",I217,", ",QTFunc(K217),", ",QTFunc(L217),", ",QTFunc(M217),", ",QTFunc(O217),   ")")</f>
        <v xml:space="preserve">      .AddAttribute(  4, "Workday", "Workday", "bool", 0, 0, true, false, "", "", "", "boolean value to control the work time, true if this weekday usual a workday")</v>
      </c>
    </row>
    <row r="218" spans="1:16" x14ac:dyDescent="0.45">
      <c r="K218" s="4"/>
      <c r="L218" s="4"/>
      <c r="M218" s="4"/>
      <c r="O218" s="4"/>
      <c r="P218" s="2"/>
    </row>
    <row r="219" spans="1:16" x14ac:dyDescent="0.45">
      <c r="A219" t="s">
        <v>803</v>
      </c>
      <c r="B219">
        <v>0</v>
      </c>
      <c r="C219" t="s">
        <v>804</v>
      </c>
      <c r="D219" t="s">
        <v>805</v>
      </c>
      <c r="E219" t="s">
        <v>166</v>
      </c>
      <c r="H219" t="s">
        <v>527</v>
      </c>
      <c r="I219" t="s">
        <v>168</v>
      </c>
      <c r="K219" s="4"/>
      <c r="L219" s="4"/>
      <c r="M219" s="4"/>
      <c r="O219" s="4" t="s">
        <v>806</v>
      </c>
      <c r="P219" s="2" t="str">
        <f>CONCATENATE("   ",$P$1,".AddTable(","""",A219,""", ",CONCATENATE("EMyEntityType::",E219),", """,IF(ISERROR(FIND(".",C219)),"",RIGHT(C219, LEN(C219) - FIND(".",C219))),""", """,IF(ISERROR(FIND(".",C219)),"",LEFT(C219, FIND(".",C219)-1)),""", """,IF(ISERROR(FIND("::",D219)),"",RIGHT(D219, LEN(D219) - FIND("::",D219)-1)),""", """,IF(ISERROR(FIND("::",D219)),"",LEFT(D219, FIND("::",D219)-1)),""", """,H219,""", """,I219,""", """,O219,""")")</f>
        <v xml:space="preserve">   dictionary.AddTable("WD_Workdays", EMyEntityType::table, "WD_Workdays", "dbo", "WD_Workdays", "myHR", "System/HR", "SQL", "domain with all days, additional informations and as owner of all recorded working time and non-working times")</v>
      </c>
    </row>
    <row r="220" spans="1:16" x14ac:dyDescent="0.45">
      <c r="A220" t="s">
        <v>803</v>
      </c>
      <c r="B220">
        <v>1</v>
      </c>
      <c r="C220" t="s">
        <v>807</v>
      </c>
      <c r="D220" t="s">
        <v>807</v>
      </c>
      <c r="E220" t="s">
        <v>22</v>
      </c>
      <c r="F220">
        <v>0</v>
      </c>
      <c r="G220">
        <v>0</v>
      </c>
      <c r="H220" t="s">
        <v>58</v>
      </c>
      <c r="I220" t="s">
        <v>58</v>
      </c>
      <c r="J220" t="s">
        <v>57</v>
      </c>
      <c r="K220" s="4"/>
      <c r="L220" s="4"/>
      <c r="M220" s="4"/>
      <c r="O220" s="4" t="s">
        <v>815</v>
      </c>
      <c r="P220" s="2" t="str" cm="1">
        <f t="array" ref="P220">CONCATENATE("      .AddAttribute(",Fill(B220,3),", ",QTFunc(C220),", ",QTFunc(D220),", ",QTFunc(E220),", ",F220,", ",G220,", ",H220,", ",I220,", ",QTFunc(K220),", ",QTFunc(L220),", ",QTFunc(M220),", ",QTFunc(O220),   ")")</f>
        <v xml:space="preserve">      .AddAttribute(  1, "CalendarDay", "CalendarDay", "date", 0, 0, true, true, "", "", "", "calendar day. is used as a key in all day-dependent time accounting tables. it is the basis for the calculated fields that are provided also")</v>
      </c>
    </row>
    <row r="221" spans="1:16" x14ac:dyDescent="0.45">
      <c r="A221" t="s">
        <v>803</v>
      </c>
      <c r="B221">
        <v>2</v>
      </c>
      <c r="C221" t="s">
        <v>808</v>
      </c>
      <c r="D221" t="s">
        <v>808</v>
      </c>
      <c r="E221" t="s">
        <v>20</v>
      </c>
      <c r="F221">
        <v>0</v>
      </c>
      <c r="G221">
        <v>0</v>
      </c>
      <c r="H221" t="s">
        <v>58</v>
      </c>
      <c r="I221" t="s">
        <v>57</v>
      </c>
      <c r="J221" t="s">
        <v>57</v>
      </c>
      <c r="K221" s="4"/>
      <c r="L221" s="4"/>
      <c r="M221" s="4"/>
      <c r="O221" s="4" t="s">
        <v>816</v>
      </c>
      <c r="P221" s="2" t="str" cm="1">
        <f t="array" ref="P221">CONCATENATE("      .AddAttribute(",Fill(B221,3),", ",QTFunc(C221),", ",QTFunc(D221),", ",QTFunc(E221),", ",F221,", ",G221,", ",H221,", ",I221,", ",QTFunc(K221),", ",QTFunc(L221),", ",QTFunc(M221),", ",QTFunc(O221),   ")")</f>
        <v xml:space="preserve">      .AddAttribute(  2, "CalendarWeekday", "CalendarWeekday", "integer", 0, 0, true, false, "", "", "", "day in the calendar week (values between 0 .. 6). The field referencing to the table with weekdays to get rules. set as a data element to avoid calculations, possible server settings and deviations from various standards")</v>
      </c>
    </row>
    <row r="222" spans="1:16" x14ac:dyDescent="0.45">
      <c r="A222" t="s">
        <v>803</v>
      </c>
      <c r="B222">
        <v>3</v>
      </c>
      <c r="C222" t="s">
        <v>809</v>
      </c>
      <c r="D222" t="s">
        <v>809</v>
      </c>
      <c r="E222" t="s">
        <v>20</v>
      </c>
      <c r="F222">
        <v>0</v>
      </c>
      <c r="G222">
        <v>0</v>
      </c>
      <c r="H222" t="s">
        <v>58</v>
      </c>
      <c r="I222" t="s">
        <v>57</v>
      </c>
      <c r="J222" t="s">
        <v>57</v>
      </c>
      <c r="K222" s="4"/>
      <c r="L222" s="4"/>
      <c r="M222" s="4"/>
      <c r="O222" s="4" t="s">
        <v>817</v>
      </c>
      <c r="P222" s="2" t="str" cm="1">
        <f t="array" ref="P222">CONCATENATE("      .AddAttribute(",Fill(B222,3),", ",QTFunc(C222),", ",QTFunc(D222),", ",QTFunc(E222),", ",F222,", ",G222,", ",H222,", ",I222,", ",QTFunc(K222),", ",QTFunc(L222),", ",QTFunc(M222),", ",QTFunc(O222),   ")")</f>
        <v xml:space="preserve">      .AddAttribute(  3, "CalendarWeek", "CalendarWeek", "integer", 0, 0, true, false, "", "", "", "calendar week. set as a data element to avoid calculations, possible server settings and deviations from various standards")</v>
      </c>
    </row>
    <row r="223" spans="1:16" x14ac:dyDescent="0.45">
      <c r="A223" t="s">
        <v>803</v>
      </c>
      <c r="B223">
        <v>4</v>
      </c>
      <c r="C223" t="s">
        <v>810</v>
      </c>
      <c r="D223" t="s">
        <v>810</v>
      </c>
      <c r="E223" t="s">
        <v>20</v>
      </c>
      <c r="F223">
        <v>0</v>
      </c>
      <c r="G223">
        <v>0</v>
      </c>
      <c r="H223" t="s">
        <v>58</v>
      </c>
      <c r="I223" t="s">
        <v>57</v>
      </c>
      <c r="J223" t="s">
        <v>57</v>
      </c>
      <c r="K223" s="4"/>
      <c r="L223" s="4"/>
      <c r="M223" s="4" t="s">
        <v>822</v>
      </c>
      <c r="O223" s="4" t="s">
        <v>818</v>
      </c>
      <c r="P223" s="2" t="str" cm="1">
        <f t="array" ref="P223">CONCATENATE("      .AddAttribute(",Fill(B223,3),", ",QTFunc(C223),", ",QTFunc(D223),", ",QTFunc(E223),", ",F223,", ",G223,", ",H223,", ",I223,", ",QTFunc(K223),", ",QTFunc(L223),", ",QTFunc(M223),", ",QTFunc(O223),   ")")</f>
        <v xml:space="preserve">      .AddAttribute(  4, "CalendarYear", "CalendarYear", "integer", 0, 0, true, false, "", "", "(YEAR(CalendarDay))", "calculated field for the year of the calendar day")</v>
      </c>
    </row>
    <row r="224" spans="1:16" x14ac:dyDescent="0.45">
      <c r="A224" t="s">
        <v>803</v>
      </c>
      <c r="B224">
        <v>5</v>
      </c>
      <c r="C224" t="s">
        <v>811</v>
      </c>
      <c r="D224" t="s">
        <v>811</v>
      </c>
      <c r="E224" t="s">
        <v>20</v>
      </c>
      <c r="F224">
        <v>0</v>
      </c>
      <c r="G224">
        <v>0</v>
      </c>
      <c r="H224" t="s">
        <v>58</v>
      </c>
      <c r="I224" t="s">
        <v>57</v>
      </c>
      <c r="J224" t="s">
        <v>57</v>
      </c>
      <c r="K224" s="4"/>
      <c r="L224" s="4"/>
      <c r="M224" s="4" t="s">
        <v>823</v>
      </c>
      <c r="O224" s="4" t="s">
        <v>821</v>
      </c>
      <c r="P224" s="2" t="str" cm="1">
        <f t="array" ref="P224">CONCATENATE("      .AddAttribute(",Fill(B224,3),", ",QTFunc(C224),", ",QTFunc(D224),", ",QTFunc(E224),", ",F224,", ",G224,", ",H224,", ",I224,", ",QTFunc(K224),", ",QTFunc(L224),", ",QTFunc(M224),", ",QTFunc(O224),   ")")</f>
        <v xml:space="preserve">      .AddAttribute(  5, "CalendarMonth", "CalendarMonth", "integer", 0, 0, true, false, "", "", "(MONTH(CalendarDay))", "calculated field for the year of the calendar day, persistent for the relationship to the table WD_Months")</v>
      </c>
    </row>
    <row r="225" spans="1:16" x14ac:dyDescent="0.45">
      <c r="A225" t="s">
        <v>803</v>
      </c>
      <c r="B225">
        <v>6</v>
      </c>
      <c r="C225" t="s">
        <v>814</v>
      </c>
      <c r="D225" t="s">
        <v>814</v>
      </c>
      <c r="E225" t="s">
        <v>20</v>
      </c>
      <c r="F225">
        <v>0</v>
      </c>
      <c r="G225">
        <v>0</v>
      </c>
      <c r="H225" t="s">
        <v>58</v>
      </c>
      <c r="I225" t="s">
        <v>57</v>
      </c>
      <c r="J225" t="s">
        <v>57</v>
      </c>
      <c r="K225" s="4"/>
      <c r="L225" s="4"/>
      <c r="M225" s="4" t="s">
        <v>824</v>
      </c>
      <c r="O225" s="4" t="s">
        <v>818</v>
      </c>
      <c r="P225" s="2" t="str" cm="1">
        <f t="array" ref="P225">CONCATENATE("      .AddAttribute(",Fill(B225,3),", ",QTFunc(C225),", ",QTFunc(D225),", ",QTFunc(E225),", ",F225,", ",G225,", ",H225,", ",I225,", ",QTFunc(K225),", ",QTFunc(L225),", ",QTFunc(M225),", ",QTFunc(O225),   ")")</f>
        <v xml:space="preserve">      .AddAttribute(  6, "CalendarDayInWeek", "CalendarDayInWeek", "integer", 0, 0, true, false, "", "", "(DAY(CalendarDay))", "calculated field for the year of the calendar day")</v>
      </c>
    </row>
    <row r="226" spans="1:16" x14ac:dyDescent="0.45">
      <c r="A226" t="s">
        <v>803</v>
      </c>
      <c r="B226">
        <v>7</v>
      </c>
      <c r="C226" t="s">
        <v>812</v>
      </c>
      <c r="D226" t="s">
        <v>812</v>
      </c>
      <c r="E226" t="s">
        <v>20</v>
      </c>
      <c r="F226">
        <v>0</v>
      </c>
      <c r="G226">
        <v>0</v>
      </c>
      <c r="H226" t="s">
        <v>58</v>
      </c>
      <c r="I226" t="s">
        <v>57</v>
      </c>
      <c r="J226" t="s">
        <v>57</v>
      </c>
      <c r="K226" s="4"/>
      <c r="L226" s="4"/>
      <c r="M226" s="4" t="s">
        <v>820</v>
      </c>
      <c r="O226" s="4" t="s">
        <v>818</v>
      </c>
      <c r="P226" s="2" t="str" cm="1">
        <f t="array" ref="P226">CONCATENATE("      .AddAttribute(",Fill(B226,3),", ",QTFunc(C226),", ",QTFunc(D226),", ",QTFunc(E226),", ",F226,", ",G226,", ",H226,", ",I226,", ",QTFunc(K226),", ",QTFunc(L226),", ",QTFunc(M226),", ",QTFunc(O226),   ")")</f>
        <v xml:space="preserve">      .AddAttribute(  7, "CalendarDayInYear", "CalendarDayInYear", "integer", 0, 0, true, false, "", "", "DATEPART(DAYOFYEAR, CalendarDay)", "calculated field for the year of the calendar day")</v>
      </c>
    </row>
    <row r="227" spans="1:16" x14ac:dyDescent="0.45">
      <c r="A227" t="s">
        <v>803</v>
      </c>
      <c r="B227">
        <v>8</v>
      </c>
      <c r="C227" t="s">
        <v>813</v>
      </c>
      <c r="D227" t="s">
        <v>813</v>
      </c>
      <c r="E227" t="s">
        <v>20</v>
      </c>
      <c r="F227">
        <v>0</v>
      </c>
      <c r="G227">
        <v>0</v>
      </c>
      <c r="H227" t="s">
        <v>58</v>
      </c>
      <c r="I227" t="s">
        <v>57</v>
      </c>
      <c r="J227" t="s">
        <v>57</v>
      </c>
      <c r="K227" s="4"/>
      <c r="L227" s="4"/>
      <c r="M227" s="4" t="s">
        <v>844</v>
      </c>
      <c r="O227" s="4" t="s">
        <v>819</v>
      </c>
      <c r="P227" s="2" t="str" cm="1">
        <f t="array" ref="P227">CONCATENATE("      .AddAttribute(",Fill(B227,3),", ",QTFunc(C227),", ",QTFunc(D227),", ",QTFunc(E227),", ",F227,", ",G227,", ",H227,", ",I227,", ",QTFunc(K227),", ",QTFunc(L227),", ",QTFunc(M227),", ",QTFunc(O227),   ")")</f>
        <v xml:space="preserve">      .AddAttribute(  8, "CalendarQuarter", "CalendarQuarter", "integer", 0, 0, true, false, "", "", "[[dbo].[GetQuarterOfMonth](MONTH(CalendarDay))]", "calculated field, use relationship to WD_Months and the function GetQuarterOfMonth to get the quarter")</v>
      </c>
    </row>
    <row r="228" spans="1:16" x14ac:dyDescent="0.45">
      <c r="A228" t="s">
        <v>803</v>
      </c>
      <c r="B228">
        <v>9</v>
      </c>
      <c r="C228" t="s">
        <v>531</v>
      </c>
      <c r="D228" t="s">
        <v>531</v>
      </c>
      <c r="E228" t="s">
        <v>27</v>
      </c>
      <c r="F228">
        <v>0</v>
      </c>
      <c r="G228">
        <v>0</v>
      </c>
      <c r="H228" t="s">
        <v>58</v>
      </c>
      <c r="I228" t="s">
        <v>57</v>
      </c>
      <c r="J228" t="s">
        <v>57</v>
      </c>
      <c r="K228" s="4"/>
      <c r="L228" s="4"/>
      <c r="M228" s="4" t="s">
        <v>845</v>
      </c>
      <c r="O228" s="4" t="s">
        <v>843</v>
      </c>
      <c r="P228" s="2" t="str" cm="1">
        <f t="array" ref="P228">CONCATENATE("      .AddAttribute(",Fill(B228,3),", ",QTFunc(C228),", ",QTFunc(D228),", ",QTFunc(E228),", ",F228,", ",G228,", ",H228,", ",I228,", ",QTFunc(K228),", ",QTFunc(L228),", ",QTFunc(M228),", ",QTFunc(O228),   ")")</f>
        <v xml:space="preserve">      .AddAttribute(  9, "Workday", "Workday", "bool", 0, 0, true, false, "", "", "[IIF(dbo.GetIsWorkday(CalendarWeekday) = 1 AND dbo.GetIsHoliday(CalendarDay) = 0, 1, 0)]", "boolean value which determin the day as work day, using functions of WD_Weekdays and WD_Holidays")</v>
      </c>
    </row>
    <row r="229" spans="1:16" x14ac:dyDescent="0.45">
      <c r="K229" s="4"/>
      <c r="L229" s="4"/>
      <c r="M229" s="4"/>
      <c r="O229" s="4"/>
      <c r="P229" s="2"/>
    </row>
    <row r="230" spans="1:16" x14ac:dyDescent="0.45">
      <c r="A230" t="s">
        <v>169</v>
      </c>
      <c r="B230">
        <v>0</v>
      </c>
      <c r="C230" t="s">
        <v>170</v>
      </c>
      <c r="D230" t="s">
        <v>383</v>
      </c>
      <c r="E230" t="s">
        <v>166</v>
      </c>
      <c r="H230" t="s">
        <v>527</v>
      </c>
      <c r="I230" t="s">
        <v>168</v>
      </c>
      <c r="K230" s="4"/>
      <c r="L230" s="4"/>
      <c r="M230" s="4"/>
      <c r="O230" s="4" t="s">
        <v>479</v>
      </c>
      <c r="P230" s="2" t="str">
        <f>CONCATENATE("   ",$P$1,".AddTable(","""",A230,""", ",CONCATENATE("EMyEntityType::",E230),", """,IF(ISERROR(FIND(".",C230)),"",RIGHT(C230, LEN(C230) - FIND(".",C230))),""", """,IF(ISERROR(FIND(".",C230)),"",LEFT(C230, FIND(".",C230)-1)),""", """,IF(ISERROR(FIND("::",D230)),"",RIGHT(D230, LEN(D230) - FIND("::",D230)-1)),""", """,IF(ISERROR(FIND("::",D230)),"",LEFT(D230, FIND("::",D230)-1)),""", """,H230,""", """,I230,""", """,O230,""")")</f>
        <v xml:space="preserve">   dictionary.AddTable("WorkingTime", EMyEntityType::table, "WorkingTime", "dbo", "WorkingTime", "mHR", "System/HR", "SQL", "entity set with working hours performed and booked by employees")</v>
      </c>
    </row>
    <row r="231" spans="1:16" x14ac:dyDescent="0.45">
      <c r="A231" t="s">
        <v>169</v>
      </c>
      <c r="B231">
        <v>1</v>
      </c>
      <c r="C231" t="s">
        <v>133</v>
      </c>
      <c r="D231" t="s">
        <v>133</v>
      </c>
      <c r="E231" t="s">
        <v>20</v>
      </c>
      <c r="F231">
        <v>0</v>
      </c>
      <c r="G231">
        <v>0</v>
      </c>
      <c r="H231" t="s">
        <v>58</v>
      </c>
      <c r="I231" t="s">
        <v>58</v>
      </c>
      <c r="J231" t="s">
        <v>57</v>
      </c>
      <c r="K231" s="4"/>
      <c r="L231" s="4"/>
      <c r="M231" s="4"/>
      <c r="O231" s="4" t="s">
        <v>480</v>
      </c>
      <c r="P231" s="2" t="str" cm="1">
        <f t="array" ref="P231">CONCATENATE("      .AddAttribute(",Fill(B231,3),", ",QTFunc(C231),", ",QTFunc(D231),", ",QTFunc(E231),", ",F231,", ",G231,", ",H231,", ",I231,", ",QTFunc(K231),", ",QTFunc(L231),", ",QTFunc(M231),", ",QTFunc(O231),   ")")</f>
        <v xml:space="preserve">      .AddAttribute(  1, "ID", "ID", "integer", 0, 0, true, true, "", "", "", "attribute as foreign key from an attribute ID of a employee entity to who as worked these time")</v>
      </c>
    </row>
    <row r="232" spans="1:16" x14ac:dyDescent="0.45">
      <c r="A232" t="s">
        <v>169</v>
      </c>
      <c r="B232">
        <v>2</v>
      </c>
      <c r="C232" t="s">
        <v>171</v>
      </c>
      <c r="D232" t="s">
        <v>171</v>
      </c>
      <c r="E232" t="s">
        <v>30</v>
      </c>
      <c r="F232">
        <v>0</v>
      </c>
      <c r="G232">
        <v>0</v>
      </c>
      <c r="H232" t="s">
        <v>58</v>
      </c>
      <c r="I232" t="s">
        <v>58</v>
      </c>
      <c r="J232" t="s">
        <v>57</v>
      </c>
      <c r="K232" s="4"/>
      <c r="L232" s="4"/>
      <c r="M232" s="4"/>
      <c r="O232" s="4" t="s">
        <v>481</v>
      </c>
      <c r="P232" s="2" t="str" cm="1">
        <f t="array" ref="P232">CONCATENATE("      .AddAttribute(",Fill(B232,3),", ",QTFunc(C232),", ",QTFunc(D232),", ",QTFunc(E232),", ",F232,", ",G232,", ",H232,", ",I232,", ",QTFunc(K232),", ",QTFunc(L232),", ",QTFunc(M232),", ",QTFunc(O232),   ")")</f>
        <v xml:space="preserve">      .AddAttribute(  2, "StartingTime", "StartingTime", "datetime", 0, 0, true, true, "", "", "", "date and time at which this work block started as timestamp")</v>
      </c>
    </row>
    <row r="233" spans="1:16" x14ac:dyDescent="0.45">
      <c r="A233" t="s">
        <v>169</v>
      </c>
      <c r="B233">
        <v>3</v>
      </c>
      <c r="C233" t="s">
        <v>172</v>
      </c>
      <c r="D233" t="s">
        <v>172</v>
      </c>
      <c r="E233" t="s">
        <v>30</v>
      </c>
      <c r="F233">
        <v>0</v>
      </c>
      <c r="G233">
        <v>0</v>
      </c>
      <c r="H233" t="s">
        <v>57</v>
      </c>
      <c r="I233" t="s">
        <v>57</v>
      </c>
      <c r="J233" t="s">
        <v>57</v>
      </c>
      <c r="K233" s="4" t="s">
        <v>542</v>
      </c>
      <c r="L233" s="4" t="s">
        <v>539</v>
      </c>
      <c r="M233" s="4"/>
      <c r="O233" s="4" t="s">
        <v>538</v>
      </c>
      <c r="P233" s="2" t="str" cm="1">
        <f t="array" ref="P233">CONCATENATE("      .AddAttribute(",Fill(B233,3),", ",QTFunc(C233),", ",QTFunc(D233),", ",QTFunc(E233),", ",F233,", ",G233,", ",H233,", ",I233,", ",QTFunc(K233),", ",QTFunc(L233),", ",QTFunc(M233),", ",QTFunc(O233),   ")")</f>
        <v xml:space="preserve">      .AddAttribute(  3, "ClosingTime", "ClosingTime", "datetime", 0, 0, false, false, "[convert(date, ClosingTime) = DayOfWork and ClosingTime &gt; StartingTime]", "{ }", "", "date and time at which this block of work finished as timestamp")</v>
      </c>
    </row>
    <row r="234" spans="1:16" x14ac:dyDescent="0.45">
      <c r="A234" t="s">
        <v>169</v>
      </c>
      <c r="B234">
        <v>4</v>
      </c>
      <c r="C234" t="s">
        <v>477</v>
      </c>
      <c r="D234" t="s">
        <v>173</v>
      </c>
      <c r="E234" t="s">
        <v>27</v>
      </c>
      <c r="F234">
        <v>0</v>
      </c>
      <c r="G234">
        <v>0</v>
      </c>
      <c r="H234" t="s">
        <v>58</v>
      </c>
      <c r="I234" t="s">
        <v>57</v>
      </c>
      <c r="J234" t="s">
        <v>57</v>
      </c>
      <c r="K234" s="4"/>
      <c r="L234" s="4"/>
      <c r="M234" s="4"/>
      <c r="O234" s="4" t="s">
        <v>537</v>
      </c>
      <c r="P234" s="2" t="str" cm="1">
        <f t="array" ref="P234">CONCATENATE("      .AddAttribute(",Fill(B234,3),", ",QTFunc(C234),", ",QTFunc(D234),", ",QTFunc(E234),", ",F234,", ",G234,", ",H234,", ",I234,", ",QTFunc(K234),", ",QTFunc(L234),", ",QTFunc(M234),", ",QTFunc(O234),   ")")</f>
        <v xml:space="preserve">      .AddAttribute(  4, "Processed", "Processed ", "bool", 0, 0, true, false, "", "", "", "boolean indicator that specifies whether this time booking has already been charged")</v>
      </c>
    </row>
    <row r="235" spans="1:16" x14ac:dyDescent="0.45">
      <c r="A235" t="s">
        <v>169</v>
      </c>
      <c r="B235">
        <v>5</v>
      </c>
      <c r="C235" t="s">
        <v>476</v>
      </c>
      <c r="D235" t="s">
        <v>476</v>
      </c>
      <c r="E235" t="s">
        <v>30</v>
      </c>
      <c r="F235">
        <v>0</v>
      </c>
      <c r="G235">
        <v>0</v>
      </c>
      <c r="H235" t="s">
        <v>57</v>
      </c>
      <c r="I235" t="s">
        <v>57</v>
      </c>
      <c r="J235" t="s">
        <v>57</v>
      </c>
      <c r="K235" s="4"/>
      <c r="L235" s="4"/>
      <c r="M235" s="4"/>
      <c r="O235" s="4" t="s">
        <v>478</v>
      </c>
      <c r="P235" s="2" t="str" cm="1">
        <f t="array" ref="P235">CONCATENATE("      .AddAttribute(",Fill(B235,3),", ",QTFunc(C235),", ",QTFunc(D235),", ",QTFunc(E235),", ",F235,", ",G235,", ",H235,", ",I235,", ",QTFunc(K235),", ",QTFunc(L235),", ",QTFunc(M235),", ",QTFunc(O235),   ")")</f>
        <v xml:space="preserve">      .AddAttribute(  5, "ProcessedAt", "ProcessedAt", "datetime", 0, 0, false, false, "", "", "", "time at which this data record was settled and posted")</v>
      </c>
    </row>
    <row r="236" spans="1:16" x14ac:dyDescent="0.45">
      <c r="A236" t="s">
        <v>169</v>
      </c>
      <c r="B236">
        <v>6</v>
      </c>
      <c r="C236" t="s">
        <v>535</v>
      </c>
      <c r="D236" t="s">
        <v>535</v>
      </c>
      <c r="E236" t="s">
        <v>22</v>
      </c>
      <c r="F236">
        <v>0</v>
      </c>
      <c r="G236">
        <v>0</v>
      </c>
      <c r="H236" t="s">
        <v>57</v>
      </c>
      <c r="I236" t="s">
        <v>57</v>
      </c>
      <c r="J236" t="s">
        <v>57</v>
      </c>
      <c r="K236" s="4"/>
      <c r="L236" s="4"/>
      <c r="M236" s="4" t="s">
        <v>541</v>
      </c>
      <c r="O236" s="4" t="s">
        <v>536</v>
      </c>
      <c r="P236" s="2" t="str" cm="1">
        <f t="array" ref="P236">CONCATENATE("      .AddAttribute(",Fill(B236,3),", ",QTFunc(C236),", ",QTFunc(D236),", ",QTFunc(E236),", ",F236,", ",G236,", ",H236,", ",I236,", ",QTFunc(K236),", ",QTFunc(L236),", ",QTFunc(M236),", ",QTFunc(O236),   ")")</f>
        <v xml:space="preserve">      .AddAttribute(  6, "DayOfWork", "DayOfWork", "date", 0, 0, false, false, "", "", "[convert(date, StartingTime)]", "calculated day to the timepoint where work started")</v>
      </c>
    </row>
    <row r="237" spans="1:16" x14ac:dyDescent="0.45">
      <c r="K237" s="4"/>
      <c r="L237" s="4"/>
      <c r="M237" s="4"/>
      <c r="O237" s="4"/>
    </row>
    <row r="238" spans="1:16" x14ac:dyDescent="0.45">
      <c r="O238" s="4"/>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62"/>
  <sheetViews>
    <sheetView topLeftCell="A28" workbookViewId="0">
      <selection activeCell="C58" sqref="C58"/>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81</v>
      </c>
      <c r="B1" t="s">
        <v>82</v>
      </c>
    </row>
    <row r="2" spans="1:18" x14ac:dyDescent="0.45">
      <c r="A2" t="s">
        <v>23</v>
      </c>
      <c r="B2" t="s">
        <v>96</v>
      </c>
      <c r="C2" t="s">
        <v>90</v>
      </c>
      <c r="D2" t="s">
        <v>97</v>
      </c>
      <c r="E2">
        <v>1</v>
      </c>
      <c r="F2" t="s">
        <v>58</v>
      </c>
      <c r="G2">
        <v>2</v>
      </c>
      <c r="H2" t="s">
        <v>57</v>
      </c>
      <c r="I2">
        <v>3</v>
      </c>
      <c r="J2" t="s">
        <v>57</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99</v>
      </c>
      <c r="B8" t="s">
        <v>207</v>
      </c>
      <c r="C8" t="s">
        <v>90</v>
      </c>
      <c r="D8" t="s">
        <v>208</v>
      </c>
      <c r="E8">
        <v>4</v>
      </c>
      <c r="F8" t="s">
        <v>58</v>
      </c>
      <c r="G8">
        <v>5</v>
      </c>
      <c r="H8" t="s">
        <v>58</v>
      </c>
      <c r="R8" t="str" cm="1">
        <f t="array" ref="R8">CONCATENATE("   .AddIndex(""",B8,""", ",CONCATENATE("EMyIndexType::",C8),", """,D8,""", ",ListePaare(E8:P8)," )")</f>
        <v xml:space="preserve">   .AddIndex("idx_Address_City_Street", EMyIndexType::undefined, "access path to search for city / street combinations in addresses", { { 4, true }, { 5, true } } )</v>
      </c>
    </row>
    <row r="10" spans="1:18" x14ac:dyDescent="0.45">
      <c r="A10" t="s">
        <v>100</v>
      </c>
      <c r="B10" t="s">
        <v>205</v>
      </c>
      <c r="C10" t="s">
        <v>181</v>
      </c>
      <c r="D10" t="s">
        <v>206</v>
      </c>
      <c r="E10">
        <v>2</v>
      </c>
      <c r="F10" t="s">
        <v>58</v>
      </c>
      <c r="R10" t="str" cm="1">
        <f t="array" ref="R10">CONCATENATE("   .AddIndex(""",B10,""", ",CONCATENATE("EMyIndexType::",C10),", """,D10,""", ",ListePaare(E10:P10)," )")</f>
        <v xml:space="preserve">   .AddIndex("uk_AddressType_Denotation", EMyIndexType::key, "unique / representative denotation for an addresstye as key canditate", { { 2, true } } )</v>
      </c>
    </row>
    <row r="12" spans="1:18" x14ac:dyDescent="0.45">
      <c r="A12" t="s">
        <v>101</v>
      </c>
      <c r="B12" t="s">
        <v>225</v>
      </c>
      <c r="C12" t="s">
        <v>90</v>
      </c>
      <c r="D12" t="s">
        <v>226</v>
      </c>
      <c r="E12">
        <v>4</v>
      </c>
      <c r="F12" t="s">
        <v>58</v>
      </c>
      <c r="R12" t="str" cm="1">
        <f t="array" ref="R12">CONCATENATE("   .AddIndex(""",B12,""", ",CONCATENATE("EMyIndexType::",C12),", """,D12,""", ",ListePaare(E12:P12)," )")</f>
        <v xml:space="preserve">   .AddIndex("idx_Banking_IBAN", EMyIndexType::undefined, "access path to search a specific IBAN account number in data", { { 4, true } } )</v>
      </c>
    </row>
    <row r="13" spans="1:18" x14ac:dyDescent="0.45">
      <c r="A13" t="s">
        <v>101</v>
      </c>
      <c r="B13" t="s">
        <v>373</v>
      </c>
      <c r="C13" t="s">
        <v>90</v>
      </c>
      <c r="D13" t="s">
        <v>374</v>
      </c>
      <c r="E13">
        <v>5</v>
      </c>
      <c r="F13" t="s">
        <v>58</v>
      </c>
      <c r="R13" t="str" cm="1">
        <f t="array" ref="R13">CONCATENATE("   .AddIndex(""",B13,""", ",CONCATENATE("EMyIndexType::",C13),", """,D13,""", ",ListePaare(E13:P13)," )")</f>
        <v xml:space="preserve">   .AddIndex("idx_Banking_BIC", EMyIndexType::undefined, "access path to search a specific BIC in data", { { 5, true } } )</v>
      </c>
    </row>
    <row r="15" spans="1:18" x14ac:dyDescent="0.45">
      <c r="A15" t="s">
        <v>102</v>
      </c>
      <c r="B15" t="s">
        <v>234</v>
      </c>
      <c r="C15" t="s">
        <v>181</v>
      </c>
      <c r="D15" t="s">
        <v>235</v>
      </c>
      <c r="E15">
        <v>2</v>
      </c>
      <c r="F15" t="s">
        <v>58</v>
      </c>
      <c r="R15" t="str" cm="1">
        <f t="array" ref="R15">CONCATENATE("   .AddIndex(""",B15,""", ",CONCATENATE("EMyIndexType::",C15),", """,D15,""", ",ListePaare(E15:P15)," )")</f>
        <v xml:space="preserve">   .AddIndex("uk_BankingTypes_Denotation", EMyIndexType::key, "unique / representative denotation for an banking type as key canditate for this entity", { { 2, true } } )</v>
      </c>
    </row>
    <row r="17" spans="1:18" x14ac:dyDescent="0.45">
      <c r="A17" t="s">
        <v>103</v>
      </c>
      <c r="B17" t="s">
        <v>369</v>
      </c>
      <c r="C17" t="s">
        <v>181</v>
      </c>
      <c r="D17" t="s">
        <v>371</v>
      </c>
      <c r="E17">
        <v>2</v>
      </c>
      <c r="F17" t="s">
        <v>58</v>
      </c>
      <c r="R17" t="str" cm="1">
        <f t="array" ref="R17">CONCATENATE("   .AddIndex(""",B17,""", ",CONCATENATE("EMyIndexType::",C17),", """,D17,""", ",ListePaare(E17:P17)," )")</f>
        <v xml:space="preserve">   .AddIndex("uk_Countries_Denotation", EMyIndexType::key, "unique / representative official name of the country as key canditate for this entity", { { 2, true } } )</v>
      </c>
    </row>
    <row r="18" spans="1:18" x14ac:dyDescent="0.45">
      <c r="A18" t="s">
        <v>103</v>
      </c>
      <c r="B18" t="s">
        <v>370</v>
      </c>
      <c r="C18" t="s">
        <v>181</v>
      </c>
      <c r="D18" t="s">
        <v>372</v>
      </c>
      <c r="E18">
        <v>6</v>
      </c>
      <c r="F18" t="s">
        <v>58</v>
      </c>
      <c r="R18" t="str" cm="1">
        <f t="array" ref="R18">CONCATENATE("   .AddIndex(""",B18,""", ",CONCATENATE("EMyIndexType::",C18),", """,D18,""", ",ListePaare(E18:P18)," )")</f>
        <v xml:space="preserve">   .AddIndex("uk_Countries_ISOCode", EMyIndexType::key, "unique / representative official iso code of the country as key canditate for this entity", { { 6, true } } )</v>
      </c>
    </row>
    <row r="20" spans="1:18" x14ac:dyDescent="0.45">
      <c r="A20" t="s">
        <v>104</v>
      </c>
      <c r="B20" t="s">
        <v>367</v>
      </c>
      <c r="C20" t="s">
        <v>181</v>
      </c>
      <c r="D20" t="s">
        <v>368</v>
      </c>
      <c r="E20">
        <v>2</v>
      </c>
      <c r="F20" t="s">
        <v>58</v>
      </c>
      <c r="R20" t="str" cm="1">
        <f t="array" ref="R20">CONCATENATE("   .AddIndex(""",B20,""", ",CONCATENATE("EMyIndexType::",C20),", """,D20,""", ",ListePaare(E20:P20)," )")</f>
        <v xml:space="preserve">   .AddIndex("uk_Departments_Denotation", EMyIndexType::key, "unique / representative denotation forthe department as key canditate for this entity", { { 2, true } } )</v>
      </c>
    </row>
    <row r="21" spans="1:18" x14ac:dyDescent="0.45">
      <c r="A21" t="s">
        <v>104</v>
      </c>
      <c r="B21" t="s">
        <v>409</v>
      </c>
      <c r="C21" t="s">
        <v>90</v>
      </c>
      <c r="D21" t="s">
        <v>408</v>
      </c>
      <c r="E21">
        <v>3</v>
      </c>
      <c r="F21" t="s">
        <v>58</v>
      </c>
      <c r="R21" t="str" cm="1">
        <f t="array" ref="R21">CONCATENATE("   .AddIndex(""",B21,""", ",CONCATENATE("EMyIndexType::",C21),", """,D21,""", ",ListePaare(E21:P21)," )")</f>
        <v xml:space="preserve">   .AddIndex("idx_Departments_Abbr", EMyIndexType::undefined, "search pass for abbreviations of departments", { { 3, true } } )</v>
      </c>
    </row>
    <row r="23" spans="1:18" x14ac:dyDescent="0.45">
      <c r="A23" t="s">
        <v>105</v>
      </c>
      <c r="B23" t="s">
        <v>264</v>
      </c>
      <c r="C23" t="s">
        <v>181</v>
      </c>
      <c r="D23" t="s">
        <v>268</v>
      </c>
      <c r="E23">
        <v>2</v>
      </c>
      <c r="F23" t="s">
        <v>58</v>
      </c>
      <c r="R23" t="str" cm="1">
        <f t="array" ref="R23">CONCATENATE("   .AddIndex(""",B23,""", ",CONCATENATE("EMyIndexType::",C23),", """,D23,""", ",ListePaare(E23:P23)," )")</f>
        <v xml:space="preserve">   .AddIndex("uk_Employees_PersonNumber", EMyIndexType::key, "unique personal number of a employee in company (key canditate)", { { 2, true } } )</v>
      </c>
    </row>
    <row r="24" spans="1:18" x14ac:dyDescent="0.45">
      <c r="A24" t="s">
        <v>105</v>
      </c>
      <c r="B24" t="s">
        <v>267</v>
      </c>
      <c r="C24" t="s">
        <v>181</v>
      </c>
      <c r="D24" t="s">
        <v>269</v>
      </c>
      <c r="E24">
        <v>8</v>
      </c>
      <c r="F24" t="s">
        <v>58</v>
      </c>
      <c r="R24" t="str" cm="1">
        <f t="array" ref="R24">CONCATENATE("   .AddIndex(""",B24,""", ",CONCATENATE("EMyIndexType::",C24),", """,D24,""", ",ListePaare(E24:P24)," )")</f>
        <v xml:space="preserve">   .AddIndex("uk_Employees_SocialNumber", EMyIndexType::key, "extern unique number of an employee (key canditate)", { { 8, true } } )</v>
      </c>
    </row>
    <row r="25" spans="1:18" x14ac:dyDescent="0.45">
      <c r="A25" t="s">
        <v>105</v>
      </c>
      <c r="B25" t="s">
        <v>265</v>
      </c>
      <c r="C25" t="s">
        <v>90</v>
      </c>
      <c r="D25" t="s">
        <v>266</v>
      </c>
      <c r="E25">
        <v>6</v>
      </c>
      <c r="F25" t="s">
        <v>58</v>
      </c>
      <c r="R25" t="str" cm="1">
        <f t="array" ref="R25">CONCATENATE("   .AddIndex(""",B25,""", ",CONCATENATE("EMyIndexType::",C25),", """,D25,""", ",ListePaare(E25:P25)," )")</f>
        <v xml:space="preserve">   .AddIndex("idx_Employees_JobSpec", EMyIndexType::undefined, "access path to search for informations about job specifications", { { 6, true } } )</v>
      </c>
    </row>
    <row r="26" spans="1:18" x14ac:dyDescent="0.45">
      <c r="A26" t="s">
        <v>105</v>
      </c>
      <c r="B26" t="s">
        <v>278</v>
      </c>
      <c r="C26" t="s">
        <v>90</v>
      </c>
      <c r="D26" t="s">
        <v>279</v>
      </c>
      <c r="E26">
        <v>9</v>
      </c>
      <c r="F26" t="s">
        <v>58</v>
      </c>
      <c r="R26" t="str" cm="1">
        <f t="array" ref="R26">CONCATENATE("   .AddIndex(""",B26,""", ",CONCATENATE("EMyIndexType::",C26),", """,D26,""", ",ListePaare(E26:P26)," )")</f>
        <v xml:space="preserve">   .AddIndex("idx_Employees_Active", EMyIndexType::undefined, "access path to search / filter all active employees", { { 9, true } } )</v>
      </c>
    </row>
    <row r="28" spans="1:18" x14ac:dyDescent="0.45">
      <c r="A28" t="s">
        <v>174</v>
      </c>
      <c r="B28" t="s">
        <v>685</v>
      </c>
      <c r="C28" t="s">
        <v>181</v>
      </c>
      <c r="D28" t="s">
        <v>686</v>
      </c>
      <c r="E28">
        <v>2</v>
      </c>
      <c r="F28" t="s">
        <v>58</v>
      </c>
      <c r="R28" t="str" cm="1">
        <f t="array" ref="R28">CONCATENATE("   .AddIndex(""",B28,""", ",CONCATENATE("EMyIndexType::",C28),", """,D28,""", ",ListePaare(E28:P28)," )")</f>
        <v xml:space="preserve">   .AddIndex("uk_FamilyStatus_Denotation", EMyIndexType::key, "unique / representative denotation for a family status as key canditate for this entity", { { 2, true } } )</v>
      </c>
    </row>
    <row r="30" spans="1:18" x14ac:dyDescent="0.45">
      <c r="A30" t="s">
        <v>106</v>
      </c>
      <c r="B30" t="s">
        <v>365</v>
      </c>
      <c r="C30" t="s">
        <v>181</v>
      </c>
      <c r="D30" t="s">
        <v>366</v>
      </c>
      <c r="E30">
        <v>2</v>
      </c>
      <c r="F30" t="s">
        <v>58</v>
      </c>
      <c r="R30" t="str" cm="1">
        <f t="array" ref="R30">CONCATENATE("   .AddIndex(""",B30,""", ",CONCATENATE("EMyIndexType::",C30),", """,D30,""", ",ListePaare(E30:P30)," )")</f>
        <v xml:space="preserve">   .AddIndex("uk_FamilyTypes_Denotation", EMyIndexType::key, "unique / representative denotation for a family type (choosen gender) as key canditate for this entity", { { 2, true } } )</v>
      </c>
    </row>
    <row r="32" spans="1:18" x14ac:dyDescent="0.45">
      <c r="A32" t="s">
        <v>107</v>
      </c>
      <c r="B32" t="s">
        <v>683</v>
      </c>
      <c r="C32" t="s">
        <v>181</v>
      </c>
      <c r="D32" t="s">
        <v>684</v>
      </c>
      <c r="E32">
        <v>2</v>
      </c>
      <c r="F32" t="s">
        <v>58</v>
      </c>
      <c r="R32" t="str" cm="1">
        <f t="array" ref="R32">CONCATENATE("   .AddIndex(""",B32,""", ",CONCATENATE("EMyIndexType::",C32),", """,D32,""", ",ListePaare(E32:P32)," )")</f>
        <v xml:space="preserve">   .AddIndex("uk_FormOfAddress_Denotation", EMyIndexType::key, "unique / representative denotation for a form of address", { { 2, true } } )</v>
      </c>
    </row>
    <row r="34" spans="1:18" x14ac:dyDescent="0.45">
      <c r="A34" t="s">
        <v>108</v>
      </c>
      <c r="B34" t="s">
        <v>437</v>
      </c>
      <c r="C34" t="s">
        <v>90</v>
      </c>
      <c r="D34" t="s">
        <v>438</v>
      </c>
      <c r="E34">
        <v>3</v>
      </c>
      <c r="F34" t="s">
        <v>58</v>
      </c>
      <c r="R34" t="str" cm="1">
        <f t="array" ref="R34">CONCATENATE("   .AddIndex(""",B34,""", ",CONCATENATE("EMyIndexType::",C34),", """,D34,""", ",ListePaare(E34:P34)," )")</f>
        <v xml:space="preserve">   .AddIndex("idxInternet_Address", EMyIndexType::undefined, "access path to seach a address of internet connection", { { 3, true } } )</v>
      </c>
    </row>
    <row r="36" spans="1:18" x14ac:dyDescent="0.45">
      <c r="A36" t="s">
        <v>109</v>
      </c>
      <c r="B36" t="s">
        <v>687</v>
      </c>
      <c r="C36" t="s">
        <v>181</v>
      </c>
      <c r="D36" t="s">
        <v>688</v>
      </c>
      <c r="E36">
        <v>2</v>
      </c>
      <c r="F36" t="s">
        <v>58</v>
      </c>
      <c r="R36" t="str" cm="1">
        <f t="array" ref="R36">CONCATENATE("   .AddIndex(""",B36,""", ",CONCATENATE("EMyIndexType::",C36),", """,D36,""", ",ListePaare(E36:P36)," )")</f>
        <v xml:space="preserve">   .AddIndex("uk_InternetTypes_Denotation", EMyIndexType::key, "unique / representative denotation for this internet type", { { 2, true } } )</v>
      </c>
    </row>
    <row r="38" spans="1:18" x14ac:dyDescent="0.45">
      <c r="A38" t="s">
        <v>110</v>
      </c>
      <c r="B38" t="s">
        <v>689</v>
      </c>
      <c r="C38" t="s">
        <v>181</v>
      </c>
      <c r="D38" t="s">
        <v>690</v>
      </c>
      <c r="E38">
        <v>2</v>
      </c>
      <c r="F38" t="s">
        <v>58</v>
      </c>
      <c r="R38" t="str" cm="1">
        <f t="array" ref="R38">CONCATENATE("   .AddIndex(""",B38,""", ",CONCATENATE("EMyIndexType::",C38),", """,D38,""", ",ListePaare(E38:P38)," )")</f>
        <v xml:space="preserve">   .AddIndex("uk_JobPositions_Denotation", EMyIndexType::key, "unique / representative denotation for this position in job", { { 2, true } } )</v>
      </c>
    </row>
    <row r="40" spans="1:18" x14ac:dyDescent="0.45">
      <c r="A40" t="s">
        <v>111</v>
      </c>
      <c r="B40" t="s">
        <v>419</v>
      </c>
      <c r="C40" t="s">
        <v>90</v>
      </c>
      <c r="D40" t="s">
        <v>420</v>
      </c>
      <c r="E40">
        <v>2</v>
      </c>
      <c r="F40" t="s">
        <v>58</v>
      </c>
      <c r="G40">
        <v>3</v>
      </c>
      <c r="H40" t="s">
        <v>58</v>
      </c>
      <c r="R40" t="str" cm="1">
        <f t="array" ref="R40">CONCATENATE("   .AddIndex(""",B40,""", ",CONCATENATE("EMyIndexType::",C40),", """,D40,""", ",ListePaare(E40:P40)," )")</f>
        <v xml:space="preserve">   .AddIndex("idx_Person_Name_Firstname", EMyIndexType::undefined, "access path to search for name and / or firstname in a person", { { 2, true }, { 3, true } } )</v>
      </c>
    </row>
    <row r="42" spans="1:18" x14ac:dyDescent="0.45">
      <c r="A42" t="s">
        <v>112</v>
      </c>
      <c r="B42" t="s">
        <v>427</v>
      </c>
      <c r="C42" t="s">
        <v>90</v>
      </c>
      <c r="D42" t="s">
        <v>428</v>
      </c>
      <c r="E42">
        <v>3</v>
      </c>
      <c r="F42" t="s">
        <v>58</v>
      </c>
      <c r="G42">
        <v>4</v>
      </c>
      <c r="H42" t="s">
        <v>58</v>
      </c>
      <c r="R42" t="str" cm="1">
        <f t="array" ref="R42">CONCATENATE("   .AddIndex(""",B42,""", ",CONCATENATE("EMyIndexType::",C42),", """,D42,""", ",ListePaare(E42:P42)," )")</f>
        <v xml:space="preserve">   .AddIndex("idx_Phone_Number", EMyIndexType::undefined, "access path to search a phone number", { { 3, true }, { 4, true } } )</v>
      </c>
    </row>
    <row r="44" spans="1:18" x14ac:dyDescent="0.45">
      <c r="A44" t="s">
        <v>142</v>
      </c>
      <c r="B44" t="s">
        <v>691</v>
      </c>
      <c r="C44" t="s">
        <v>181</v>
      </c>
      <c r="D44" t="s">
        <v>693</v>
      </c>
      <c r="E44">
        <v>2</v>
      </c>
      <c r="F44" t="s">
        <v>58</v>
      </c>
      <c r="R44" t="str" cm="1">
        <f t="array" ref="R44">CONCATENATE("   .AddIndex(""",B44,""", ",CONCATENATE("EMyIndexType::",C44),", """,D44,""", ",ListePaare(E44:P44)," )")</f>
        <v xml:space="preserve">   .AddIndex("uk_PhonesTypes_Denotation", EMyIndexType::key, "unique / representative denotation for this type of phone connections", { { 2, true } } )</v>
      </c>
    </row>
    <row r="46" spans="1:18" x14ac:dyDescent="0.45">
      <c r="A46" t="s">
        <v>652</v>
      </c>
      <c r="B46" t="s">
        <v>692</v>
      </c>
      <c r="C46" t="s">
        <v>181</v>
      </c>
      <c r="D46" t="s">
        <v>694</v>
      </c>
      <c r="E46">
        <v>2</v>
      </c>
      <c r="F46" t="s">
        <v>58</v>
      </c>
      <c r="R46" t="str" cm="1">
        <f t="array" ref="R46">CONCATENATE("   .AddIndex(""",B46,""", ",CONCATENATE("EMyIndexType::",C46),", """,D46,""", ",ListePaare(E46:P46)," )")</f>
        <v xml:space="preserve">   .AddIndex("uk_ReasonDeparture_Denotation", EMyIndexType::key, "unique / representative denotation for this reason of departure", { { 2, true } } )</v>
      </c>
    </row>
    <row r="48" spans="1:18" x14ac:dyDescent="0.45">
      <c r="A48" t="s">
        <v>701</v>
      </c>
      <c r="B48" t="s">
        <v>730</v>
      </c>
      <c r="C48" t="s">
        <v>181</v>
      </c>
      <c r="D48" t="s">
        <v>731</v>
      </c>
      <c r="E48">
        <v>2</v>
      </c>
      <c r="F48" t="s">
        <v>58</v>
      </c>
      <c r="R48" t="str" cm="1">
        <f t="array" ref="R48">CONCATENATE("   .AddIndex(""",B48,""", ",CONCATENATE("EMyIndexType::",C48),", """,D48,""", ",ListePaare(E48:P48)," )")</f>
        <v xml:space="preserve">   .AddIndex("uk_ReasonNonWorking_Denotation", EMyIndexType::key, "unique / representative denotation for this reason of idle time", { { 2, true } } )</v>
      </c>
    </row>
    <row r="50" spans="1:18" x14ac:dyDescent="0.45">
      <c r="A50" t="s">
        <v>765</v>
      </c>
      <c r="B50" t="s">
        <v>773</v>
      </c>
      <c r="C50" t="s">
        <v>181</v>
      </c>
      <c r="D50" t="s">
        <v>776</v>
      </c>
      <c r="E50">
        <v>2</v>
      </c>
      <c r="F50" t="s">
        <v>58</v>
      </c>
      <c r="R50" t="str" cm="1">
        <f t="array" ref="R50">CONCATENATE("   .AddIndex(""",B50,""", ",CONCATENATE("EMyIndexType::",C50),", """,D50,""", ",ListePaare(E50:P50)," )")</f>
        <v xml:space="preserve">   .AddIndex("uk_SalaryBase_Denotation", EMyIndexType::key, "unique / representative denotation for this base of salary", { { 2, true } } )</v>
      </c>
    </row>
    <row r="51" spans="1:18" x14ac:dyDescent="0.45">
      <c r="A51" t="s">
        <v>765</v>
      </c>
      <c r="B51" t="s">
        <v>774</v>
      </c>
      <c r="C51" t="s">
        <v>181</v>
      </c>
      <c r="D51" t="s">
        <v>775</v>
      </c>
      <c r="E51">
        <v>3</v>
      </c>
      <c r="F51" t="s">
        <v>58</v>
      </c>
      <c r="R51" t="str" cm="1">
        <f t="array" ref="R51">CONCATENATE("   .AddIndex(""",B51,""", ",CONCATENATE("EMyIndexType::",C51),", """,D51,""", ",ListePaare(E51:P51)," )")</f>
        <v xml:space="preserve">   .AddIndex("uk_SalaryBase_Abbreviation", EMyIndexType::key, "unique / representative abbreviation for this base of salary", { { 3, true } } )</v>
      </c>
    </row>
    <row r="53" spans="1:18" x14ac:dyDescent="0.45">
      <c r="A53" t="s">
        <v>588</v>
      </c>
      <c r="B53" t="s">
        <v>749</v>
      </c>
      <c r="C53" t="s">
        <v>181</v>
      </c>
      <c r="D53" t="s">
        <v>751</v>
      </c>
      <c r="E53">
        <v>2</v>
      </c>
      <c r="F53" t="s">
        <v>58</v>
      </c>
      <c r="R53" t="str" cm="1">
        <f t="array" ref="R53">CONCATENATE("   .AddIndex(""",B53,""", ",CONCATENATE("EMyIndexType::",C53),", """,D53,""", ",ListePaare(E53:P53)," )")</f>
        <v xml:space="preserve">   .AddIndex("uk_WD_Months_Denotation", EMyIndexType::key, "unique / representative denotation for this month, use in selections or to display", { { 2, true } } )</v>
      </c>
    </row>
    <row r="54" spans="1:18" x14ac:dyDescent="0.45">
      <c r="A54" t="s">
        <v>588</v>
      </c>
      <c r="B54" t="s">
        <v>750</v>
      </c>
      <c r="C54" t="s">
        <v>181</v>
      </c>
      <c r="D54" t="s">
        <v>752</v>
      </c>
      <c r="E54">
        <v>3</v>
      </c>
      <c r="F54" t="s">
        <v>58</v>
      </c>
      <c r="R54" t="str" cm="1">
        <f t="array" ref="R54">CONCATENATE("   .AddIndex(""",B54,""", ",CONCATENATE("EMyIndexType::",C54),", """,D54,""", ",ListePaare(E54:P54)," )")</f>
        <v xml:space="preserve">   .AddIndex("uk_WD_Months_Abbreviation", EMyIndexType::key, "unique / representative abbreviation for this month, use in selections or to display", { { 3, true } } )</v>
      </c>
    </row>
    <row r="56" spans="1:18" x14ac:dyDescent="0.45">
      <c r="A56" t="s">
        <v>587</v>
      </c>
      <c r="B56" t="s">
        <v>753</v>
      </c>
      <c r="C56" t="s">
        <v>181</v>
      </c>
      <c r="D56" t="s">
        <v>755</v>
      </c>
      <c r="E56">
        <v>2</v>
      </c>
      <c r="F56" t="s">
        <v>58</v>
      </c>
      <c r="R56" t="str" cm="1">
        <f t="array" ref="R56">CONCATENATE("   .AddIndex(""",B56,""", ",CONCATENATE("EMyIndexType::",C56),", """,D56,""", ",ListePaare(E56:P56)," )")</f>
        <v xml:space="preserve">   .AddIndex("uk_WD_Weekdays_Denotation", EMyIndexType::key, "unique / representative denotation for this weekday, use in selections or to display", { { 2, true } } )</v>
      </c>
    </row>
    <row r="57" spans="1:18" x14ac:dyDescent="0.45">
      <c r="A57" t="s">
        <v>587</v>
      </c>
      <c r="B57" t="s">
        <v>754</v>
      </c>
      <c r="C57" t="s">
        <v>181</v>
      </c>
      <c r="D57" t="s">
        <v>756</v>
      </c>
      <c r="E57">
        <v>3</v>
      </c>
      <c r="F57" t="s">
        <v>58</v>
      </c>
      <c r="R57" t="str" cm="1">
        <f t="array" ref="R57">CONCATENATE("   .AddIndex(""",B57,""", ",CONCATENATE("EMyIndexType::",C57),", """,D57,""", ",ListePaare(E57:P57)," )")</f>
        <v xml:space="preserve">   .AddIndex("uk_WD_Weekdays_Abbreviation", EMyIndexType::key, "unique / representative abbreviation for this weekdays, use in selections or to display", { { 3, true } } )</v>
      </c>
    </row>
    <row r="59" spans="1:18" x14ac:dyDescent="0.45">
      <c r="A59" t="s">
        <v>803</v>
      </c>
      <c r="B59" t="s">
        <v>832</v>
      </c>
      <c r="C59" t="s">
        <v>90</v>
      </c>
      <c r="D59" t="s">
        <v>833</v>
      </c>
      <c r="E59">
        <v>4</v>
      </c>
      <c r="F59" t="s">
        <v>58</v>
      </c>
      <c r="G59">
        <v>5</v>
      </c>
      <c r="H59" t="s">
        <v>58</v>
      </c>
      <c r="R59" t="str" cm="1">
        <f t="array" ref="R59">CONCATENATE("   .AddIndex(""",B59,""", ",CONCATENATE("EMyIndexType::",C59),", """,D59,""", ",ListePaare(E59:P59)," )")</f>
        <v xml:space="preserve">   .AddIndex("idxWD_Workdays_Years_Month", EMyIndexType::undefined, "access path for search year and month for reports", { { 4, true }, { 5, true } } )</v>
      </c>
    </row>
    <row r="61" spans="1:18" x14ac:dyDescent="0.45">
      <c r="A61" t="s">
        <v>302</v>
      </c>
      <c r="B61" t="s">
        <v>503</v>
      </c>
      <c r="C61" t="s">
        <v>181</v>
      </c>
      <c r="D61" t="s">
        <v>501</v>
      </c>
      <c r="E61">
        <v>2</v>
      </c>
      <c r="F61" t="s">
        <v>58</v>
      </c>
      <c r="R61" t="str" cm="1">
        <f t="array" ref="R61">CONCATENATE("   .AddIndex(""",B61,""", ",CONCATENATE("EMyIndexType::",C61),", """,D61,""", ",ListePaare(E61:P61)," )")</f>
        <v xml:space="preserve">   .AddIndex("uk_TaxClasses_Denotation", EMyIndexType::key, "unique / representative official denotation of the tax class as key canditate for this entity", { { 2, true } } )</v>
      </c>
    </row>
    <row r="62" spans="1:18" x14ac:dyDescent="0.45">
      <c r="A62" t="s">
        <v>302</v>
      </c>
      <c r="B62" t="s">
        <v>504</v>
      </c>
      <c r="C62" t="s">
        <v>181</v>
      </c>
      <c r="D62" t="s">
        <v>502</v>
      </c>
      <c r="E62">
        <v>3</v>
      </c>
      <c r="F62" t="s">
        <v>58</v>
      </c>
      <c r="R62" t="str" cm="1">
        <f t="array" ref="R62">CONCATENATE("   .AddIndex(""",B62,""", ",CONCATENATE("EMyIndexType::",C62),", """,D62,""", ",ListePaare(E62:P62)," )")</f>
        <v xml:space="preserve">   .AddIndex("uk_TaxClasses_Abbreviation", EMyIndexType::key, "unique / representative official abbreviation of the tax class as key canditate for this entity", { { 3,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55"/>
  <sheetViews>
    <sheetView tabSelected="1" workbookViewId="0">
      <selection activeCell="C19" sqref="C19"/>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81</v>
      </c>
      <c r="B1" t="s">
        <v>82</v>
      </c>
      <c r="N1" t="s">
        <v>83</v>
      </c>
      <c r="Y1" t="s">
        <v>130</v>
      </c>
      <c r="AB1" t="s">
        <v>59</v>
      </c>
      <c r="AC1" t="s">
        <v>60</v>
      </c>
    </row>
    <row r="2" spans="1:29" x14ac:dyDescent="0.45">
      <c r="A2" t="s">
        <v>23</v>
      </c>
      <c r="B2" t="s">
        <v>84</v>
      </c>
      <c r="C2" t="s">
        <v>94</v>
      </c>
      <c r="D2">
        <v>1</v>
      </c>
      <c r="E2">
        <v>3</v>
      </c>
      <c r="F2">
        <v>5</v>
      </c>
      <c r="N2" t="s">
        <v>23</v>
      </c>
      <c r="O2">
        <v>1</v>
      </c>
      <c r="P2">
        <v>7</v>
      </c>
      <c r="Q2">
        <v>5</v>
      </c>
      <c r="AB2" t="s">
        <v>98</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84</v>
      </c>
      <c r="C4" t="s">
        <v>94</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99</v>
      </c>
      <c r="B9" t="s">
        <v>190</v>
      </c>
      <c r="C9" t="s">
        <v>522</v>
      </c>
      <c r="D9" s="8">
        <v>1</v>
      </c>
      <c r="E9" s="8"/>
      <c r="F9" s="8"/>
      <c r="G9" s="8"/>
      <c r="H9" s="8"/>
      <c r="I9" s="8"/>
      <c r="J9" s="8"/>
      <c r="K9" s="8"/>
      <c r="L9" s="8"/>
      <c r="M9" s="8"/>
      <c r="N9" t="s">
        <v>111</v>
      </c>
      <c r="O9" s="8">
        <v>1</v>
      </c>
      <c r="P9" s="8"/>
      <c r="Q9" s="8"/>
      <c r="R9" s="8"/>
      <c r="S9" s="8"/>
      <c r="T9" s="8"/>
      <c r="U9" s="8"/>
      <c r="V9" s="8"/>
      <c r="W9" s="8"/>
      <c r="X9" s="8"/>
      <c r="Y9" t="s">
        <v>376</v>
      </c>
      <c r="Z9" t="s">
        <v>445</v>
      </c>
      <c r="AB9" t="s">
        <v>377</v>
      </c>
      <c r="AC9" s="5" t="str" cm="1">
        <f t="array" ref="AC9">IF(LängeListe(D9:M9)=LängeListe(O9:X9),CONCATENATE("   .AddReference(",QTFunc(B9),", ",CONCATENATE("EMyReferenceType::",C9),",  ",QTFunc(N9),", ",QTFunc(Y9),", ",QTFunc(Z9),", ",IF(AA9&lt;&gt;"",CONCATENATE("{ ",AA9," }"),"{ }"),", ",QTFunc(AB9),", ",PaarListe(D9:M9,O9:X9)," )"),"nein")</f>
        <v xml:space="preserve">   .AddReference("refAddress2Person", EMyReferenceType::composition,  "Person", "residential address", "1 : n", { }, "part of- relationship from a person to the residential addresses", { {1,1} } )</v>
      </c>
    </row>
    <row r="10" spans="1:29" x14ac:dyDescent="0.45">
      <c r="A10" t="s">
        <v>99</v>
      </c>
      <c r="B10" t="s">
        <v>192</v>
      </c>
      <c r="C10" t="s">
        <v>93</v>
      </c>
      <c r="D10" s="8">
        <v>2</v>
      </c>
      <c r="E10" s="8"/>
      <c r="F10" s="8"/>
      <c r="G10" s="8"/>
      <c r="H10" s="8"/>
      <c r="I10" s="8"/>
      <c r="J10" s="8"/>
      <c r="K10" s="8"/>
      <c r="L10" s="8"/>
      <c r="M10" s="8"/>
      <c r="N10" t="s">
        <v>100</v>
      </c>
      <c r="O10" s="8">
        <v>1</v>
      </c>
      <c r="P10" s="8"/>
      <c r="Q10" s="8"/>
      <c r="R10" s="8"/>
      <c r="S10" s="8"/>
      <c r="T10" s="8"/>
      <c r="U10" s="8"/>
      <c r="V10" s="8"/>
      <c r="W10" s="8"/>
      <c r="X10" s="8"/>
      <c r="Y10" t="s">
        <v>378</v>
      </c>
      <c r="Z10" t="s">
        <v>523</v>
      </c>
      <c r="AA10">
        <v>2</v>
      </c>
      <c r="AB10" t="s">
        <v>191</v>
      </c>
      <c r="AC10" s="5" t="str" cm="1">
        <f t="array" ref="AC10">IF(LängeListe(D10:M10)=LängeListe(O10:X10),CONCATENATE("   .AddReference(",QTFunc(B10),", ",CONCATENATE("EMyReferenceType::",C10),",  ",QTFunc(N10),", ",QTFunc(Y10),", ",QTFunc(Z10),", ",IF(AA10&lt;&gt;"",CONCATENATE("{ ",AA10," }"),"{ }"),", ",QTFunc(AB10),", ",PaarListe(D10:M10,O10:X10)," )"),"nein")</f>
        <v xml:space="preserve">   .AddReference("refAddress2AddressType", EMyReferenceType::range,  "AddressTypes", "has values", "n : 1", { 2 }, "range value to extent the relationship of a person to an address", { {2,1} } )</v>
      </c>
    </row>
    <row r="11" spans="1:29" x14ac:dyDescent="0.45">
      <c r="A11" t="s">
        <v>99</v>
      </c>
      <c r="B11" t="s">
        <v>193</v>
      </c>
      <c r="C11" t="s">
        <v>94</v>
      </c>
      <c r="D11" s="8">
        <v>7</v>
      </c>
      <c r="E11" s="8"/>
      <c r="F11" s="8"/>
      <c r="G11" s="8"/>
      <c r="H11" s="8"/>
      <c r="I11" s="8"/>
      <c r="J11" s="8"/>
      <c r="K11" s="8"/>
      <c r="L11" s="8"/>
      <c r="M11" s="8"/>
      <c r="N11" t="s">
        <v>103</v>
      </c>
      <c r="O11" s="8">
        <v>1</v>
      </c>
      <c r="P11" s="8"/>
      <c r="Q11" s="8"/>
      <c r="R11" s="8"/>
      <c r="S11" s="8"/>
      <c r="T11" s="8"/>
      <c r="U11" s="8"/>
      <c r="V11" s="8"/>
      <c r="W11" s="8"/>
      <c r="X11" s="8"/>
      <c r="Y11" t="s">
        <v>379</v>
      </c>
      <c r="Z11" t="s">
        <v>523</v>
      </c>
      <c r="AA11">
        <v>2</v>
      </c>
      <c r="AB11" t="s">
        <v>231</v>
      </c>
      <c r="AC11" s="5" t="str" cm="1">
        <f t="array" ref="AC11">IF(LängeListe(D11:M11)=LängeListe(O11:X11),CONCATENATE("   .AddReference(",QTFunc(B11),", ",CONCATENATE("EMyReferenceType::",C11),",  ",QTFunc(N11),", ",QTFunc(Y11),", ",QTFunc(Z11),", ",IF(AA11&lt;&gt;"",CONCATENATE("{ ",AA11," }"),"{ }"),", ",QTFunc(AB11),", ",PaarListe(D11:M11,O11:X11)," )"),"nein")</f>
        <v xml:space="preserve">   .AddReference("refAddress2Countries", EMyReferenceType::assoziation,  "Countries", "belongs to", "n : 1", { 2 },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101</v>
      </c>
      <c r="B13" t="s">
        <v>228</v>
      </c>
      <c r="C13" t="s">
        <v>522</v>
      </c>
      <c r="D13" s="8">
        <v>1</v>
      </c>
      <c r="E13" s="8"/>
      <c r="F13" s="8"/>
      <c r="G13" s="8"/>
      <c r="H13" s="8"/>
      <c r="I13" s="8"/>
      <c r="J13" s="8"/>
      <c r="K13" s="8"/>
      <c r="L13" s="8"/>
      <c r="M13" s="8"/>
      <c r="N13" t="s">
        <v>111</v>
      </c>
      <c r="O13" s="8">
        <v>1</v>
      </c>
      <c r="P13" s="8"/>
      <c r="Q13" s="8"/>
      <c r="R13" s="8"/>
      <c r="S13" s="8"/>
      <c r="T13" s="8"/>
      <c r="U13" s="8"/>
      <c r="V13" s="8"/>
      <c r="W13" s="8"/>
      <c r="X13" s="8"/>
      <c r="Y13" t="s">
        <v>382</v>
      </c>
      <c r="Z13" t="s">
        <v>445</v>
      </c>
      <c r="AB13" t="s">
        <v>232</v>
      </c>
      <c r="AC13" s="5" t="str" cm="1">
        <f t="array" ref="AC13">IF(LängeListe(D13:M13)=LängeListe(O13:X13),CONCATENATE("   .AddReference(",QTFunc(B13),", ",CONCATENATE("EMyReferenceType::",C13),",  ",QTFunc(N13),", ",QTFunc(Y13),", ",QTFunc(Z13),", ",IF(AA13&lt;&gt;"",CONCATENATE("{ ",AA13," }"),"{ }"),", ",QTFunc(AB13),", ",PaarListe(D13:M13,O13:X13)," )"),"nein")</f>
        <v xml:space="preserve">   .AddReference("refBanking2Person", EMyReferenceType::composition,  "Person", "owns", "1 : n", { }, "part of relationship from a banking account to the person who own it", { {1,1} } )</v>
      </c>
    </row>
    <row r="14" spans="1:29" x14ac:dyDescent="0.45">
      <c r="A14" t="s">
        <v>101</v>
      </c>
      <c r="B14" t="s">
        <v>229</v>
      </c>
      <c r="C14" t="s">
        <v>93</v>
      </c>
      <c r="D14" s="8">
        <v>2</v>
      </c>
      <c r="E14" s="8"/>
      <c r="F14" s="8"/>
      <c r="G14" s="8"/>
      <c r="H14" s="8"/>
      <c r="I14" s="8"/>
      <c r="J14" s="8"/>
      <c r="K14" s="8"/>
      <c r="L14" s="8"/>
      <c r="M14" s="8"/>
      <c r="N14" t="s">
        <v>102</v>
      </c>
      <c r="O14" s="8">
        <v>1</v>
      </c>
      <c r="P14" s="8"/>
      <c r="Q14" s="8"/>
      <c r="R14" s="8"/>
      <c r="S14" s="8"/>
      <c r="T14" s="8"/>
      <c r="U14" s="8"/>
      <c r="V14" s="8"/>
      <c r="W14" s="8"/>
      <c r="X14" s="8"/>
      <c r="Y14" t="s">
        <v>378</v>
      </c>
      <c r="Z14" t="s">
        <v>523</v>
      </c>
      <c r="AA14">
        <v>2</v>
      </c>
      <c r="AB14" t="s">
        <v>233</v>
      </c>
      <c r="AC14" s="5" t="str" cm="1">
        <f t="array" ref="AC14">IF(LängeListe(D14:M14)=LängeListe(O14:X14),CONCATENATE("   .AddReference(",QTFunc(B14),", ",CONCATENATE("EMyReferenceType::",C14),",  ",QTFunc(N14),", ",QTFunc(Y14),", ",QTFunc(Z14),", ",IF(AA14&lt;&gt;"",CONCATENATE("{ ",AA14," }"),"{ }"),", ",QTFunc(AB14),", ",PaarListe(D14:M14,O14:X14)," )"),"nein")</f>
        <v xml:space="preserve">   .AddReference("refBanking2Type", EMyReferenceType::range,  "BankingTypes", "has values", "n : 1", { 2 }, "range value to extent the relationship of a person to an banking account", { {2,1} } )</v>
      </c>
    </row>
    <row r="15" spans="1:29" x14ac:dyDescent="0.45">
      <c r="A15" t="s">
        <v>101</v>
      </c>
      <c r="B15" t="s">
        <v>227</v>
      </c>
      <c r="C15" t="s">
        <v>94</v>
      </c>
      <c r="D15" s="8">
        <v>7</v>
      </c>
      <c r="E15" s="8"/>
      <c r="F15" s="8"/>
      <c r="G15" s="8"/>
      <c r="H15" s="8"/>
      <c r="I15" s="8"/>
      <c r="J15" s="8"/>
      <c r="K15" s="8"/>
      <c r="L15" s="8"/>
      <c r="M15" s="8"/>
      <c r="N15" t="s">
        <v>103</v>
      </c>
      <c r="O15" s="8">
        <v>1</v>
      </c>
      <c r="P15" s="8"/>
      <c r="Q15" s="8"/>
      <c r="R15" s="8"/>
      <c r="S15" s="8"/>
      <c r="T15" s="8"/>
      <c r="U15" s="8"/>
      <c r="V15" s="8"/>
      <c r="W15" s="8"/>
      <c r="X15" s="8"/>
      <c r="Y15" t="s">
        <v>379</v>
      </c>
      <c r="Z15" t="s">
        <v>523</v>
      </c>
      <c r="AA15">
        <v>2</v>
      </c>
      <c r="AB15" t="s">
        <v>230</v>
      </c>
      <c r="AC15" s="5" t="str" cm="1">
        <f t="array" ref="AC15">IF(LängeListe(D15:M15)=LängeListe(O15:X15),CONCATENATE("   .AddReference(",QTFunc(B15),", ",CONCATENATE("EMyReferenceType::",C15),",  ",QTFunc(N15),", ",QTFunc(Y15),", ",QTFunc(Z15),", ",IF(AA15&lt;&gt;"",CONCATENATE("{ ",AA15," }"),"{ }"),", ",QTFunc(AB15),", ",PaarListe(D15:M15,O15:X15)," )"),"nein")</f>
        <v xml:space="preserve">   .AddReference("refBanking2Countries", EMyReferenceType::assoziation,  "Countries", "belongs to", "n : 1", { 2 }, "key ID to the associated entity of Countries, where bank who manage this account is located", { {7,1}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104</v>
      </c>
      <c r="B17" t="s">
        <v>461</v>
      </c>
      <c r="C17" t="s">
        <v>94</v>
      </c>
      <c r="D17" s="8">
        <v>5</v>
      </c>
      <c r="E17" s="8"/>
      <c r="F17" s="8"/>
      <c r="G17" s="8"/>
      <c r="H17" s="8"/>
      <c r="I17" s="8"/>
      <c r="J17" s="8"/>
      <c r="K17" s="8"/>
      <c r="L17" s="8"/>
      <c r="M17" s="8"/>
      <c r="N17" t="s">
        <v>105</v>
      </c>
      <c r="O17" s="8">
        <v>1</v>
      </c>
      <c r="P17" s="8"/>
      <c r="Q17" s="8"/>
      <c r="R17" s="8"/>
      <c r="S17" s="8"/>
      <c r="T17" s="8"/>
      <c r="U17" s="8"/>
      <c r="V17" s="8"/>
      <c r="W17" s="8"/>
      <c r="X17" s="8"/>
      <c r="Y17" t="s">
        <v>462</v>
      </c>
      <c r="Z17" t="s">
        <v>523</v>
      </c>
      <c r="AA17">
        <v>9</v>
      </c>
      <c r="AB17" t="s">
        <v>463</v>
      </c>
      <c r="AC17" s="5" t="str" cm="1">
        <f t="array" ref="AC17">IF(LängeListe(D17:M17)=LängeListe(O17:X17),CONCATENATE("   .AddReference(",QTFunc(B17),", ",CONCATENATE("EMyReferenceType::",C17),",  ",QTFunc(N17),", ",QTFunc(Y17),", ",QTFunc(Z17),", ",IF(AA17&lt;&gt;"",CONCATENATE("{ ",AA17," }"),"{ }"),", ",QTFunc(AB17),", ",PaarListe(D17:M17,O17:X17)," )"),"nein")</f>
        <v xml:space="preserve">   .AddReference("refDepartments2Employee", EMyReferenceType::assoziation,  "Employees", "responsible", "n : 1", { 9 }, "assoziation between the department to employee who is the responsible officer for this", { {5,1} } )</v>
      </c>
    </row>
    <row r="18" spans="1:29" x14ac:dyDescent="0.45">
      <c r="D18" s="8"/>
      <c r="E18" s="8"/>
      <c r="F18" s="8"/>
      <c r="G18" s="8"/>
      <c r="H18" s="8"/>
      <c r="I18" s="8"/>
      <c r="J18" s="8"/>
      <c r="K18" s="8"/>
      <c r="L18" s="8"/>
      <c r="M18" s="8"/>
      <c r="O18" s="8"/>
      <c r="P18" s="8"/>
      <c r="Q18" s="8"/>
      <c r="R18" s="8"/>
      <c r="S18" s="8"/>
      <c r="T18" s="8"/>
      <c r="U18" s="8"/>
      <c r="V18" s="8"/>
      <c r="W18" s="8"/>
      <c r="X18" s="8"/>
      <c r="AC18" s="5"/>
    </row>
    <row r="19" spans="1:29" x14ac:dyDescent="0.45">
      <c r="A19" t="s">
        <v>105</v>
      </c>
      <c r="B19" t="s">
        <v>256</v>
      </c>
      <c r="C19" t="s">
        <v>92</v>
      </c>
      <c r="D19" s="8">
        <v>1</v>
      </c>
      <c r="E19" s="8"/>
      <c r="F19" s="8"/>
      <c r="G19" s="8"/>
      <c r="H19" s="8"/>
      <c r="I19" s="8"/>
      <c r="J19" s="8"/>
      <c r="K19" s="8"/>
      <c r="L19" s="8"/>
      <c r="M19" s="8"/>
      <c r="N19" t="s">
        <v>111</v>
      </c>
      <c r="O19" s="8">
        <v>1</v>
      </c>
      <c r="P19" s="8"/>
      <c r="Q19" s="8"/>
      <c r="R19" s="8"/>
      <c r="S19" s="8"/>
      <c r="T19" s="8"/>
      <c r="U19" s="8"/>
      <c r="V19" s="8"/>
      <c r="W19" s="8"/>
      <c r="X19" s="8"/>
      <c r="Y19" t="s">
        <v>375</v>
      </c>
      <c r="Z19" s="9" t="s">
        <v>524</v>
      </c>
      <c r="AA19">
        <v>9</v>
      </c>
      <c r="AB19" t="s">
        <v>257</v>
      </c>
      <c r="AC19" s="5" t="str" cm="1">
        <f t="array" ref="AC19">IF(LängeListe(D19:M19)=LängeListe(O19:X19),CONCATENATE("   .AddReference(",QTFunc(B19),", ",CONCATENATE("EMyReferenceType::",C19),",  ",QTFunc(N19),", ",QTFunc(Y19),", ",QTFunc(Z19),", ",IF(AA19&lt;&gt;"",CONCATENATE("{ ",AA19," }"),"{ }"),", ",QTFunc(AB19),", ",PaarListe(D19:M19,O19:X19)," )"),"nein")</f>
        <v xml:space="preserve">   .AddReference("refEmployees2Person", EMyReferenceType::generalization,  "Person", "is-a", "1 : 1", { 9 }, "generalization from an employee to a person (is-a relationship)", { {1,1} } )</v>
      </c>
    </row>
    <row r="20" spans="1:29" x14ac:dyDescent="0.45">
      <c r="A20" t="s">
        <v>105</v>
      </c>
      <c r="B20" t="s">
        <v>785</v>
      </c>
      <c r="C20" t="s">
        <v>93</v>
      </c>
      <c r="D20" s="8">
        <v>4</v>
      </c>
      <c r="E20" s="8"/>
      <c r="F20" s="8"/>
      <c r="G20" s="8"/>
      <c r="H20" s="8"/>
      <c r="I20" s="8"/>
      <c r="J20" s="8"/>
      <c r="K20" s="8"/>
      <c r="L20" s="8"/>
      <c r="M20" s="8"/>
      <c r="N20" t="s">
        <v>761</v>
      </c>
      <c r="O20" s="8">
        <v>1</v>
      </c>
      <c r="P20" s="8"/>
      <c r="Q20" s="8"/>
      <c r="R20" s="8"/>
      <c r="S20" s="8"/>
      <c r="T20" s="8"/>
      <c r="U20" s="8"/>
      <c r="V20" s="8"/>
      <c r="W20" s="8"/>
      <c r="X20" s="8"/>
      <c r="Y20" t="s">
        <v>378</v>
      </c>
      <c r="Z20" s="9" t="s">
        <v>523</v>
      </c>
      <c r="AA20">
        <v>2</v>
      </c>
      <c r="AB20" t="s">
        <v>788</v>
      </c>
      <c r="AC20" s="5" t="str" cm="1">
        <f t="array" ref="AC20">IF(LängeListe(D20:M20)=LängeListe(O20:X20),CONCATENATE("   .AddReference(",QTFunc(B20),", ",CONCATENATE("EMyReferenceType::",C20),",  ",QTFunc(N20),", ",QTFunc(Y20),", ",QTFunc(Z20),", ",IF(AA20&lt;&gt;"",CONCATENATE("{ ",AA20," }"),"{ }"),", ",QTFunc(AB20),", ",PaarListe(D20:M20,O20:X20)," )"),"nein")</f>
        <v xml:space="preserve">   .AddReference("refEmployees2SalaryType", EMyReferenceType::range,  "SalaryType", "has values", "n : 1", { 2 }, "range values as domain for the attribute SalaryType (inside this SalaryBase)", { {4,1} } )</v>
      </c>
    </row>
    <row r="21" spans="1:29" x14ac:dyDescent="0.45">
      <c r="A21" t="s">
        <v>105</v>
      </c>
      <c r="B21" t="s">
        <v>337</v>
      </c>
      <c r="C21" t="s">
        <v>93</v>
      </c>
      <c r="D21" s="8">
        <v>5</v>
      </c>
      <c r="E21" s="8"/>
      <c r="F21" s="8"/>
      <c r="G21" s="8"/>
      <c r="H21" s="8"/>
      <c r="I21" s="8"/>
      <c r="J21" s="8"/>
      <c r="K21" s="8"/>
      <c r="L21" s="8"/>
      <c r="M21" s="8"/>
      <c r="N21" t="s">
        <v>302</v>
      </c>
      <c r="O21" s="8">
        <v>1</v>
      </c>
      <c r="P21" s="8"/>
      <c r="Q21" s="8"/>
      <c r="R21" s="8"/>
      <c r="S21" s="8"/>
      <c r="T21" s="8"/>
      <c r="U21" s="8"/>
      <c r="V21" s="8"/>
      <c r="W21" s="8"/>
      <c r="X21" s="8"/>
      <c r="Y21" t="s">
        <v>378</v>
      </c>
      <c r="Z21" t="s">
        <v>523</v>
      </c>
      <c r="AA21">
        <v>2</v>
      </c>
      <c r="AB21" t="s">
        <v>338</v>
      </c>
      <c r="AC21" s="5" t="str" cm="1">
        <f t="array" ref="AC21">IF(LängeListe(D21:M21)=LängeListe(O21:X21),CONCATENATE("   .AddReference(",QTFunc(B21),", ",CONCATENATE("EMyReferenceType::",C21),",  ",QTFunc(N21),", ",QTFunc(Y21),", ",QTFunc(Z21),", ",IF(AA21&lt;&gt;"",CONCATENATE("{ ",AA21," }"),"{ }"),", ",QTFunc(AB21),", ",PaarListe(D21:M21,O21:X21)," )"),"nein")</f>
        <v xml:space="preserve">   .AddReference("refEmployees2TaxClass", EMyReferenceType::range,  "TaxClasses", "has values", "n : 1", { 2 }, "range value as domain for the attribute TaxClass", { {5,1} } )</v>
      </c>
    </row>
    <row r="22" spans="1:29" x14ac:dyDescent="0.45">
      <c r="A22" t="s">
        <v>105</v>
      </c>
      <c r="B22" t="s">
        <v>654</v>
      </c>
      <c r="C22" t="s">
        <v>93</v>
      </c>
      <c r="D22" s="8">
        <v>8</v>
      </c>
      <c r="E22" s="8"/>
      <c r="F22" s="8"/>
      <c r="G22" s="8"/>
      <c r="H22" s="8"/>
      <c r="I22" s="8"/>
      <c r="J22" s="8"/>
      <c r="K22" s="8"/>
      <c r="L22" s="8"/>
      <c r="M22" s="8"/>
      <c r="N22" t="s">
        <v>652</v>
      </c>
      <c r="O22" s="8">
        <v>1</v>
      </c>
      <c r="P22" s="8"/>
      <c r="Q22" s="8"/>
      <c r="R22" s="8"/>
      <c r="S22" s="8"/>
      <c r="T22" s="8"/>
      <c r="U22" s="8"/>
      <c r="V22" s="8"/>
      <c r="W22" s="8"/>
      <c r="X22" s="8"/>
      <c r="Y22" t="s">
        <v>655</v>
      </c>
      <c r="Z22" t="s">
        <v>523</v>
      </c>
      <c r="AA22">
        <v>2</v>
      </c>
      <c r="AB22" t="s">
        <v>656</v>
      </c>
      <c r="AC22" s="5" t="str" cm="1">
        <f t="array" ref="AC22">IF(LängeListe(D22:M22)=LängeListe(O22:X22),CONCATENATE("   .AddReference(",QTFunc(B22),", ",CONCATENATE("EMyReferenceType::",C22),",  ",QTFunc(N22),", ",QTFunc(Y22),", ",QTFunc(Z22),", ",IF(AA22&lt;&gt;"",CONCATENATE("{ ",AA22," }"),"{ }"),", ",QTFunc(AB22),", ",PaarListe(D22:M22,O22:X22)," )"),"nein")</f>
        <v xml:space="preserve">   .AddReference("refEmployees2ReasonDeparture", EMyReferenceType::range,  "ReasonDeparture", "separation because", "n : 1", { 2 }, "range value as domain for the reason for departure of the employee", { {8,1} } )</v>
      </c>
    </row>
    <row r="23" spans="1:29" x14ac:dyDescent="0.45">
      <c r="A23" t="s">
        <v>105</v>
      </c>
      <c r="B23" t="s">
        <v>258</v>
      </c>
      <c r="C23" t="s">
        <v>93</v>
      </c>
      <c r="D23" s="8">
        <v>9</v>
      </c>
      <c r="E23" s="8"/>
      <c r="F23" s="8"/>
      <c r="G23" s="8"/>
      <c r="H23" s="8"/>
      <c r="I23" s="8"/>
      <c r="J23" s="8"/>
      <c r="K23" s="8"/>
      <c r="L23" s="8"/>
      <c r="M23" s="8"/>
      <c r="N23" t="s">
        <v>110</v>
      </c>
      <c r="O23" s="8">
        <v>1</v>
      </c>
      <c r="P23" s="8"/>
      <c r="Q23" s="8"/>
      <c r="R23" s="8"/>
      <c r="S23" s="8"/>
      <c r="T23" s="8"/>
      <c r="U23" s="8"/>
      <c r="V23" s="8"/>
      <c r="W23" s="8"/>
      <c r="X23" s="8"/>
      <c r="Y23" t="s">
        <v>380</v>
      </c>
      <c r="Z23" t="s">
        <v>523</v>
      </c>
      <c r="AA23">
        <v>2</v>
      </c>
      <c r="AB23" t="s">
        <v>259</v>
      </c>
      <c r="AC23" s="5" t="str" cm="1">
        <f t="array" ref="AC23">IF(LängeListe(D23:M23)=LängeListe(O23:X23),CONCATENATE("   .AddReference(",QTFunc(B23),", ",CONCATENATE("EMyReferenceType::",C23),",  ",QTFunc(N23),", ",QTFunc(Y23),", ",QTFunc(Z23),", ",IF(AA23&lt;&gt;"",CONCATENATE("{ ",AA23," }"),"{ }"),", ",QTFunc(AB23),", ",PaarListe(D23:M23,O23:X23)," )"),"nein")</f>
        <v xml:space="preserve">   .AddReference("refEmployees2JobPositions", EMyReferenceType::range,  "JobPositions", "holds", "n : 1", { 2 }, "range value as domain for this attribute, possible jobpositions in company", { {9,1} } )</v>
      </c>
    </row>
    <row r="24" spans="1:29" x14ac:dyDescent="0.45">
      <c r="A24" t="s">
        <v>105</v>
      </c>
      <c r="B24" t="s">
        <v>260</v>
      </c>
      <c r="C24" t="s">
        <v>94</v>
      </c>
      <c r="D24" s="8">
        <v>12</v>
      </c>
      <c r="E24" s="8"/>
      <c r="F24" s="8"/>
      <c r="G24" s="8"/>
      <c r="H24" s="8"/>
      <c r="I24" s="8"/>
      <c r="J24" s="8"/>
      <c r="K24" s="8"/>
      <c r="L24" s="8"/>
      <c r="M24" s="8"/>
      <c r="N24" t="s">
        <v>104</v>
      </c>
      <c r="O24" s="8">
        <v>1</v>
      </c>
      <c r="P24" s="8"/>
      <c r="Q24" s="8"/>
      <c r="R24" s="8"/>
      <c r="S24" s="8"/>
      <c r="T24" s="8"/>
      <c r="U24" s="8"/>
      <c r="V24" s="8"/>
      <c r="W24" s="8"/>
      <c r="X24" s="8"/>
      <c r="Y24" t="s">
        <v>381</v>
      </c>
      <c r="Z24" t="s">
        <v>523</v>
      </c>
      <c r="AA24">
        <v>2</v>
      </c>
      <c r="AB24" t="s">
        <v>261</v>
      </c>
      <c r="AC24" s="5" t="str" cm="1">
        <f t="array" ref="AC24">IF(LängeListe(D24:M24)=LängeListe(O24:X24),CONCATENATE("   .AddReference(",QTFunc(B24),", ",CONCATENATE("EMyReferenceType::",C24),",  ",QTFunc(N24),", ",QTFunc(Y24),", ",QTFunc(Z24),", ",IF(AA24&lt;&gt;"",CONCATENATE("{ ",AA24," }"),"{ }"),", ",QTFunc(AB24),", ",PaarListe(D24:M24,O24:X24)," )"),"nein")</f>
        <v xml:space="preserve">   .AddReference("refEmployees2Department", EMyReferenceType::assoziation,  "Departments", "works in", "n : 1", { 2 }, "assoziations between an employee to the department where she/he work", { {12,1} } )</v>
      </c>
    </row>
    <row r="25" spans="1:29" x14ac:dyDescent="0.45">
      <c r="D25" s="8"/>
      <c r="E25" s="8"/>
      <c r="F25" s="8"/>
      <c r="G25" s="8"/>
      <c r="H25" s="8"/>
      <c r="I25" s="8"/>
      <c r="J25" s="8"/>
      <c r="K25" s="8"/>
      <c r="L25" s="8"/>
      <c r="M25" s="8"/>
      <c r="O25" s="8"/>
      <c r="P25" s="8"/>
      <c r="Q25" s="8"/>
      <c r="R25" s="8"/>
      <c r="S25" s="8"/>
      <c r="T25" s="8"/>
      <c r="U25" s="8"/>
      <c r="V25" s="8"/>
      <c r="W25" s="8"/>
      <c r="X25" s="8"/>
      <c r="AC25" s="5"/>
    </row>
    <row r="26" spans="1:29" x14ac:dyDescent="0.45">
      <c r="A26" t="s">
        <v>107</v>
      </c>
      <c r="B26" t="s">
        <v>439</v>
      </c>
      <c r="C26" t="s">
        <v>94</v>
      </c>
      <c r="D26" s="8">
        <v>5</v>
      </c>
      <c r="E26" s="8"/>
      <c r="F26" s="8"/>
      <c r="G26" s="8"/>
      <c r="H26" s="8"/>
      <c r="I26" s="8"/>
      <c r="J26" s="8"/>
      <c r="K26" s="8"/>
      <c r="L26" s="8"/>
      <c r="M26" s="8"/>
      <c r="N26" t="s">
        <v>106</v>
      </c>
      <c r="O26" s="8">
        <v>1</v>
      </c>
      <c r="P26" s="8"/>
      <c r="Q26" s="8"/>
      <c r="R26" s="8"/>
      <c r="S26" s="8"/>
      <c r="T26" s="8"/>
      <c r="U26" s="8"/>
      <c r="V26" s="8"/>
      <c r="W26" s="8"/>
      <c r="X26" s="8"/>
      <c r="Y26" t="s">
        <v>440</v>
      </c>
      <c r="Z26" t="s">
        <v>523</v>
      </c>
      <c r="AA26">
        <v>2</v>
      </c>
      <c r="AB26" t="s">
        <v>441</v>
      </c>
      <c r="AC26" s="5" t="str" cm="1">
        <f t="array" ref="AC26">IF(LängeListe(D26:M26)=LängeListe(O26:X26),CONCATENATE("   .AddReference(",QTFunc(B26),", ",CONCATENATE("EMyReferenceType::",C26),",  ",QTFunc(N26),", ",QTFunc(Y26),", ",QTFunc(Z26),", ",IF(AA26&lt;&gt;"",CONCATENATE("{ ",AA26," }"),"{ }"),", ",QTFunc(AB26),", ",PaarListe(D26:M26,O26:X26)," )"),"nein")</f>
        <v xml:space="preserve">   .AddReference("refFormOfAddress2Type", EMyReferenceType::assoziation,  "FamilyTypes", "represent", "n : 1", { 2 }, "assoziation between a form of address and a familiy type which is represent", { {5,1} } )</v>
      </c>
    </row>
    <row r="27" spans="1:29" x14ac:dyDescent="0.45">
      <c r="D27" s="8"/>
      <c r="E27" s="8"/>
      <c r="F27" s="8"/>
      <c r="G27" s="8"/>
      <c r="H27" s="8"/>
      <c r="I27" s="8"/>
      <c r="J27" s="8"/>
      <c r="K27" s="8"/>
      <c r="L27" s="8"/>
      <c r="M27" s="8"/>
      <c r="O27" s="8"/>
      <c r="P27" s="8"/>
      <c r="Q27" s="8"/>
      <c r="R27" s="8"/>
      <c r="S27" s="8"/>
      <c r="T27" s="8"/>
      <c r="U27" s="8"/>
      <c r="V27" s="8"/>
      <c r="W27" s="8"/>
      <c r="X27" s="8"/>
      <c r="AC27" s="5"/>
    </row>
    <row r="28" spans="1:29" x14ac:dyDescent="0.45">
      <c r="A28" t="s">
        <v>108</v>
      </c>
      <c r="B28" t="s">
        <v>433</v>
      </c>
      <c r="C28" t="s">
        <v>522</v>
      </c>
      <c r="D28" s="8">
        <v>1</v>
      </c>
      <c r="E28" s="8"/>
      <c r="F28" s="8"/>
      <c r="G28" s="8"/>
      <c r="H28" s="8"/>
      <c r="I28" s="8"/>
      <c r="J28" s="8"/>
      <c r="K28" s="8"/>
      <c r="L28" s="8"/>
      <c r="M28" s="8"/>
      <c r="N28" t="s">
        <v>111</v>
      </c>
      <c r="O28" s="8">
        <v>1</v>
      </c>
      <c r="P28" s="8"/>
      <c r="Q28" s="8"/>
      <c r="R28" s="8"/>
      <c r="S28" s="8"/>
      <c r="T28" s="8"/>
      <c r="U28" s="8"/>
      <c r="V28" s="8"/>
      <c r="W28" s="8"/>
      <c r="X28" s="8"/>
      <c r="Y28" t="s">
        <v>382</v>
      </c>
      <c r="Z28" t="s">
        <v>445</v>
      </c>
      <c r="AB28" t="s">
        <v>435</v>
      </c>
      <c r="AC28" s="5" t="str" cm="1">
        <f t="array" ref="AC28">IF(LängeListe(D28:M28)=LängeListe(O28:X28),CONCATENATE("   .AddReference(",QTFunc(B28),", ",CONCATENATE("EMyReferenceType::",C28),",  ",QTFunc(N28),", ",QTFunc(Y28),", ",QTFunc(Z28),", ",IF(AA28&lt;&gt;"",CONCATENATE("{ ",AA28," }"),"{ }"),", ",QTFunc(AB28),", ",PaarListe(D28:M28,O28:X28)," )"),"nein")</f>
        <v xml:space="preserve">   .AddReference("refInternet2Person", EMyReferenceType::composition,  "Person", "owns", "1 : n", { }, "part of relationship from an internet connection to the person who own it", { {1,1} } )</v>
      </c>
    </row>
    <row r="29" spans="1:29" x14ac:dyDescent="0.45">
      <c r="A29" t="s">
        <v>108</v>
      </c>
      <c r="B29" t="s">
        <v>434</v>
      </c>
      <c r="C29" t="s">
        <v>93</v>
      </c>
      <c r="D29" s="8">
        <v>2</v>
      </c>
      <c r="E29" s="8"/>
      <c r="F29" s="8"/>
      <c r="G29" s="8"/>
      <c r="H29" s="8"/>
      <c r="I29" s="8"/>
      <c r="J29" s="8"/>
      <c r="K29" s="8"/>
      <c r="L29" s="8"/>
      <c r="M29" s="8"/>
      <c r="N29" t="s">
        <v>109</v>
      </c>
      <c r="O29" s="8">
        <v>1</v>
      </c>
      <c r="P29" s="8"/>
      <c r="Q29" s="8"/>
      <c r="R29" s="8"/>
      <c r="S29" s="8"/>
      <c r="T29" s="8"/>
      <c r="U29" s="8"/>
      <c r="V29" s="8"/>
      <c r="W29" s="8"/>
      <c r="X29" s="8"/>
      <c r="Y29" t="s">
        <v>378</v>
      </c>
      <c r="Z29" t="s">
        <v>523</v>
      </c>
      <c r="AA29">
        <v>2</v>
      </c>
      <c r="AB29" t="s">
        <v>436</v>
      </c>
      <c r="AC29" s="5" t="str" cm="1">
        <f t="array" ref="AC29">IF(LängeListe(D29:M29)=LängeListe(O29:X29),CONCATENATE("   .AddReference(",QTFunc(B29),", ",CONCATENATE("EMyReferenceType::",C29),",  ",QTFunc(N29),", ",QTFunc(Y29),", ",QTFunc(Z29),", ",IF(AA29&lt;&gt;"",CONCATENATE("{ ",AA29," }"),"{ }"),", ",QTFunc(AB29),", ",PaarListe(D29:M29,O29:X29)," )"),"nein")</f>
        <v xml:space="preserve">   .AddReference("refInternet2Type", EMyReferenceType::range,  "InternetTypes", "has values", "n : 1", { 2 }, "range value to extent the relationship of a person to an internet connection", { {2,1} } )</v>
      </c>
    </row>
    <row r="30" spans="1:29" x14ac:dyDescent="0.45">
      <c r="D30" s="8"/>
      <c r="E30" s="8"/>
      <c r="F30" s="8"/>
      <c r="G30" s="8"/>
      <c r="H30" s="8"/>
      <c r="I30" s="8"/>
      <c r="J30" s="8"/>
      <c r="K30" s="8"/>
      <c r="L30" s="8"/>
      <c r="M30" s="8"/>
      <c r="O30" s="8"/>
      <c r="P30" s="8"/>
      <c r="Q30" s="8"/>
      <c r="R30" s="8"/>
      <c r="S30" s="8"/>
      <c r="T30" s="8"/>
      <c r="U30" s="8"/>
      <c r="V30" s="8"/>
      <c r="W30" s="8"/>
      <c r="X30" s="8"/>
      <c r="AC30" s="5"/>
    </row>
    <row r="31" spans="1:29" x14ac:dyDescent="0.45">
      <c r="A31" t="s">
        <v>110</v>
      </c>
      <c r="B31" t="s">
        <v>867</v>
      </c>
      <c r="C31" t="s">
        <v>93</v>
      </c>
      <c r="D31" s="8">
        <v>1</v>
      </c>
      <c r="E31" s="8"/>
      <c r="F31" s="8"/>
      <c r="G31" s="8"/>
      <c r="H31" s="8"/>
      <c r="I31" s="8"/>
      <c r="J31" s="8"/>
      <c r="K31" s="8"/>
      <c r="L31" s="8"/>
      <c r="M31" s="8"/>
      <c r="N31" t="s">
        <v>761</v>
      </c>
      <c r="O31" s="8">
        <v>1</v>
      </c>
      <c r="P31" s="8"/>
      <c r="Q31" s="8"/>
      <c r="R31" s="8"/>
      <c r="S31" s="8"/>
      <c r="T31" s="8"/>
      <c r="U31" s="8"/>
      <c r="V31" s="8"/>
      <c r="W31" s="8"/>
      <c r="X31" s="8"/>
      <c r="Y31" t="s">
        <v>865</v>
      </c>
      <c r="Z31" t="s">
        <v>523</v>
      </c>
      <c r="AA31">
        <v>2</v>
      </c>
      <c r="AB31" t="s">
        <v>866</v>
      </c>
      <c r="AC31" s="5" t="str" cm="1">
        <f t="array" ref="AC31">IF(LängeListe(D31:M31)=LängeListe(O31:X31),CONCATENATE("   .AddReference(",QTFunc(B31),", ",CONCATENATE("EMyReferenceType::",C31),",  ",QTFunc(N31),", ",QTFunc(Y31),", ",QTFunc(Z31),", ",IF(AA31&lt;&gt;"",CONCATENATE("{ ",AA31," }"),"{ }"),", ",QTFunc(AB31),", ",PaarListe(D31:M31,O31:X31)," )"),"nein")</f>
        <v xml:space="preserve">   .AddReference("refJobPosition2SalaryType", EMyReferenceType::range,  "SalaryType", "is in this", "n : 1", { 2 }, "range value which descripe which kind of salary this JobPositions use", { {1,1} } )</v>
      </c>
    </row>
    <row r="32" spans="1:29" x14ac:dyDescent="0.45">
      <c r="D32" s="8"/>
      <c r="E32" s="8"/>
      <c r="F32" s="8"/>
      <c r="G32" s="8"/>
      <c r="H32" s="8"/>
      <c r="I32" s="8"/>
      <c r="J32" s="8"/>
      <c r="K32" s="8"/>
      <c r="L32" s="8"/>
      <c r="M32" s="8"/>
      <c r="O32" s="8"/>
      <c r="P32" s="8"/>
      <c r="Q32" s="8"/>
      <c r="R32" s="8"/>
      <c r="S32" s="8"/>
      <c r="T32" s="8"/>
      <c r="U32" s="8"/>
      <c r="V32" s="8"/>
      <c r="W32" s="8"/>
      <c r="X32" s="8"/>
      <c r="AC32" s="5"/>
    </row>
    <row r="33" spans="1:29" x14ac:dyDescent="0.45">
      <c r="A33" t="s">
        <v>111</v>
      </c>
      <c r="B33" t="s">
        <v>430</v>
      </c>
      <c r="C33" t="s">
        <v>93</v>
      </c>
      <c r="D33" s="8">
        <v>4</v>
      </c>
      <c r="E33" s="8"/>
      <c r="F33" s="8"/>
      <c r="G33" s="8"/>
      <c r="H33" s="8"/>
      <c r="I33" s="8"/>
      <c r="J33" s="8"/>
      <c r="K33" s="8"/>
      <c r="L33" s="8"/>
      <c r="M33" s="8"/>
      <c r="N33" t="s">
        <v>107</v>
      </c>
      <c r="O33" s="8">
        <v>1</v>
      </c>
      <c r="P33" s="8"/>
      <c r="Q33" s="8"/>
      <c r="R33" s="8"/>
      <c r="S33" s="8"/>
      <c r="T33" s="8"/>
      <c r="U33" s="8"/>
      <c r="V33" s="8"/>
      <c r="W33" s="8"/>
      <c r="X33" s="8"/>
      <c r="Y33" t="s">
        <v>378</v>
      </c>
      <c r="Z33" t="s">
        <v>523</v>
      </c>
      <c r="AA33">
        <v>2</v>
      </c>
      <c r="AB33" t="s">
        <v>431</v>
      </c>
      <c r="AC33" s="5" t="str" cm="1">
        <f t="array" ref="AC33">IF(LängeListe(D33:M33)=LängeListe(O33:X33),CONCATENATE("   .AddReference(",QTFunc(B33),", ",CONCATENATE("EMyReferenceType::",C33),",  ",QTFunc(N33),", ",QTFunc(Y33),", ",QTFunc(Z33),", ",IF(AA33&lt;&gt;"",CONCATENATE("{ ",AA33," }"),"{ }"),", ",QTFunc(AB33),", ",PaarListe(D33:M33,O33:X33)," )"),"nein")</f>
        <v xml:space="preserve">   .AddReference("refPerson2FormOfAddress", EMyReferenceType::range,  "FormOfAddress", "has values", "n : 1", { 2 }, "range value to extent the relationship of a person to a form of address", { {4,1} } )</v>
      </c>
    </row>
    <row r="34" spans="1:29" x14ac:dyDescent="0.45">
      <c r="A34" t="s">
        <v>111</v>
      </c>
      <c r="B34" t="s">
        <v>429</v>
      </c>
      <c r="C34" t="s">
        <v>93</v>
      </c>
      <c r="D34" s="8">
        <v>5</v>
      </c>
      <c r="E34" s="8"/>
      <c r="F34" s="8"/>
      <c r="G34" s="8"/>
      <c r="H34" s="8"/>
      <c r="I34" s="8"/>
      <c r="J34" s="8"/>
      <c r="K34" s="8"/>
      <c r="L34" s="8"/>
      <c r="M34" s="8"/>
      <c r="N34" t="s">
        <v>174</v>
      </c>
      <c r="O34" s="8">
        <v>1</v>
      </c>
      <c r="P34" s="8"/>
      <c r="Q34" s="8"/>
      <c r="R34" s="8"/>
      <c r="S34" s="8"/>
      <c r="T34" s="8"/>
      <c r="U34" s="8"/>
      <c r="V34" s="8"/>
      <c r="W34" s="8"/>
      <c r="X34" s="8"/>
      <c r="Y34" t="s">
        <v>378</v>
      </c>
      <c r="Z34" t="s">
        <v>523</v>
      </c>
      <c r="AA34">
        <v>2</v>
      </c>
      <c r="AB34" t="s">
        <v>432</v>
      </c>
      <c r="AC34" s="5" t="str" cm="1">
        <f t="array" ref="AC34">IF(LängeListe(D34:M34)=LängeListe(O34:X34),CONCATENATE("   .AddReference(",QTFunc(B34),", ",CONCATENATE("EMyReferenceType::",C34),",  ",QTFunc(N34),", ",QTFunc(Y34),", ",QTFunc(Z34),", ",IF(AA34&lt;&gt;"",CONCATENATE("{ ",AA34," }"),"{ }"),", ",QTFunc(AB34),", ",PaarListe(D34:M34,O34:X34)," )"),"nein")</f>
        <v xml:space="preserve">   .AddReference("refPerson2FamilyStatus", EMyReferenceType::range,  "FamilyStatus", "has values", "n : 1", { 2 }, "range value to extent the relationship of a person to a family status",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112</v>
      </c>
      <c r="B36" t="s">
        <v>421</v>
      </c>
      <c r="C36" t="s">
        <v>522</v>
      </c>
      <c r="D36" s="8">
        <v>1</v>
      </c>
      <c r="E36" s="8"/>
      <c r="F36" s="8"/>
      <c r="G36" s="8"/>
      <c r="H36" s="8"/>
      <c r="I36" s="8"/>
      <c r="J36" s="8"/>
      <c r="K36" s="8"/>
      <c r="L36" s="8"/>
      <c r="M36" s="8"/>
      <c r="N36" t="s">
        <v>111</v>
      </c>
      <c r="O36" s="8">
        <v>1</v>
      </c>
      <c r="P36" s="8"/>
      <c r="Q36" s="8"/>
      <c r="R36" s="8"/>
      <c r="S36" s="8"/>
      <c r="T36" s="8"/>
      <c r="U36" s="8"/>
      <c r="V36" s="8"/>
      <c r="W36" s="8"/>
      <c r="X36" s="8"/>
      <c r="Y36" t="s">
        <v>382</v>
      </c>
      <c r="Z36" t="s">
        <v>445</v>
      </c>
      <c r="AA36">
        <v>2</v>
      </c>
      <c r="AB36" t="s">
        <v>422</v>
      </c>
      <c r="AC36" s="5" t="str" cm="1">
        <f t="array" ref="AC36">IF(LängeListe(D36:M36)=LängeListe(O36:X36),CONCATENATE("   .AddReference(",QTFunc(B36),", ",CONCATENATE("EMyReferenceType::",C36),",  ",QTFunc(N36),", ",QTFunc(Y36),", ",QTFunc(Z36),", ",IF(AA36&lt;&gt;"",CONCATENATE("{ ",AA36," }"),"{ }"),", ",QTFunc(AB36),", ",PaarListe(D36:M36,O36:X36)," )"),"nein")</f>
        <v xml:space="preserve">   .AddReference("refPhone2Person", EMyReferenceType::composition,  "Person", "owns", "1 : n", { 2 }, "part of relationship from a phone number to the person who own it", { {1,1} } )</v>
      </c>
    </row>
    <row r="37" spans="1:29" x14ac:dyDescent="0.45">
      <c r="A37" t="s">
        <v>112</v>
      </c>
      <c r="B37" t="s">
        <v>425</v>
      </c>
      <c r="C37" t="s">
        <v>93</v>
      </c>
      <c r="D37" s="8">
        <v>2</v>
      </c>
      <c r="E37" s="8"/>
      <c r="F37" s="8"/>
      <c r="G37" s="8"/>
      <c r="H37" s="8"/>
      <c r="I37" s="8"/>
      <c r="J37" s="8"/>
      <c r="K37" s="8"/>
      <c r="L37" s="8"/>
      <c r="M37" s="8"/>
      <c r="N37" t="s">
        <v>142</v>
      </c>
      <c r="O37" s="8">
        <v>1</v>
      </c>
      <c r="P37" s="8"/>
      <c r="Q37" s="8"/>
      <c r="R37" s="8"/>
      <c r="S37" s="8"/>
      <c r="T37" s="8"/>
      <c r="U37" s="8"/>
      <c r="V37" s="8"/>
      <c r="W37" s="8"/>
      <c r="X37" s="8"/>
      <c r="Y37" t="s">
        <v>378</v>
      </c>
      <c r="Z37" t="s">
        <v>523</v>
      </c>
      <c r="AA37">
        <v>2</v>
      </c>
      <c r="AB37" t="s">
        <v>423</v>
      </c>
      <c r="AC37" s="5" t="str" cm="1">
        <f t="array" ref="AC37">IF(LängeListe(D37:M37)=LängeListe(O37:X37),CONCATENATE("   .AddReference(",QTFunc(B37),", ",CONCATENATE("EMyReferenceType::",C37),",  ",QTFunc(N37),", ",QTFunc(Y37),", ",QTFunc(Z37),", ",IF(AA37&lt;&gt;"",CONCATENATE("{ ",AA37," }"),"{ }"),", ",QTFunc(AB37),", ",PaarListe(D37:M37,O37:X37)," )"),"nein")</f>
        <v xml:space="preserve">   .AddReference("refPhone2Type", EMyReferenceType::range,  "PhonesTypes", "has values", "n : 1", { 2 }, "range value to extent the relationship of a person to a phone number", { {2,1} } )</v>
      </c>
    </row>
    <row r="38" spans="1:29" x14ac:dyDescent="0.45">
      <c r="A38" t="s">
        <v>112</v>
      </c>
      <c r="B38" t="s">
        <v>426</v>
      </c>
      <c r="C38" t="s">
        <v>94</v>
      </c>
      <c r="D38" s="8">
        <v>5</v>
      </c>
      <c r="E38" s="8"/>
      <c r="F38" s="8"/>
      <c r="G38" s="8"/>
      <c r="H38" s="8"/>
      <c r="I38" s="8"/>
      <c r="J38" s="8"/>
      <c r="K38" s="8"/>
      <c r="L38" s="8"/>
      <c r="M38" s="8"/>
      <c r="N38" t="s">
        <v>103</v>
      </c>
      <c r="O38" s="8">
        <v>1</v>
      </c>
      <c r="P38" s="8"/>
      <c r="Q38" s="8"/>
      <c r="R38" s="8"/>
      <c r="S38" s="8"/>
      <c r="T38" s="8"/>
      <c r="U38" s="8"/>
      <c r="V38" s="8"/>
      <c r="W38" s="8"/>
      <c r="X38" s="8"/>
      <c r="Y38" t="s">
        <v>379</v>
      </c>
      <c r="Z38" t="s">
        <v>523</v>
      </c>
      <c r="AA38">
        <v>2</v>
      </c>
      <c r="AB38" t="s">
        <v>424</v>
      </c>
      <c r="AC38" s="5" t="str" cm="1">
        <f t="array" ref="AC38">IF(LängeListe(D38:M38)=LängeListe(O38:X38),CONCATENATE("   .AddReference(",QTFunc(B38),", ",CONCATENATE("EMyReferenceType::",C38),",  ",QTFunc(N38),", ",QTFunc(Y38),", ",QTFunc(Z38),", ",IF(AA38&lt;&gt;"",CONCATENATE("{ ",AA38," }"),"{ }"),", ",QTFunc(AB38),", ",PaarListe(D38:M38,O38:X38)," )"),"nein")</f>
        <v xml:space="preserve">   .AddReference("refPhone2Countries", EMyReferenceType::assoziation,  "Countries", "belongs to", "n : 1", { 2 }, "key ID to the associated entity of Countries, where phone connection located", { {5,1} } )</v>
      </c>
    </row>
    <row r="39" spans="1:29" x14ac:dyDescent="0.45">
      <c r="D39" s="8"/>
      <c r="E39" s="8"/>
      <c r="F39" s="8"/>
      <c r="G39" s="8"/>
      <c r="H39" s="8"/>
      <c r="I39" s="8"/>
      <c r="J39" s="8"/>
      <c r="K39" s="8"/>
      <c r="L39" s="8"/>
      <c r="M39" s="8"/>
      <c r="O39" s="8"/>
      <c r="P39" s="8"/>
      <c r="Q39" s="8"/>
      <c r="R39" s="8"/>
      <c r="S39" s="8"/>
      <c r="T39" s="8"/>
      <c r="U39" s="8"/>
      <c r="V39" s="8"/>
      <c r="W39" s="8"/>
      <c r="X39" s="8"/>
      <c r="AC39" s="5"/>
    </row>
    <row r="40" spans="1:29" x14ac:dyDescent="0.45">
      <c r="A40" t="s">
        <v>761</v>
      </c>
      <c r="B40" t="s">
        <v>827</v>
      </c>
      <c r="C40" t="s">
        <v>93</v>
      </c>
      <c r="D40" s="8">
        <v>5</v>
      </c>
      <c r="E40" s="8"/>
      <c r="F40" s="8"/>
      <c r="G40" s="8"/>
      <c r="H40" s="8"/>
      <c r="I40" s="8"/>
      <c r="J40" s="8"/>
      <c r="K40" s="8"/>
      <c r="L40" s="8"/>
      <c r="M40" s="8"/>
      <c r="N40" t="s">
        <v>765</v>
      </c>
      <c r="O40" s="8">
        <v>1</v>
      </c>
      <c r="P40" s="8"/>
      <c r="Q40" s="8"/>
      <c r="R40" s="8"/>
      <c r="S40" s="8"/>
      <c r="T40" s="8"/>
      <c r="U40" s="8"/>
      <c r="V40" s="8"/>
      <c r="W40" s="8"/>
      <c r="X40" s="8"/>
      <c r="Y40" t="s">
        <v>378</v>
      </c>
      <c r="Z40" t="s">
        <v>523</v>
      </c>
      <c r="AA40">
        <v>2</v>
      </c>
      <c r="AB40" t="s">
        <v>826</v>
      </c>
      <c r="AC40" s="5" t="str" cm="1">
        <f t="array" ref="AC40">IF(LängeListe(D40:M40)=LängeListe(O40:X40),CONCATENATE("   .AddReference(",QTFunc(B40),", ",CONCATENATE("EMyReferenceType::",C40),",  ",QTFunc(N40),", ",QTFunc(Y40),", ",QTFunc(Z40),", ",IF(AA40&lt;&gt;"",CONCATENATE("{ ",AA40," }"),"{ }"),", ",QTFunc(AB40),", ",PaarListe(D40:M40,O40:X40)," )"),"nein")</f>
        <v xml:space="preserve">   .AddReference("refSalaryType2SalaryBase", EMyReferenceType::range,  "SalaryBase", "has values", "n : 1", { 2 }, "range value for the salary base, used for different kinds of calculations", { {5,1} } )</v>
      </c>
    </row>
    <row r="41" spans="1:29" x14ac:dyDescent="0.45">
      <c r="D41" s="8"/>
      <c r="E41" s="8"/>
      <c r="F41" s="8"/>
      <c r="G41" s="8"/>
      <c r="H41" s="8"/>
      <c r="I41" s="8"/>
      <c r="J41" s="8"/>
      <c r="K41" s="8"/>
      <c r="L41" s="8"/>
      <c r="M41" s="8"/>
      <c r="O41" s="8"/>
      <c r="P41" s="8"/>
      <c r="Q41" s="8"/>
      <c r="R41" s="8"/>
      <c r="S41" s="8"/>
      <c r="T41" s="8"/>
      <c r="U41" s="8"/>
      <c r="V41" s="8"/>
      <c r="W41" s="8"/>
      <c r="X41" s="8"/>
      <c r="AC41" s="5"/>
    </row>
    <row r="42" spans="1:29" x14ac:dyDescent="0.45">
      <c r="A42" t="s">
        <v>601</v>
      </c>
      <c r="B42" t="s">
        <v>834</v>
      </c>
      <c r="C42" t="s">
        <v>94</v>
      </c>
      <c r="D42" s="8">
        <v>1</v>
      </c>
      <c r="E42" s="8"/>
      <c r="F42" s="8"/>
      <c r="G42" s="8"/>
      <c r="H42" s="8"/>
      <c r="I42" s="8"/>
      <c r="J42" s="8"/>
      <c r="K42" s="8"/>
      <c r="L42" s="8"/>
      <c r="M42" s="8"/>
      <c r="N42" t="s">
        <v>803</v>
      </c>
      <c r="O42" s="8">
        <v>1</v>
      </c>
      <c r="P42" s="8"/>
      <c r="Q42" s="8"/>
      <c r="R42" s="8"/>
      <c r="S42" s="8"/>
      <c r="T42" s="8"/>
      <c r="U42" s="8"/>
      <c r="V42" s="8"/>
      <c r="W42" s="8"/>
      <c r="X42" s="8"/>
      <c r="Y42" t="s">
        <v>835</v>
      </c>
      <c r="Z42" s="9" t="s">
        <v>876</v>
      </c>
      <c r="AB42" t="s">
        <v>836</v>
      </c>
      <c r="AC42" s="5" t="str" cm="1">
        <f t="array" ref="AC42">IF(LängeListe(D42:M42)=LängeListe(O42:X42),CONCATENATE("   .AddReference(",QTFunc(B42),", ",CONCATENATE("EMyReferenceType::",C42),",  ",QTFunc(N42),", ",QTFunc(Y42),", ",QTFunc(Z42),", ",IF(AA42&lt;&gt;"",CONCATENATE("{ ",AA42," }"),"{ }"),", ",QTFunc(AB42),", ",PaarListe(D42:M42,O42:X42)," )"),"nein")</f>
        <v xml:space="preserve">   .AddReference("refWD_Holidays_Workdays", EMyReferenceType::assoziation,  "WD_Workdays", "is free", "0 : 1", { }, "assoziation of a holiday to the working days table", { {1,1} } )</v>
      </c>
    </row>
    <row r="43" spans="1:29" x14ac:dyDescent="0.45">
      <c r="D43" s="8"/>
      <c r="E43" s="8"/>
      <c r="F43" s="8"/>
      <c r="G43" s="8"/>
      <c r="H43" s="8"/>
      <c r="I43" s="8"/>
      <c r="J43" s="8"/>
      <c r="K43" s="8"/>
      <c r="L43" s="8"/>
      <c r="M43" s="8"/>
      <c r="O43" s="8"/>
      <c r="P43" s="8"/>
      <c r="Q43" s="8"/>
      <c r="R43" s="8"/>
      <c r="S43" s="8"/>
      <c r="T43" s="8"/>
      <c r="U43" s="8"/>
      <c r="V43" s="8"/>
      <c r="W43" s="8"/>
      <c r="X43" s="8"/>
      <c r="AC43" s="5"/>
    </row>
    <row r="44" spans="1:29" x14ac:dyDescent="0.45">
      <c r="A44" t="s">
        <v>695</v>
      </c>
      <c r="B44" t="s">
        <v>739</v>
      </c>
      <c r="C44" t="s">
        <v>522</v>
      </c>
      <c r="D44" s="8">
        <v>1</v>
      </c>
      <c r="E44" s="8"/>
      <c r="F44" s="8"/>
      <c r="G44" s="8"/>
      <c r="H44" s="8"/>
      <c r="I44" s="8"/>
      <c r="J44" s="8"/>
      <c r="K44" s="8"/>
      <c r="L44" s="8"/>
      <c r="M44" s="8"/>
      <c r="N44" t="s">
        <v>105</v>
      </c>
      <c r="O44" s="8">
        <v>1</v>
      </c>
      <c r="P44" s="8"/>
      <c r="Q44" s="8"/>
      <c r="R44" s="8"/>
      <c r="S44" s="8"/>
      <c r="T44" s="8"/>
      <c r="U44" s="8"/>
      <c r="V44" s="8"/>
      <c r="W44" s="8"/>
      <c r="X44" s="8"/>
      <c r="Y44" t="s">
        <v>737</v>
      </c>
      <c r="Z44" t="s">
        <v>445</v>
      </c>
      <c r="AB44" t="s">
        <v>738</v>
      </c>
      <c r="AC44" s="5" t="str" cm="1">
        <f t="array" ref="AC44">IF(LängeListe(D44:M44)=LängeListe(O44:X44),CONCATENATE("   .AddReference(",QTFunc(B44),", ",CONCATENATE("EMyReferenceType::",C44),",  ",QTFunc(N44),", ",QTFunc(Y44),", ",QTFunc(Z44),", ",IF(AA44&lt;&gt;"",CONCATENATE("{ ",AA44," }"),"{ }"),", ",QTFunc(AB44),", ",PaarListe(D44:M44,O44:X44)," )"),"nein")</f>
        <v xml:space="preserve">   .AddReference("refNonWorking2Employee", EMyReferenceType::composition,  "Employees", "idled", "1 : n", { }, "part of relationship to idle times / times of non working", { {1,1} } )</v>
      </c>
    </row>
    <row r="45" spans="1:29" x14ac:dyDescent="0.45">
      <c r="A45" t="s">
        <v>695</v>
      </c>
      <c r="B45" t="s">
        <v>855</v>
      </c>
      <c r="C45" t="s">
        <v>94</v>
      </c>
      <c r="D45" s="8">
        <v>2</v>
      </c>
      <c r="E45" s="8"/>
      <c r="F45" s="8"/>
      <c r="G45" s="8"/>
      <c r="H45" s="8"/>
      <c r="I45" s="8"/>
      <c r="J45" s="8"/>
      <c r="K45" s="8"/>
      <c r="L45" s="8"/>
      <c r="M45" s="8"/>
      <c r="N45" t="s">
        <v>803</v>
      </c>
      <c r="O45" s="8">
        <v>1</v>
      </c>
      <c r="P45" s="8"/>
      <c r="Q45" s="8"/>
      <c r="R45" s="8"/>
      <c r="S45" s="8"/>
      <c r="T45" s="8"/>
      <c r="U45" s="8"/>
      <c r="V45" s="8"/>
      <c r="W45" s="8"/>
      <c r="X45" s="8"/>
      <c r="Y45" t="s">
        <v>857</v>
      </c>
      <c r="Z45" t="s">
        <v>523</v>
      </c>
      <c r="AB45" t="s">
        <v>858</v>
      </c>
      <c r="AC45" s="5" t="str" cm="1">
        <f t="array" ref="AC45">IF(LängeListe(D45:M45)=LängeListe(O45:X45),CONCATENATE("   .AddReference(",QTFunc(B45),", ",CONCATENATE("EMyReferenceType::",C45),",  ",QTFunc(N45),", ",QTFunc(Y45),", ",QTFunc(Z45),", ",IF(AA45&lt;&gt;"",CONCATENATE("{ ",AA45," }"),"{ }"),", ",QTFunc(AB45),", ",PaarListe(D45:M45,O45:X45)," )"),"nein")</f>
        <v xml:space="preserve">   .AddReference("refNonWorking2Workday_Start", EMyReferenceType::assoziation,  "WD_Workdays", "is at", "n : 1", { }, "assoziation between the non-working time and the working days for the begin", { {2,1} } )</v>
      </c>
    </row>
    <row r="46" spans="1:29" x14ac:dyDescent="0.45">
      <c r="A46" t="s">
        <v>695</v>
      </c>
      <c r="B46" t="s">
        <v>856</v>
      </c>
      <c r="C46" t="s">
        <v>94</v>
      </c>
      <c r="D46" s="8">
        <v>3</v>
      </c>
      <c r="E46" s="8"/>
      <c r="F46" s="8"/>
      <c r="G46" s="8"/>
      <c r="H46" s="8"/>
      <c r="I46" s="8"/>
      <c r="J46" s="8"/>
      <c r="K46" s="8"/>
      <c r="L46" s="8"/>
      <c r="M46" s="8"/>
      <c r="N46" t="s">
        <v>803</v>
      </c>
      <c r="O46" s="8">
        <v>1</v>
      </c>
      <c r="P46" s="8"/>
      <c r="Q46" s="8"/>
      <c r="R46" s="8"/>
      <c r="S46" s="8"/>
      <c r="T46" s="8"/>
      <c r="U46" s="8"/>
      <c r="V46" s="8"/>
      <c r="W46" s="8"/>
      <c r="X46" s="8"/>
      <c r="Y46" t="s">
        <v>857</v>
      </c>
      <c r="Z46" t="s">
        <v>523</v>
      </c>
      <c r="AB46" t="s">
        <v>859</v>
      </c>
      <c r="AC46" s="5" t="str" cm="1">
        <f t="array" ref="AC46">IF(LängeListe(D46:M46)=LängeListe(O46:X46),CONCATENATE("   .AddReference(",QTFunc(B46),", ",CONCATENATE("EMyReferenceType::",C46),",  ",QTFunc(N46),", ",QTFunc(Y46),", ",QTFunc(Z46),", ",IF(AA46&lt;&gt;"",CONCATENATE("{ ",AA46," }"),"{ }"),", ",QTFunc(AB46),", ",PaarListe(D46:M46,O46:X46)," )"),"nein")</f>
        <v xml:space="preserve">   .AddReference("refNonWorking2Workday_Finishing", EMyReferenceType::assoziation,  "WD_Workdays", "is at", "n : 1", { }, "assoziation between the non-working time and the working days for the end", { {3,1} } )</v>
      </c>
    </row>
    <row r="47" spans="1:29" x14ac:dyDescent="0.45">
      <c r="A47" t="s">
        <v>695</v>
      </c>
      <c r="B47" t="s">
        <v>740</v>
      </c>
      <c r="C47" t="s">
        <v>93</v>
      </c>
      <c r="D47" s="8">
        <v>4</v>
      </c>
      <c r="E47" s="8"/>
      <c r="F47" s="8"/>
      <c r="G47" s="8"/>
      <c r="H47" s="8"/>
      <c r="I47" s="8"/>
      <c r="J47" s="8"/>
      <c r="K47" s="8"/>
      <c r="L47" s="8"/>
      <c r="M47" s="8"/>
      <c r="N47" t="s">
        <v>701</v>
      </c>
      <c r="O47" s="8">
        <v>1</v>
      </c>
      <c r="P47" s="8"/>
      <c r="Q47" s="8"/>
      <c r="R47" s="8"/>
      <c r="S47" s="8"/>
      <c r="T47" s="8"/>
      <c r="U47" s="8"/>
      <c r="V47" s="8"/>
      <c r="W47" s="8"/>
      <c r="X47" s="8"/>
      <c r="Y47" t="s">
        <v>378</v>
      </c>
      <c r="Z47" t="s">
        <v>523</v>
      </c>
      <c r="AA47">
        <v>2</v>
      </c>
      <c r="AB47" t="s">
        <v>741</v>
      </c>
      <c r="AC47" s="5" t="str" cm="1">
        <f t="array" ref="AC47">IF(LängeListe(D47:M47)=LängeListe(O47:X47),CONCATENATE("   .AddReference(",QTFunc(B47),", ",CONCATENATE("EMyReferenceType::",C47),",  ",QTFunc(N47),", ",QTFunc(Y47),", ",QTFunc(Z47),", ",IF(AA47&lt;&gt;"",CONCATENATE("{ ",AA47," }"),"{ }"),", ",QTFunc(AB47),", ",PaarListe(D47:M47,O47:X47)," )"),"nein")</f>
        <v xml:space="preserve">   .AddReference("refNonWorking2Reason", EMyReferenceType::range,  "ReasonNonWorking", "has values", "n : 1", { 2 }, "range value who describe the reason for the idle time", { {4,1} } )</v>
      </c>
    </row>
    <row r="48" spans="1:29" x14ac:dyDescent="0.45">
      <c r="D48" s="8"/>
      <c r="E48" s="8"/>
      <c r="F48" s="8"/>
      <c r="G48" s="8"/>
      <c r="H48" s="8"/>
      <c r="I48" s="8"/>
      <c r="J48" s="8"/>
      <c r="K48" s="8"/>
      <c r="L48" s="8"/>
      <c r="M48" s="8"/>
      <c r="O48" s="8"/>
      <c r="P48" s="8"/>
      <c r="Q48" s="8"/>
      <c r="R48" s="8"/>
      <c r="S48" s="8"/>
      <c r="T48" s="8"/>
      <c r="U48" s="8"/>
      <c r="V48" s="8"/>
      <c r="W48" s="8"/>
      <c r="X48" s="8"/>
      <c r="AC48" s="5"/>
    </row>
    <row r="49" spans="1:29" x14ac:dyDescent="0.45">
      <c r="A49" t="s">
        <v>803</v>
      </c>
      <c r="B49" t="s">
        <v>828</v>
      </c>
      <c r="C49" t="s">
        <v>93</v>
      </c>
      <c r="D49" s="8">
        <v>2</v>
      </c>
      <c r="E49" s="8"/>
      <c r="F49" s="8"/>
      <c r="G49" s="8"/>
      <c r="H49" s="8"/>
      <c r="I49" s="8"/>
      <c r="J49" s="8"/>
      <c r="K49" s="8"/>
      <c r="L49" s="8"/>
      <c r="M49" s="8"/>
      <c r="N49" t="s">
        <v>587</v>
      </c>
      <c r="O49" s="8">
        <v>1</v>
      </c>
      <c r="P49" s="8"/>
      <c r="Q49" s="8"/>
      <c r="R49" s="8"/>
      <c r="S49" s="8"/>
      <c r="T49" s="8"/>
      <c r="U49" s="8"/>
      <c r="V49" s="8"/>
      <c r="W49" s="8"/>
      <c r="X49" s="8"/>
      <c r="Y49" t="s">
        <v>378</v>
      </c>
      <c r="Z49" t="s">
        <v>523</v>
      </c>
      <c r="AA49">
        <v>2</v>
      </c>
      <c r="AB49" t="s">
        <v>830</v>
      </c>
      <c r="AC49" s="5" t="str" cm="1">
        <f t="array" ref="AC49">IF(LängeListe(D49:M49)=LängeListe(O49:X49),CONCATENATE("   .AddReference(",QTFunc(B49),", ",CONCATENATE("EMyReferenceType::",C49),",  ",QTFunc(N49),", ",QTFunc(Y49),", ",QTFunc(Z49),", ",IF(AA49&lt;&gt;"",CONCATENATE("{ ",AA49," }"),"{ }"),", ",QTFunc(AB49),", ",PaarListe(D49:M49,O49:X49)," )"),"nein")</f>
        <v xml:space="preserve">   .AddReference("refWD_Workdays2WeekDay", EMyReferenceType::range,  "WD_Weekdays", "has values", "n : 1", { 2 }, "range value for the calendar weekday", { {2,1} } )</v>
      </c>
    </row>
    <row r="50" spans="1:29" x14ac:dyDescent="0.45">
      <c r="A50" t="s">
        <v>803</v>
      </c>
      <c r="B50" t="s">
        <v>829</v>
      </c>
      <c r="C50" t="s">
        <v>93</v>
      </c>
      <c r="D50" s="8">
        <v>5</v>
      </c>
      <c r="E50" s="8"/>
      <c r="F50" s="8"/>
      <c r="G50" s="8"/>
      <c r="H50" s="8"/>
      <c r="I50" s="8"/>
      <c r="J50" s="8"/>
      <c r="K50" s="8"/>
      <c r="L50" s="8"/>
      <c r="M50" s="8"/>
      <c r="N50" t="s">
        <v>588</v>
      </c>
      <c r="O50" s="8">
        <v>1</v>
      </c>
      <c r="P50" s="8"/>
      <c r="Q50" s="8"/>
      <c r="R50" s="8"/>
      <c r="S50" s="8"/>
      <c r="T50" s="8"/>
      <c r="U50" s="8"/>
      <c r="V50" s="8"/>
      <c r="W50" s="8"/>
      <c r="X50" s="8"/>
      <c r="Y50" t="s">
        <v>378</v>
      </c>
      <c r="Z50" t="s">
        <v>523</v>
      </c>
      <c r="AA50">
        <v>2</v>
      </c>
      <c r="AB50" t="s">
        <v>831</v>
      </c>
      <c r="AC50" s="5" t="str" cm="1">
        <f t="array" ref="AC50">IF(LängeListe(D50:M50)=LängeListe(O50:X50),CONCATENATE("   .AddReference(",QTFunc(B50),", ",CONCATENATE("EMyReferenceType::",C50),",  ",QTFunc(N50),", ",QTFunc(Y50),", ",QTFunc(Z50),", ",IF(AA50&lt;&gt;"",CONCATENATE("{ ",AA50," }"),"{ }"),", ",QTFunc(AB50),", ",PaarListe(D50:M50,O50:X50)," )"),"nein")</f>
        <v xml:space="preserve">   .AddReference("refWD_Workdays2Month", EMyReferenceType::range,  "WD_Months", "has values", "n : 1", { 2 }, "range value for the calendar month", { {5,1} } )</v>
      </c>
    </row>
    <row r="51" spans="1:29" x14ac:dyDescent="0.45">
      <c r="D51" s="8"/>
      <c r="E51" s="8"/>
      <c r="F51" s="8"/>
      <c r="G51" s="8"/>
      <c r="H51" s="8"/>
      <c r="I51" s="8"/>
      <c r="J51" s="8"/>
      <c r="K51" s="8"/>
      <c r="L51" s="8"/>
      <c r="M51" s="8"/>
      <c r="O51" s="8"/>
      <c r="P51" s="8"/>
      <c r="Q51" s="8"/>
      <c r="R51" s="8"/>
      <c r="S51" s="8"/>
      <c r="T51" s="8"/>
      <c r="U51" s="8"/>
      <c r="V51" s="8"/>
      <c r="W51" s="8"/>
      <c r="X51" s="8"/>
      <c r="AC51" s="5"/>
    </row>
    <row r="52" spans="1:29" x14ac:dyDescent="0.45">
      <c r="A52" t="s">
        <v>169</v>
      </c>
      <c r="B52" t="s">
        <v>442</v>
      </c>
      <c r="C52" t="s">
        <v>522</v>
      </c>
      <c r="D52" s="8">
        <v>1</v>
      </c>
      <c r="E52" s="8"/>
      <c r="F52" s="8"/>
      <c r="G52" s="8"/>
      <c r="H52" s="8"/>
      <c r="I52" s="8"/>
      <c r="J52" s="8"/>
      <c r="K52" s="8"/>
      <c r="L52" s="8"/>
      <c r="M52" s="8"/>
      <c r="N52" t="s">
        <v>105</v>
      </c>
      <c r="O52" s="8">
        <v>1</v>
      </c>
      <c r="P52" s="8"/>
      <c r="Q52" s="8"/>
      <c r="R52" s="8"/>
      <c r="S52" s="8"/>
      <c r="T52" s="8"/>
      <c r="U52" s="8"/>
      <c r="V52" s="8"/>
      <c r="W52" s="8"/>
      <c r="X52" s="8"/>
      <c r="Y52" t="s">
        <v>443</v>
      </c>
      <c r="Z52" t="s">
        <v>445</v>
      </c>
      <c r="AB52" t="s">
        <v>444</v>
      </c>
      <c r="AC52" s="5" t="str" cm="1">
        <f t="array" ref="AC52">IF(LängeListe(D52:M52)=LängeListe(O52:X52),CONCATENATE("   .AddReference(",QTFunc(B52),", ",CONCATENATE("EMyReferenceType::",C52),",  ",QTFunc(N52),", ",QTFunc(Y52),", ",QTFunc(Z52),", ",IF(AA52&lt;&gt;"",CONCATENATE("{ ",AA52," }"),"{ }"),", ",QTFunc(AB52),", ",PaarListe(D52:M52,O52:X52)," )"),"nein")</f>
        <v xml:space="preserve">   .AddReference("refWorkTime2Employee", EMyReferenceType::composition,  "Employees", "worked", "1 : n", { }, "part of relationship of work times to the employees", { {1,1} } )</v>
      </c>
    </row>
    <row r="53" spans="1:29" x14ac:dyDescent="0.45">
      <c r="AC53" s="5"/>
    </row>
    <row r="54" spans="1:29" x14ac:dyDescent="0.45">
      <c r="AC54" s="5"/>
    </row>
    <row r="55" spans="1:29" x14ac:dyDescent="0.45">
      <c r="AC55" s="5"/>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R31"/>
  <sheetViews>
    <sheetView zoomScale="115" zoomScaleNormal="115" workbookViewId="0">
      <selection activeCell="A31" sqref="A31"/>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32.59765625" customWidth="1"/>
    <col min="9" max="9" width="6.33203125" customWidth="1"/>
    <col min="10" max="10" width="39.1328125" customWidth="1"/>
    <col min="11" max="11" width="108.59765625" bestFit="1" customWidth="1"/>
  </cols>
  <sheetData>
    <row r="1" spans="1:18" x14ac:dyDescent="0.45">
      <c r="K1" t="s">
        <v>60</v>
      </c>
    </row>
    <row r="2" spans="1:18" x14ac:dyDescent="0.45">
      <c r="A2" s="1" t="s">
        <v>34</v>
      </c>
      <c r="B2" s="1" t="s">
        <v>35</v>
      </c>
      <c r="C2" s="1" t="s">
        <v>36</v>
      </c>
      <c r="D2" s="1" t="s">
        <v>37</v>
      </c>
      <c r="E2" s="1" t="s">
        <v>38</v>
      </c>
      <c r="F2" s="1" t="s">
        <v>85</v>
      </c>
      <c r="G2" s="1" t="s">
        <v>161</v>
      </c>
      <c r="H2" s="1" t="s">
        <v>280</v>
      </c>
      <c r="I2" s="1"/>
      <c r="J2" s="1" t="s">
        <v>59</v>
      </c>
    </row>
    <row r="3" spans="1:18" x14ac:dyDescent="0.45">
      <c r="A3" t="s">
        <v>32</v>
      </c>
      <c r="B3" t="s">
        <v>69</v>
      </c>
      <c r="C3" t="s">
        <v>57</v>
      </c>
      <c r="D3" t="s">
        <v>57</v>
      </c>
      <c r="E3" t="s">
        <v>33</v>
      </c>
      <c r="G3" t="s">
        <v>61</v>
      </c>
      <c r="H3" s="3"/>
      <c r="I3" t="s">
        <v>57</v>
      </c>
      <c r="J3" s="7" t="s">
        <v>387</v>
      </c>
      <c r="K3" s="5" t="str">
        <f>CONCATENATE("   ",$K$1,".AddDataType(""",A3,""", """,B3, """, ",C3,", ",D3, ", """,H3,""", """,E3,""", """,F3,""", """,G3,""", ",I3,", """,J3,"""",    " );")</f>
        <v xml:space="preserve">   dictionary.AddDataType("bigint", "BIGINT", false, false, "", "long long", "", "i", false, "BIGINT is largest integer data type for SQL Server . It uses 8 bytes of storage." );</v>
      </c>
      <c r="R3" s="3" t="s">
        <v>182</v>
      </c>
    </row>
    <row r="4" spans="1:18" x14ac:dyDescent="0.45">
      <c r="A4" t="s">
        <v>27</v>
      </c>
      <c r="B4" t="s">
        <v>388</v>
      </c>
      <c r="C4" t="s">
        <v>57</v>
      </c>
      <c r="D4" t="s">
        <v>57</v>
      </c>
      <c r="E4" t="s">
        <v>27</v>
      </c>
      <c r="G4" t="s">
        <v>62</v>
      </c>
      <c r="H4" s="3" t="s">
        <v>285</v>
      </c>
      <c r="I4" t="s">
        <v>57</v>
      </c>
      <c r="J4" s="7" t="s">
        <v>389</v>
      </c>
      <c r="K4" s="5" t="str">
        <f t="shared" ref="K4:K14" si="0">CONCATENATE("   ",$K$1,".AddDataType(""",A4,""", """,B4, """, ",C4,", ",D4, ", """,H4,""", """,E4,""", """,F4,""", """,G4,""", ",I4,", """,J4,"""",    " );")</f>
        <v xml:space="preserve">   dictionary.AddDataType("bool", "TINYINT", false, false, "IN (0, 1)", "bool", "", "bo", false, "boolean (true = 1, false = 2) in source will transformed to TINYINT. This is the smallest integer data type and only uses 1 byte of storage. this data type is an integer value from 0 to 255." );</v>
      </c>
      <c r="R4" t="s">
        <v>57</v>
      </c>
    </row>
    <row r="5" spans="1:18" x14ac:dyDescent="0.45">
      <c r="A5" t="s">
        <v>24</v>
      </c>
      <c r="B5" t="s">
        <v>71</v>
      </c>
      <c r="C5" t="s">
        <v>58</v>
      </c>
      <c r="D5" t="s">
        <v>57</v>
      </c>
      <c r="E5" t="s">
        <v>26</v>
      </c>
      <c r="F5" t="s">
        <v>180</v>
      </c>
      <c r="G5" t="s">
        <v>64</v>
      </c>
      <c r="H5" s="3"/>
      <c r="I5" t="s">
        <v>58</v>
      </c>
      <c r="J5" s="7" t="s">
        <v>391</v>
      </c>
      <c r="K5" s="5" t="str">
        <f t="shared" si="0"/>
        <v xml:space="preserve">   dictionary.AddDataType("char", "CHAR", true, false, "", "std::string", "&lt;string&gt;", "c", true, "CHAR is a fixed-sized character data type and will transformed to a std::string. Use this type when values are consistent in length. The max  size is 8,000, storing up to 8,000 ASCII characters." );</v>
      </c>
      <c r="R5" s="3" t="s">
        <v>183</v>
      </c>
    </row>
    <row r="6" spans="1:18" x14ac:dyDescent="0.45">
      <c r="A6" t="s">
        <v>22</v>
      </c>
      <c r="B6" t="s">
        <v>72</v>
      </c>
      <c r="C6" t="s">
        <v>57</v>
      </c>
      <c r="D6" t="s">
        <v>57</v>
      </c>
      <c r="E6" t="s">
        <v>29</v>
      </c>
      <c r="F6" t="s">
        <v>179</v>
      </c>
      <c r="G6" t="s">
        <v>63</v>
      </c>
      <c r="H6" s="3"/>
      <c r="I6" t="s">
        <v>57</v>
      </c>
      <c r="J6" s="7" t="s">
        <v>392</v>
      </c>
      <c r="K6" s="5" t="str">
        <f t="shared" si="0"/>
        <v xml:space="preserve">   dictionary.AddDataType("date", "DATE", false, false, "", "std::chrono::year_month_day", "&lt;chrono&gt;", "da", false, "date is the DATE data type which is specifies a date in SQL Server.  DATE supports dates from 0001-01-01 through 9999-12-31. Ist will transformed to a std::chrono::year_month_day which is supported from C++20. DATE supports dates from 0001-01-01 through 9999-12-31." );</v>
      </c>
      <c r="R6" t="s">
        <v>184</v>
      </c>
    </row>
    <row r="7" spans="1:18" x14ac:dyDescent="0.45">
      <c r="A7" t="s">
        <v>30</v>
      </c>
      <c r="B7" t="s">
        <v>72</v>
      </c>
      <c r="C7" t="s">
        <v>57</v>
      </c>
      <c r="D7" t="s">
        <v>57</v>
      </c>
      <c r="E7" t="s">
        <v>31</v>
      </c>
      <c r="F7" t="s">
        <v>179</v>
      </c>
      <c r="G7" t="s">
        <v>65</v>
      </c>
      <c r="H7" s="3"/>
      <c r="I7" t="s">
        <v>57</v>
      </c>
      <c r="J7" s="7" t="s">
        <v>390</v>
      </c>
      <c r="K7" s="5" t="str">
        <f t="shared" si="0"/>
        <v xml:space="preserve">   dictionary.AddDataType("datetime", "DATE", false, false, "", "std::chrono::system_clock::time_point&gt;", "&lt;chrono&gt;", "dt",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c r="R7" t="s">
        <v>185</v>
      </c>
    </row>
    <row r="8" spans="1:18" x14ac:dyDescent="0.45">
      <c r="A8" t="s">
        <v>25</v>
      </c>
      <c r="B8" t="s">
        <v>73</v>
      </c>
      <c r="C8" t="s">
        <v>58</v>
      </c>
      <c r="D8" t="s">
        <v>58</v>
      </c>
      <c r="E8" t="s">
        <v>21</v>
      </c>
      <c r="G8" t="s">
        <v>66</v>
      </c>
      <c r="H8" s="3"/>
      <c r="I8" t="s">
        <v>58</v>
      </c>
      <c r="J8" s="7" t="s">
        <v>399</v>
      </c>
      <c r="K8" s="5" t="str">
        <f t="shared" si="0"/>
        <v xml:space="preserve">   dictionary.AddDataType("decimal", "DECIMAL", true, true, "", "double", "", "fl",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c r="R8" t="s">
        <v>186</v>
      </c>
    </row>
    <row r="9" spans="1:18" x14ac:dyDescent="0.45">
      <c r="A9" t="s">
        <v>21</v>
      </c>
      <c r="B9" t="s">
        <v>74</v>
      </c>
      <c r="C9" t="s">
        <v>57</v>
      </c>
      <c r="D9" t="s">
        <v>57</v>
      </c>
      <c r="E9" t="s">
        <v>21</v>
      </c>
      <c r="G9" t="s">
        <v>66</v>
      </c>
      <c r="H9" s="3"/>
      <c r="I9" t="s">
        <v>58</v>
      </c>
      <c r="J9" s="7" t="s">
        <v>398</v>
      </c>
      <c r="K9" s="5" t="str">
        <f t="shared" si="0"/>
        <v xml:space="preserve">   dictionary.AddDataType("double", "FLOAT", false, false, "", "double", "", "fl", true, "The FLOAT data type is an approximate number with floating point data equal to ieee coded values in programming (this means not all values can be represented exactly)." );</v>
      </c>
      <c r="R9" t="s">
        <v>186</v>
      </c>
    </row>
    <row r="10" spans="1:18" x14ac:dyDescent="0.45">
      <c r="A10" t="s">
        <v>20</v>
      </c>
      <c r="B10" t="s">
        <v>75</v>
      </c>
      <c r="C10" t="s">
        <v>57</v>
      </c>
      <c r="D10" t="s">
        <v>57</v>
      </c>
      <c r="E10" t="s">
        <v>28</v>
      </c>
      <c r="G10" t="s">
        <v>61</v>
      </c>
      <c r="H10" s="3"/>
      <c r="I10" t="s">
        <v>57</v>
      </c>
      <c r="J10" s="7" t="s">
        <v>393</v>
      </c>
      <c r="K10" s="5" t="str">
        <f t="shared" si="0"/>
        <v xml:space="preserve">   dictionary.AddDataType("integer", "INT", false, false, "", "int", "", "i", false, "the INT data type is an the most used integer value type in SQL Server and  uses 4 bytes of storage.  it always stores positive and negative values. The type will translated to an int type of c++." );</v>
      </c>
      <c r="R10" s="3" t="s">
        <v>182</v>
      </c>
    </row>
    <row r="11" spans="1:18" x14ac:dyDescent="0.45">
      <c r="A11" t="s">
        <v>134</v>
      </c>
      <c r="B11" t="s">
        <v>70</v>
      </c>
      <c r="C11" t="s">
        <v>57</v>
      </c>
      <c r="D11" t="s">
        <v>57</v>
      </c>
      <c r="E11" t="s">
        <v>396</v>
      </c>
      <c r="G11" t="s">
        <v>61</v>
      </c>
      <c r="H11" s="3"/>
      <c r="I11" t="s">
        <v>57</v>
      </c>
      <c r="J11" s="7" t="s">
        <v>397</v>
      </c>
      <c r="K11" s="5" t="str">
        <f t="shared" si="0"/>
        <v xml:space="preserve">   dictionary.AddDataType("smallint", "SMALLINT", false, false, "", "short int", "", "i", false, "the SMALLINT data type is an integer value from -32,768 to 32,767 and uses 2 bytes of storage. In c++ is the short int type used to represent this data." );</v>
      </c>
      <c r="R11" s="3" t="s">
        <v>182</v>
      </c>
    </row>
    <row r="12" spans="1:18" x14ac:dyDescent="0.45">
      <c r="A12" t="s">
        <v>281</v>
      </c>
      <c r="B12" t="s">
        <v>75</v>
      </c>
      <c r="C12" t="s">
        <v>57</v>
      </c>
      <c r="D12" t="s">
        <v>57</v>
      </c>
      <c r="E12" t="s">
        <v>282</v>
      </c>
      <c r="G12" t="s">
        <v>283</v>
      </c>
      <c r="H12" s="3" t="s">
        <v>284</v>
      </c>
      <c r="I12" t="s">
        <v>57</v>
      </c>
      <c r="J12" s="7" t="s">
        <v>393</v>
      </c>
      <c r="K12" s="5" t="str">
        <f t="shared" si="0"/>
        <v xml:space="preserve">   dictionary.AddDataType("unsigned", "INT", false, false, "&gt;= 0", "unsigned int", "", "u", false, "the INT data type is an the most used integer value type in SQL Server and  uses 4 bytes of storage.  it always stores positive and negative values. The type will translated to an int type of c++." );</v>
      </c>
      <c r="R12" s="3"/>
    </row>
    <row r="13" spans="1:18" x14ac:dyDescent="0.45">
      <c r="A13" t="s">
        <v>19</v>
      </c>
      <c r="B13" t="s">
        <v>76</v>
      </c>
      <c r="C13" t="s">
        <v>58</v>
      </c>
      <c r="D13" t="s">
        <v>57</v>
      </c>
      <c r="E13" t="s">
        <v>26</v>
      </c>
      <c r="F13" t="s">
        <v>180</v>
      </c>
      <c r="G13" t="s">
        <v>67</v>
      </c>
      <c r="H13" s="3"/>
      <c r="I13" t="s">
        <v>58</v>
      </c>
      <c r="J13" s="7" t="s">
        <v>395</v>
      </c>
      <c r="K13" s="5" t="str">
        <f t="shared" si="0"/>
        <v xml:space="preserve">   dictionary.AddDataType("varchar", "VARCHAR", true, false, "", "std::string", "&lt;string&gt;", "str", true, "the VARCHAR data type stores variable-length character strings and is used when there is variability in the size of the data. The type may hold up to 8,000 ASCII characters of data. For c++ this datatype use std::string." );</v>
      </c>
      <c r="R13" s="3" t="s">
        <v>187</v>
      </c>
    </row>
    <row r="14" spans="1:18" x14ac:dyDescent="0.45">
      <c r="A14" t="s">
        <v>77</v>
      </c>
      <c r="B14" t="s">
        <v>78</v>
      </c>
      <c r="C14" t="s">
        <v>57</v>
      </c>
      <c r="D14" t="s">
        <v>57</v>
      </c>
      <c r="E14" t="s">
        <v>26</v>
      </c>
      <c r="F14" t="s">
        <v>180</v>
      </c>
      <c r="G14" t="s">
        <v>67</v>
      </c>
      <c r="H14" s="3"/>
      <c r="I14" t="s">
        <v>58</v>
      </c>
      <c r="J14" s="7" t="s">
        <v>394</v>
      </c>
      <c r="K14" s="5" t="str">
        <f t="shared" si="0"/>
        <v xml:space="preserve">   dictionary.AddDataType("text", "VARCHAR(MAX)", false, false, "", "std::string", "&lt;string&gt;", "str", true, "the VARCHAR(MAX) data type stores variable-length character strings and is used to store very large, i.e. max length, character data. It can hold mostly as much as 2GB of ASCII character data. For c++ this datatype use std::string." );</v>
      </c>
      <c r="R14" s="3" t="s">
        <v>187</v>
      </c>
    </row>
    <row r="18" spans="1:1" x14ac:dyDescent="0.45">
      <c r="A18" s="1" t="s">
        <v>86</v>
      </c>
    </row>
    <row r="19" spans="1:1" x14ac:dyDescent="0.45">
      <c r="A19" t="s">
        <v>90</v>
      </c>
    </row>
    <row r="20" spans="1:1" x14ac:dyDescent="0.45">
      <c r="A20" t="s">
        <v>181</v>
      </c>
    </row>
    <row r="21" spans="1:1" x14ac:dyDescent="0.45">
      <c r="A21" t="s">
        <v>87</v>
      </c>
    </row>
    <row r="22" spans="1:1" x14ac:dyDescent="0.45">
      <c r="A22" t="s">
        <v>88</v>
      </c>
    </row>
    <row r="23" spans="1:1" x14ac:dyDescent="0.45">
      <c r="A23" t="s">
        <v>89</v>
      </c>
    </row>
    <row r="25" spans="1:1" x14ac:dyDescent="0.45">
      <c r="A25" s="1" t="s">
        <v>91</v>
      </c>
    </row>
    <row r="26" spans="1:1" x14ac:dyDescent="0.45">
      <c r="A26" t="s">
        <v>90</v>
      </c>
    </row>
    <row r="27" spans="1:1" x14ac:dyDescent="0.45">
      <c r="A27" t="s">
        <v>92</v>
      </c>
    </row>
    <row r="28" spans="1:1" x14ac:dyDescent="0.45">
      <c r="A28" t="s">
        <v>93</v>
      </c>
    </row>
    <row r="29" spans="1:1" x14ac:dyDescent="0.45">
      <c r="A29" t="s">
        <v>94</v>
      </c>
    </row>
    <row r="30" spans="1:1" x14ac:dyDescent="0.45">
      <c r="A30" t="s">
        <v>95</v>
      </c>
    </row>
    <row r="31" spans="1:1" x14ac:dyDescent="0.45">
      <c r="A31" t="s">
        <v>522</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M76"/>
  <sheetViews>
    <sheetView topLeftCell="M27" zoomScale="115" zoomScaleNormal="115" workbookViewId="0">
      <selection activeCell="M35" sqref="M35"/>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3" max="13" width="219.265625" style="6" bestFit="1" customWidth="1"/>
  </cols>
  <sheetData>
    <row r="1" spans="1:13" x14ac:dyDescent="0.45">
      <c r="M1" s="5"/>
    </row>
    <row r="2" spans="1:13" x14ac:dyDescent="0.45">
      <c r="A2" t="s">
        <v>100</v>
      </c>
      <c r="B2" s="1" t="s">
        <v>133</v>
      </c>
      <c r="C2" s="1" t="s">
        <v>128</v>
      </c>
      <c r="D2" s="1" t="s">
        <v>129</v>
      </c>
      <c r="E2" s="1" t="s">
        <v>130</v>
      </c>
      <c r="F2" s="1" t="s">
        <v>132</v>
      </c>
      <c r="M2" s="5" t="str" cm="1">
        <f t="array" ref="M2">CONCATENATE("   .AddRangeValue(""INSERT INTO ",A2," ",Liste((B2:L2)), " VALUES\n""")</f>
        <v xml:space="preserve">   .AddRangeValue("INSERT INTO AddressTypes (ID, Denotation, Abbreviation, Description, UrgentValue) VALUES\n"</v>
      </c>
    </row>
    <row r="3" spans="1:13" x14ac:dyDescent="0.45">
      <c r="A3" t="s">
        <v>100</v>
      </c>
      <c r="B3">
        <v>1</v>
      </c>
      <c r="C3" t="s">
        <v>288</v>
      </c>
      <c r="D3" s="3" t="s">
        <v>292</v>
      </c>
      <c r="E3" s="3" t="s">
        <v>293</v>
      </c>
      <c r="F3">
        <v>1</v>
      </c>
      <c r="M3" s="5" t="str" cm="1">
        <f t="array" ref="M3">CONCATENATE("                  ""    ",Liste(B3:L3),IF(M4&lt;&gt;"",", \n""",""")"))</f>
        <v xml:space="preserve">                  "    (1, 'Hauptadresse', 'HA', 'Hauptadresse für die Anwendung', 1), \n"</v>
      </c>
    </row>
    <row r="4" spans="1:13" x14ac:dyDescent="0.45">
      <c r="A4" t="s">
        <v>100</v>
      </c>
      <c r="B4">
        <v>2</v>
      </c>
      <c r="C4" s="3" t="s">
        <v>290</v>
      </c>
      <c r="D4" s="3" t="s">
        <v>295</v>
      </c>
      <c r="E4" s="3" t="s">
        <v>294</v>
      </c>
      <c r="F4">
        <v>0</v>
      </c>
      <c r="M4" s="5" t="str" cm="1">
        <f t="array" ref="M4">CONCATENATE("                  ""    ",Liste(B4:L4),IF(M5&lt;&gt;"",", \n""",""")"))</f>
        <v xml:space="preserve">                  "    (2, 'Rechnungsadresse', 'RA', 'Rechnungsadresse für die Anwendung', 0), \n"</v>
      </c>
    </row>
    <row r="5" spans="1:13" x14ac:dyDescent="0.45">
      <c r="A5" t="s">
        <v>100</v>
      </c>
      <c r="B5">
        <v>3</v>
      </c>
      <c r="C5" s="3" t="s">
        <v>289</v>
      </c>
      <c r="D5" s="3" t="s">
        <v>296</v>
      </c>
      <c r="E5" s="3" t="s">
        <v>298</v>
      </c>
      <c r="F5">
        <v>0</v>
      </c>
      <c r="M5" s="5" t="str" cm="1">
        <f t="array" ref="M5">CONCATENATE("                  ""    ",Liste(B5:L5),IF(M6&lt;&gt;"",", \n""",""")"))</f>
        <v xml:space="preserve">                  "    (3, 'Lieferadresse', 'LA', 'Lieferadresse für die Trainingsanwendung', 0), \n"</v>
      </c>
    </row>
    <row r="6" spans="1:13" x14ac:dyDescent="0.45">
      <c r="A6" t="s">
        <v>100</v>
      </c>
      <c r="B6">
        <v>4</v>
      </c>
      <c r="C6" s="3" t="s">
        <v>291</v>
      </c>
      <c r="D6" s="3" t="s">
        <v>297</v>
      </c>
      <c r="E6" s="3" t="s">
        <v>299</v>
      </c>
      <c r="F6">
        <v>0</v>
      </c>
      <c r="M6" s="5" t="str" cm="1">
        <f t="array" ref="M6">CONCATENATE("                  ""    ",Liste(B6:L6),IF(M7&lt;&gt;"",", \n""",""")"))</f>
        <v xml:space="preserve">                  "    (4, 'Urlaubsadresse', 'UA', 'eine Adresse, in der die Person im Urlaub erreichbar ist', 0)")</v>
      </c>
    </row>
    <row r="7" spans="1:13" x14ac:dyDescent="0.45">
      <c r="M7" s="5"/>
    </row>
    <row r="8" spans="1:13" x14ac:dyDescent="0.45">
      <c r="A8" t="s">
        <v>102</v>
      </c>
      <c r="B8" s="1" t="s">
        <v>133</v>
      </c>
      <c r="C8" s="1" t="s">
        <v>128</v>
      </c>
      <c r="D8" s="1" t="s">
        <v>129</v>
      </c>
      <c r="E8" s="1" t="s">
        <v>130</v>
      </c>
      <c r="F8" s="1" t="s">
        <v>132</v>
      </c>
      <c r="M8" s="5" t="str" cm="1">
        <f t="array" ref="M8">CONCATENATE("   .AddRangeValue(""INSERT INTO ",A8," ",Liste((B8:L8)), " VALUES\n""")</f>
        <v xml:space="preserve">   .AddRangeValue("INSERT INTO BankingTypes (ID, Denotation, Abbreviation, Description, UrgentValue) VALUES\n"</v>
      </c>
    </row>
    <row r="9" spans="1:13" x14ac:dyDescent="0.45">
      <c r="A9" t="s">
        <v>102</v>
      </c>
      <c r="B9">
        <v>1</v>
      </c>
      <c r="C9" s="3" t="s">
        <v>311</v>
      </c>
      <c r="D9" s="3" t="s">
        <v>312</v>
      </c>
      <c r="E9" s="3" t="s">
        <v>313</v>
      </c>
      <c r="F9">
        <v>1</v>
      </c>
      <c r="M9" s="5" t="str" cm="1">
        <f t="array" ref="M9">CONCATENATE("                  ""    ",Liste(B9:L9),IF(M10&lt;&gt;"",", \n""",""")"))</f>
        <v xml:space="preserve">                  "    (1, 'Hauptkonto', 'HK', 'Hauptkonto für die Personen in der Anwendung', 1)")</v>
      </c>
    </row>
    <row r="10" spans="1:13" x14ac:dyDescent="0.45">
      <c r="M10" s="5"/>
    </row>
    <row r="11" spans="1:13" x14ac:dyDescent="0.45">
      <c r="A11" t="s">
        <v>174</v>
      </c>
      <c r="B11" s="1" t="s">
        <v>133</v>
      </c>
      <c r="C11" s="1" t="s">
        <v>128</v>
      </c>
      <c r="D11" s="1" t="s">
        <v>129</v>
      </c>
      <c r="E11" s="1" t="s">
        <v>130</v>
      </c>
      <c r="F11" s="13" t="s">
        <v>176</v>
      </c>
      <c r="G11" s="13" t="s">
        <v>177</v>
      </c>
      <c r="H11" s="13" t="s">
        <v>132</v>
      </c>
      <c r="M11" s="5" t="str" cm="1">
        <f t="array" ref="M11">CONCATENATE("   .AddRangeValue(""INSERT INTO ",A11," ",Liste((B11:L11)), " VALUES\n""")</f>
        <v xml:space="preserve">   .AddRangeValue("INSERT INTO FamilyStatus (ID, Denotation, Abbreviation, Description, Coupled, NeedDate, UrgentValue) VALUES\n"</v>
      </c>
    </row>
    <row r="12" spans="1:13" x14ac:dyDescent="0.45">
      <c r="A12" t="s">
        <v>174</v>
      </c>
      <c r="B12">
        <v>0</v>
      </c>
      <c r="C12" s="11" t="s">
        <v>351</v>
      </c>
      <c r="D12" s="11" t="s">
        <v>625</v>
      </c>
      <c r="E12" s="11" t="s">
        <v>641</v>
      </c>
      <c r="F12" s="12">
        <v>0</v>
      </c>
      <c r="G12" s="11">
        <v>0</v>
      </c>
      <c r="H12" s="12">
        <v>1</v>
      </c>
      <c r="M12" s="5" t="str" cm="1">
        <f t="array" ref="M12">CONCATENATE("                  ""    ",Liste(B12:L12),IF(M13&lt;&gt;"",", \n""",""")"))</f>
        <v xml:space="preserve">                  "    (0, 'unbekannt', 'kA', 'unbekannt oder keine Angabe', 0, 0, 1), \n"</v>
      </c>
    </row>
    <row r="13" spans="1:13" x14ac:dyDescent="0.45">
      <c r="A13" t="s">
        <v>174</v>
      </c>
      <c r="B13">
        <v>1</v>
      </c>
      <c r="C13" s="11" t="s">
        <v>626</v>
      </c>
      <c r="D13" s="11" t="s">
        <v>627</v>
      </c>
      <c r="E13" s="11" t="s">
        <v>628</v>
      </c>
      <c r="F13" s="12">
        <v>0</v>
      </c>
      <c r="G13" s="11">
        <v>0</v>
      </c>
      <c r="H13" s="12">
        <v>1</v>
      </c>
      <c r="M13" s="5" t="str" cm="1">
        <f t="array" ref="M13">CONCATENATE("                  ""    ",Liste(B13:L13),IF(M14&lt;&gt;"",", \n""",""")"))</f>
        <v xml:space="preserve">                  "    (1, 'ledig', 'ldg', 'ledige Person', 0, 0, 1), \n"</v>
      </c>
    </row>
    <row r="14" spans="1:13" x14ac:dyDescent="0.45">
      <c r="A14" t="s">
        <v>174</v>
      </c>
      <c r="B14">
        <v>2</v>
      </c>
      <c r="C14" s="11" t="s">
        <v>629</v>
      </c>
      <c r="D14" s="11" t="s">
        <v>630</v>
      </c>
      <c r="E14" s="11" t="s">
        <v>631</v>
      </c>
      <c r="F14" s="12">
        <v>1</v>
      </c>
      <c r="G14" s="11">
        <v>1</v>
      </c>
      <c r="H14" s="12">
        <v>1</v>
      </c>
      <c r="M14" s="5" t="str" cm="1">
        <f t="array" ref="M14">CONCATENATE("                  ""    ",Liste(B14:L14),IF(M15&lt;&gt;"",", \n""",""")"))</f>
        <v xml:space="preserve">                  "    (2, 'verheiratet', 'verh', 'verheiratete Person', 1, 1, 1), \n"</v>
      </c>
    </row>
    <row r="15" spans="1:13" x14ac:dyDescent="0.45">
      <c r="A15" t="s">
        <v>174</v>
      </c>
      <c r="B15">
        <v>3</v>
      </c>
      <c r="C15" s="11" t="s">
        <v>632</v>
      </c>
      <c r="D15" s="11" t="s">
        <v>633</v>
      </c>
      <c r="E15" s="11" t="s">
        <v>634</v>
      </c>
      <c r="F15" s="12">
        <v>0</v>
      </c>
      <c r="G15" s="11">
        <v>1</v>
      </c>
      <c r="H15" s="12">
        <v>1</v>
      </c>
      <c r="M15" s="5" t="str" cm="1">
        <f t="array" ref="M15">CONCATENATE("                  ""    ",Liste(B15:L15),IF(M16&lt;&gt;"",", \n""",""")"))</f>
        <v xml:space="preserve">                  "    (3, 'geschieden', 'gesch', 'geschiedene Person', 0, 1, 1), \n"</v>
      </c>
    </row>
    <row r="16" spans="1:13" x14ac:dyDescent="0.45">
      <c r="A16" t="s">
        <v>174</v>
      </c>
      <c r="B16">
        <v>4</v>
      </c>
      <c r="C16" s="11" t="s">
        <v>635</v>
      </c>
      <c r="D16" s="11" t="s">
        <v>636</v>
      </c>
      <c r="E16" s="11" t="s">
        <v>637</v>
      </c>
      <c r="F16" s="12">
        <v>0</v>
      </c>
      <c r="G16" s="11">
        <v>1</v>
      </c>
      <c r="H16" s="12">
        <v>1</v>
      </c>
      <c r="M16" s="5" t="str" cm="1">
        <f t="array" ref="M16">CONCATENATE("                  ""    ",Liste(B16:L16),IF(M17&lt;&gt;"",", \n""",""")"))</f>
        <v xml:space="preserve">                  "    (4, 'verwitwert', 'verw', 'verwitwerte Person', 0, 1, 1), \n"</v>
      </c>
    </row>
    <row r="17" spans="1:13" x14ac:dyDescent="0.45">
      <c r="A17" t="s">
        <v>174</v>
      </c>
      <c r="B17">
        <v>5</v>
      </c>
      <c r="C17" s="11" t="s">
        <v>638</v>
      </c>
      <c r="D17" s="11" t="s">
        <v>639</v>
      </c>
      <c r="E17" s="11" t="s">
        <v>640</v>
      </c>
      <c r="F17" s="12">
        <v>1</v>
      </c>
      <c r="G17" s="11">
        <v>1</v>
      </c>
      <c r="H17" s="12">
        <v>0</v>
      </c>
      <c r="M17" s="5" t="str" cm="1">
        <f t="array" ref="M17">CONCATENATE("                  ""    ",Liste(B17:L17),IF(M63&lt;&gt;"",", \n""",""")"))</f>
        <v xml:space="preserve">                  "    (5, 'Lebenspartnerschaft', 'LP', 'eingetragene Lebenspartnerschaft', 1, 1, 0)")</v>
      </c>
    </row>
    <row r="18" spans="1:13" x14ac:dyDescent="0.45">
      <c r="C18" s="11"/>
      <c r="D18" s="11"/>
      <c r="E18" s="11"/>
      <c r="M18" s="5"/>
    </row>
    <row r="19" spans="1:13" x14ac:dyDescent="0.45">
      <c r="A19" t="s">
        <v>106</v>
      </c>
      <c r="B19" t="s">
        <v>133</v>
      </c>
      <c r="C19" s="1" t="s">
        <v>128</v>
      </c>
      <c r="D19" s="1" t="s">
        <v>129</v>
      </c>
      <c r="E19" s="1" t="s">
        <v>130</v>
      </c>
      <c r="F19" s="1" t="s">
        <v>132</v>
      </c>
      <c r="M19" s="5" t="str" cm="1">
        <f t="array" ref="M19">CONCATENATE("   .AddRangeValue(""INSERT INTO ",A19," ",Liste((B19:L19)), " VALUES\n""")</f>
        <v xml:space="preserve">   .AddRangeValue("INSERT INTO FamilyTypes (ID, Denotation, Abbreviation, Description, UrgentValue) VALUES\n"</v>
      </c>
    </row>
    <row r="20" spans="1:13" x14ac:dyDescent="0.45">
      <c r="A20" t="s">
        <v>106</v>
      </c>
      <c r="B20">
        <v>1</v>
      </c>
      <c r="C20" s="3" t="s">
        <v>328</v>
      </c>
      <c r="D20" s="3" t="s">
        <v>486</v>
      </c>
      <c r="E20" s="3" t="s">
        <v>491</v>
      </c>
      <c r="F20">
        <v>1</v>
      </c>
      <c r="M20" s="5" t="str" cm="1">
        <f t="array" ref="M20">CONCATENATE("                  ""    ",Liste(B20:L20),IF(M21&lt;&gt;"",", \n""",""")"))</f>
        <v xml:space="preserve">                  "    (1, 'Mann', 'M', 'Person mit männlichem Geschlecht', 1), \n"</v>
      </c>
    </row>
    <row r="21" spans="1:13" x14ac:dyDescent="0.45">
      <c r="A21" t="s">
        <v>106</v>
      </c>
      <c r="B21">
        <v>2</v>
      </c>
      <c r="C21" s="3" t="s">
        <v>543</v>
      </c>
      <c r="D21" s="3" t="s">
        <v>485</v>
      </c>
      <c r="E21" s="3" t="s">
        <v>492</v>
      </c>
      <c r="F21">
        <v>1</v>
      </c>
      <c r="M21" s="5" t="str" cm="1">
        <f t="array" ref="M21">CONCATENATE("                  ""    ",Liste(B21:L21),IF(M22&lt;&gt;"",", \n""",""")"))</f>
        <v xml:space="preserve">                  "    (2, 'Frau', 'F', 'Person mit weiblichen Geschlecht', 1), \n"</v>
      </c>
    </row>
    <row r="22" spans="1:13" x14ac:dyDescent="0.45">
      <c r="A22" t="s">
        <v>106</v>
      </c>
      <c r="B22">
        <v>3</v>
      </c>
      <c r="C22" s="3" t="s">
        <v>329</v>
      </c>
      <c r="D22" s="3" t="s">
        <v>490</v>
      </c>
      <c r="E22" s="3" t="s">
        <v>493</v>
      </c>
      <c r="F22">
        <v>1</v>
      </c>
      <c r="M22" s="5" t="str" cm="1">
        <f t="array" ref="M22">CONCATENATE("                  ""    ",Liste(B22:L22),IF(M23&lt;&gt;"",", \n""",""")"))</f>
        <v xml:space="preserve">                  "    (3, 'Diverse', 'div', 'Eine Identität, die die Vielfalt der Geschlechteridentitäten umfasst und nicht in die traditionellen binären Kategorien männlich oder weiblich passt.', 1), \n"</v>
      </c>
    </row>
    <row r="23" spans="1:13" x14ac:dyDescent="0.45">
      <c r="A23" t="s">
        <v>106</v>
      </c>
      <c r="B23">
        <v>4</v>
      </c>
      <c r="C23" s="3" t="s">
        <v>528</v>
      </c>
      <c r="D23" s="3" t="s">
        <v>489</v>
      </c>
      <c r="E23" s="3" t="s">
        <v>494</v>
      </c>
      <c r="F23">
        <v>1</v>
      </c>
      <c r="M23" s="5" t="str" cm="1">
        <f t="array" ref="M23">CONCATENATE("                  ""    ",Liste(B23:L23),IF(M24&lt;&gt;"",", \n""",""")"))</f>
        <v xml:space="preserve">                  "    (4, 'Non-Binär', 'non', 'Eine Identität außerhalb der traditionellen binären Geschlechtkategorien männlich und weiblich, die sich jenseits dieser Konzepte befindet.', 1), \n"</v>
      </c>
    </row>
    <row r="24" spans="1:13" x14ac:dyDescent="0.45">
      <c r="A24" t="s">
        <v>106</v>
      </c>
      <c r="B24">
        <v>5</v>
      </c>
      <c r="C24" s="3" t="s">
        <v>330</v>
      </c>
      <c r="D24" s="3" t="s">
        <v>488</v>
      </c>
      <c r="E24" s="3" t="s">
        <v>495</v>
      </c>
      <c r="F24">
        <v>1</v>
      </c>
      <c r="M24" s="5" t="str" cm="1">
        <f t="array" ref="M24">CONCATENATE("                  ""    ",Liste(B24:L24),IF(M25&lt;&gt;"",", \n""",""")"))</f>
        <v xml:space="preserve">                  "    (5, 'Firma', 'FA', 'Eine rechtliche Einheit, die gegründet wird, um kommerzielle oder geschäftliche Aktivitäten auszuüben, die in der Regel einen oder mehrere Eigentümer haben.', 1), \n"</v>
      </c>
    </row>
    <row r="25" spans="1:13" x14ac:dyDescent="0.45">
      <c r="A25" t="s">
        <v>106</v>
      </c>
      <c r="B25">
        <v>6</v>
      </c>
      <c r="C25" s="3" t="s">
        <v>331</v>
      </c>
      <c r="D25" s="3" t="s">
        <v>487</v>
      </c>
      <c r="E25" s="3" t="s">
        <v>497</v>
      </c>
      <c r="F25">
        <v>1</v>
      </c>
      <c r="M25" s="5" t="str" cm="1">
        <f t="array" ref="M25">CONCATENATE("                  ""    ",Liste(B25:L25),IF(M26&lt;&gt;"",", \n""",""")"))</f>
        <v xml:space="preserve">                  "    (6, 'Familie', 'Fam', 'Eine soziale Einheit, die aus Eltern und ihren Kindern besteht, die zusammenleben und sich normalerweise gegenseitig unterstützen und emotional miteinander verbunden sind.', 1), \n"</v>
      </c>
    </row>
    <row r="26" spans="1:13" x14ac:dyDescent="0.45">
      <c r="A26" t="s">
        <v>106</v>
      </c>
      <c r="B26">
        <v>7</v>
      </c>
      <c r="C26" s="3" t="s">
        <v>498</v>
      </c>
      <c r="D26" s="3" t="s">
        <v>499</v>
      </c>
      <c r="E26" s="3" t="s">
        <v>500</v>
      </c>
      <c r="F26">
        <v>1</v>
      </c>
      <c r="M26" s="5" t="str" cm="1">
        <f t="array" ref="M26">CONCATENATE("                  ""    ",Liste(B26:L26),IF(M27&lt;&gt;"",", \n""",""")"))</f>
        <v xml:space="preserve">                  "    (7, 'Gemeinschaft', 'eLG', 'Eine Form des Zusammenlebens von Menschen, die nicht notwendigerweise auf einer romantischen Beziehung basiert, sondern auf gemeinsamen Zielen, Werten oder Lebensweisen beruht, oft in einem gemeinsamen Haushalt.', 1), \n"</v>
      </c>
    </row>
    <row r="27" spans="1:13" x14ac:dyDescent="0.45">
      <c r="A27" t="s">
        <v>106</v>
      </c>
      <c r="B27">
        <v>8</v>
      </c>
      <c r="C27" s="3" t="s">
        <v>332</v>
      </c>
      <c r="D27" s="3" t="s">
        <v>362</v>
      </c>
      <c r="E27" s="3" t="s">
        <v>496</v>
      </c>
      <c r="F27">
        <v>1</v>
      </c>
      <c r="M27" s="5" t="str" cm="1">
        <f t="array" ref="M27">CONCATENATE("                  ""    ",Liste(B27:L27),IF(M28&lt;&gt;"",", \n""",""")"))</f>
        <v xml:space="preserve">                  "    (8, 'Verein', 'EV', 'Eine rechtliche und organisatorische Struktur, die von einer Gruppe von Personen gegründet wurde, um gemeinsame Interessen oder Ziele zu verfolgen, oft auf gemeinnütziger Basis.', 1)")</v>
      </c>
    </row>
    <row r="28" spans="1:13" x14ac:dyDescent="0.45">
      <c r="M28" s="5"/>
    </row>
    <row r="29" spans="1:13" x14ac:dyDescent="0.45">
      <c r="A29" t="s">
        <v>107</v>
      </c>
      <c r="B29" t="s">
        <v>133</v>
      </c>
      <c r="C29" t="s">
        <v>128</v>
      </c>
      <c r="D29" t="s">
        <v>129</v>
      </c>
      <c r="E29" t="s">
        <v>130</v>
      </c>
      <c r="F29" t="s">
        <v>158</v>
      </c>
      <c r="G29" t="s">
        <v>159</v>
      </c>
      <c r="H29" t="s">
        <v>160</v>
      </c>
      <c r="I29" t="s">
        <v>132</v>
      </c>
      <c r="M29" s="5" t="str" cm="1">
        <f t="array" ref="M29">CONCATENATE("   .AddRangeValue(""INSERT INTO ",A29," ",Liste((B29:L29)), " VALUES\n""")</f>
        <v xml:space="preserve">   .AddRangeValue("INSERT INTO FormOfAddress (ID, Denotation, Abbreviation, Description, TypeSpec, Salutation, Valediction, UrgentValue) VALUES\n"</v>
      </c>
    </row>
    <row r="30" spans="1:13" x14ac:dyDescent="0.45">
      <c r="A30" t="s">
        <v>107</v>
      </c>
      <c r="B30" s="12">
        <v>1</v>
      </c>
      <c r="C30" s="11" t="s">
        <v>642</v>
      </c>
      <c r="D30" s="11" t="s">
        <v>643</v>
      </c>
      <c r="E30" s="11" t="s">
        <v>644</v>
      </c>
      <c r="F30" s="12">
        <v>1</v>
      </c>
      <c r="G30" s="11" t="s">
        <v>648</v>
      </c>
      <c r="H30" s="11" t="s">
        <v>649</v>
      </c>
      <c r="I30" s="12">
        <v>1</v>
      </c>
      <c r="M30" s="5" t="str" cm="1">
        <f t="array" ref="M30">CONCATENATE("                  ""    ",Liste(B30:L30),IF(M31&lt;&gt;"",", \n""",""")"))</f>
        <v xml:space="preserve">                  "    (1, 'Herr', 'Hr', 'Anredesteuerung für Herr', 1, 'Sehr geehrter Herr', 'Mit freundlichen Grüßen', 1), \n"</v>
      </c>
    </row>
    <row r="31" spans="1:13" x14ac:dyDescent="0.45">
      <c r="A31" t="s">
        <v>107</v>
      </c>
      <c r="B31" s="12">
        <v>2</v>
      </c>
      <c r="C31" s="11" t="s">
        <v>543</v>
      </c>
      <c r="D31" s="11" t="s">
        <v>561</v>
      </c>
      <c r="E31" s="11" t="s">
        <v>645</v>
      </c>
      <c r="F31" s="12">
        <v>2</v>
      </c>
      <c r="G31" s="11" t="s">
        <v>650</v>
      </c>
      <c r="H31" s="11" t="s">
        <v>649</v>
      </c>
      <c r="I31" s="12">
        <v>1</v>
      </c>
      <c r="M31" s="5" t="str" cm="1">
        <f t="array" ref="M31">CONCATENATE("                  ""    ",Liste(B31:L31),IF(M32&lt;&gt;"",", \n""",""")"))</f>
        <v xml:space="preserve">                  "    (2, 'Frau', 'Fr', 'Anredesteuerung für Frauen', 2, 'Sehr geehrte Frau', 'Mit freundlichen Grüßen', 1), \n"</v>
      </c>
    </row>
    <row r="32" spans="1:13" x14ac:dyDescent="0.45">
      <c r="A32" t="s">
        <v>107</v>
      </c>
      <c r="B32" s="12">
        <v>3</v>
      </c>
      <c r="C32" s="11" t="s">
        <v>330</v>
      </c>
      <c r="D32" s="11" t="s">
        <v>646</v>
      </c>
      <c r="E32" s="11" t="s">
        <v>647</v>
      </c>
      <c r="F32" s="12">
        <v>3</v>
      </c>
      <c r="G32" s="11" t="s">
        <v>651</v>
      </c>
      <c r="H32" s="11" t="s">
        <v>649</v>
      </c>
      <c r="I32" s="12">
        <v>0</v>
      </c>
      <c r="M32" s="5" t="str" cm="1">
        <f t="array" ref="M32">CONCATENATE("                  ""    ",Liste(B32:L32),IF(M33&lt;&gt;"",", \n""",""")"))</f>
        <v xml:space="preserve">                  "    (3, 'Firma', 'Fa', 'Anredesteuerung für Firmen', 3, 'Sehr geehrte Damen und Herren', 'Mit freundlichen Grüßen', 0)")</v>
      </c>
    </row>
    <row r="33" spans="1:13" x14ac:dyDescent="0.45">
      <c r="M33" s="5"/>
    </row>
    <row r="34" spans="1:13" x14ac:dyDescent="0.45">
      <c r="A34" t="s">
        <v>109</v>
      </c>
      <c r="B34" t="s">
        <v>133</v>
      </c>
      <c r="C34" t="s">
        <v>128</v>
      </c>
      <c r="D34" t="s">
        <v>129</v>
      </c>
      <c r="E34" t="s">
        <v>130</v>
      </c>
      <c r="F34" t="s">
        <v>161</v>
      </c>
      <c r="G34" t="s">
        <v>132</v>
      </c>
      <c r="M34" s="5" t="str" cm="1">
        <f t="array" ref="M34">CONCATENATE("   .AddRangeValue(""INSERT INTO ",A34," ",Liste((B34:L34)), " VALUES\n""")</f>
        <v xml:space="preserve">   .AddRangeValue("INSERT INTO InternetTypes (ID, Denotation, Abbreviation, Description, Prefix, UrgentValue) VALUES\n"</v>
      </c>
    </row>
    <row r="35" spans="1:13" x14ac:dyDescent="0.45">
      <c r="A35" t="s">
        <v>109</v>
      </c>
      <c r="B35">
        <v>1</v>
      </c>
      <c r="C35" s="3" t="s">
        <v>314</v>
      </c>
      <c r="D35" s="3" t="s">
        <v>317</v>
      </c>
      <c r="E35" s="3" t="s">
        <v>320</v>
      </c>
      <c r="F35" s="3" t="s">
        <v>324</v>
      </c>
      <c r="G35">
        <v>1</v>
      </c>
      <c r="M35" s="5" t="str" cm="1">
        <f t="array" ref="M35">CONCATENATE("                  ""    ",Liste(B35:L35),IF(M36&lt;&gt;"",", \n""",""")"))</f>
        <v xml:space="preserve">                  "    (1, 'Internet', 'HTTP', 'Die Homepage einer Person', 'http://', 1), \n"</v>
      </c>
    </row>
    <row r="36" spans="1:13" x14ac:dyDescent="0.45">
      <c r="A36" t="s">
        <v>109</v>
      </c>
      <c r="B36">
        <v>2</v>
      </c>
      <c r="C36" s="3" t="s">
        <v>315</v>
      </c>
      <c r="D36" s="3" t="s">
        <v>318</v>
      </c>
      <c r="E36" s="3" t="s">
        <v>321</v>
      </c>
      <c r="F36" s="3" t="s">
        <v>325</v>
      </c>
      <c r="G36">
        <v>1</v>
      </c>
      <c r="M36" s="5" t="str" cm="1">
        <f t="array" ref="M36">CONCATENATE("                  ""    ",Liste(B36:L36),IF(M37&lt;&gt;"",", \n""",""")"))</f>
        <v xml:space="preserve">                  "    (2, 'Email', 'Mail', 'Email- Adresse einer Person', 'mailto:', 1), \n"</v>
      </c>
    </row>
    <row r="37" spans="1:13" x14ac:dyDescent="0.45">
      <c r="A37" t="s">
        <v>109</v>
      </c>
      <c r="B37">
        <v>3</v>
      </c>
      <c r="C37" s="3" t="s">
        <v>316</v>
      </c>
      <c r="D37" s="3" t="s">
        <v>316</v>
      </c>
      <c r="E37" s="3" t="s">
        <v>322</v>
      </c>
      <c r="F37" s="3" t="s">
        <v>326</v>
      </c>
      <c r="G37">
        <v>1</v>
      </c>
      <c r="M37" s="5" t="str" cm="1">
        <f t="array" ref="M37">CONCATENATE("                  ""    ",Liste(B37:L37),IF(M38&lt;&gt;"",", \n""",""")"))</f>
        <v xml:space="preserve">                  "    (3, 'Skype', 'Skype', 'Skype- Name einer Person', 'skype:', 1), \n"</v>
      </c>
    </row>
    <row r="38" spans="1:13" x14ac:dyDescent="0.45">
      <c r="A38" t="s">
        <v>109</v>
      </c>
      <c r="B38">
        <v>4</v>
      </c>
      <c r="C38" s="3" t="s">
        <v>303</v>
      </c>
      <c r="D38" s="3" t="s">
        <v>319</v>
      </c>
      <c r="E38" s="3" t="s">
        <v>323</v>
      </c>
      <c r="F38" s="3" t="s">
        <v>327</v>
      </c>
      <c r="G38">
        <v>1</v>
      </c>
      <c r="M38" s="5" t="str" cm="1">
        <f t="array" ref="M38">CONCATENATE("                  ""    ",Liste(B38:L38),IF(M39&lt;&gt;"",", \n""",""")"))</f>
        <v xml:space="preserve">                  "    (4, 'Telefon', 'VoIP', 'VoIP- Nummer einer Person', 'phone:', 1)")</v>
      </c>
    </row>
    <row r="39" spans="1:13" x14ac:dyDescent="0.45">
      <c r="M39" s="5"/>
    </row>
    <row r="40" spans="1:13" x14ac:dyDescent="0.45">
      <c r="A40" t="s">
        <v>300</v>
      </c>
      <c r="B40" t="s">
        <v>133</v>
      </c>
      <c r="C40" t="s">
        <v>128</v>
      </c>
      <c r="D40" t="s">
        <v>129</v>
      </c>
      <c r="E40" t="s">
        <v>130</v>
      </c>
      <c r="F40" t="s">
        <v>132</v>
      </c>
      <c r="M40" s="5" t="str" cm="1">
        <f t="array" ref="M40">CONCATENATE("   .AddRangeValue(""INSERT INTO ",A40," ",Liste((B40:L40)), " VALUES\n""")</f>
        <v xml:space="preserve">   .AddRangeValue("INSERT INTO PhoneTypes (ID, Denotation, Abbreviation, Description, UrgentValue) VALUES\n"</v>
      </c>
    </row>
    <row r="41" spans="1:13" x14ac:dyDescent="0.45">
      <c r="A41" t="s">
        <v>300</v>
      </c>
      <c r="B41">
        <v>1</v>
      </c>
      <c r="C41" s="3" t="s">
        <v>303</v>
      </c>
      <c r="D41" s="3" t="s">
        <v>304</v>
      </c>
      <c r="E41" s="3" t="s">
        <v>308</v>
      </c>
      <c r="F41">
        <v>1</v>
      </c>
      <c r="M41" s="5" t="str" cm="1">
        <f t="array" ref="M41">CONCATENATE("                  ""    ",Liste(B41:L41),IF(M42&lt;&gt;"",", \n""",""")"))</f>
        <v xml:space="preserve">                  "    (1, 'Telefon', 'Tel', 'Telefonnummer zu einer Person', 1), \n"</v>
      </c>
    </row>
    <row r="42" spans="1:13" x14ac:dyDescent="0.45">
      <c r="A42" t="s">
        <v>300</v>
      </c>
      <c r="B42">
        <v>2</v>
      </c>
      <c r="C42" s="3" t="s">
        <v>305</v>
      </c>
      <c r="D42" s="3" t="s">
        <v>305</v>
      </c>
      <c r="E42" s="3" t="s">
        <v>309</v>
      </c>
      <c r="F42">
        <v>1</v>
      </c>
      <c r="M42" s="5" t="str" cm="1">
        <f t="array" ref="M42">CONCATENATE("                  ""    ",Liste(B42:L42),IF(M43&lt;&gt;"",", \n""",""")"))</f>
        <v xml:space="preserve">                  "    (2, 'Fax', 'Fax', 'Faxnummer zu einer Person', 1), \n"</v>
      </c>
    </row>
    <row r="43" spans="1:13" x14ac:dyDescent="0.45">
      <c r="A43" t="s">
        <v>300</v>
      </c>
      <c r="B43">
        <v>3</v>
      </c>
      <c r="C43" s="3" t="s">
        <v>306</v>
      </c>
      <c r="D43" s="3" t="s">
        <v>307</v>
      </c>
      <c r="E43" s="3" t="s">
        <v>310</v>
      </c>
      <c r="F43">
        <v>1</v>
      </c>
      <c r="M43" s="5" t="str" cm="1">
        <f t="array" ref="M43">CONCATENATE("                  ""    ",Liste(B43:L43),IF(M44&lt;&gt;"",", \n""",""")"))</f>
        <v xml:space="preserve">                  "    (3, 'Mobil', 'Mbl', 'Mobiltelefonnummer zu einer Person', 1)")</v>
      </c>
    </row>
    <row r="44" spans="1:13" x14ac:dyDescent="0.45">
      <c r="M44" s="5"/>
    </row>
    <row r="45" spans="1:13" x14ac:dyDescent="0.45">
      <c r="A45" t="s">
        <v>652</v>
      </c>
      <c r="B45" t="s">
        <v>133</v>
      </c>
      <c r="C45" t="s">
        <v>128</v>
      </c>
      <c r="D45" t="s">
        <v>129</v>
      </c>
      <c r="E45" t="s">
        <v>130</v>
      </c>
      <c r="F45" t="s">
        <v>132</v>
      </c>
      <c r="M45" s="5" t="str" cm="1">
        <f t="array" ref="M45">CONCATENATE("   .AddRangeValue(""INSERT INTO ",A45," ",Liste((B45:L45)), " VALUES\n""")</f>
        <v xml:space="preserve">   .AddRangeValue("INSERT INTO ReasonDeparture (ID, Denotation, Abbreviation, Description, UrgentValue) VALUES\n"</v>
      </c>
    </row>
    <row r="46" spans="1:13" x14ac:dyDescent="0.45">
      <c r="A46" t="s">
        <v>652</v>
      </c>
      <c r="B46">
        <v>1</v>
      </c>
      <c r="C46" s="11" t="s">
        <v>711</v>
      </c>
      <c r="D46" s="11" t="s">
        <v>667</v>
      </c>
      <c r="E46" s="11" t="s">
        <v>674</v>
      </c>
      <c r="F46">
        <v>1</v>
      </c>
      <c r="M46" s="5" t="str" cm="1">
        <f t="array" ref="M46">CONCATENATE("                  ""    ",Liste(B46:L46),IF(M47&lt;&gt;"",", \n""",""")"))</f>
        <v xml:space="preserve">                  "    (1, 'Kündigung', 'Kü', 'Die Person hat freiwillig beschlossen, das Unternehmen zu verlassen (Resignation).', 1), \n"</v>
      </c>
    </row>
    <row r="47" spans="1:13" x14ac:dyDescent="0.45">
      <c r="A47" t="s">
        <v>652</v>
      </c>
      <c r="B47">
        <v>2</v>
      </c>
      <c r="C47" s="11" t="s">
        <v>712</v>
      </c>
      <c r="D47" s="11" t="s">
        <v>669</v>
      </c>
      <c r="E47" s="11" t="s">
        <v>671</v>
      </c>
      <c r="F47">
        <v>1</v>
      </c>
      <c r="M47" s="5" t="str" cm="1">
        <f t="array" ref="M47">CONCATENATE("                  ""    ",Liste(B47:L47),IF(M48&lt;&gt;"",", \n""",""")"))</f>
        <v xml:space="preserve">                  "    (2, 'Rente', 'Re', 'Die Person verlässt das Unternehmen aufgrund des Erreichens des Rentenalters oder aus Altersgründen (Retirement ).', 1), \n"</v>
      </c>
    </row>
    <row r="48" spans="1:13" x14ac:dyDescent="0.45">
      <c r="A48" t="s">
        <v>652</v>
      </c>
      <c r="B48">
        <v>3</v>
      </c>
      <c r="C48" s="11" t="s">
        <v>713</v>
      </c>
      <c r="D48" s="11" t="s">
        <v>668</v>
      </c>
      <c r="E48" s="11" t="s">
        <v>672</v>
      </c>
      <c r="F48">
        <v>1</v>
      </c>
      <c r="M48" s="5" t="str" cm="1">
        <f t="array" ref="M48">CONCATENATE("                  ""    ",Liste(B48:L48),IF(M49&lt;&gt;"",", \n""",""")"))</f>
        <v xml:space="preserve">                  "    (3, 'Entlassung', 'En', 'Das Unternehmen hat das Arbeitsverhältnis mit der Person beendet (Dismissal )', 1), \n"</v>
      </c>
    </row>
    <row r="49" spans="1:13" x14ac:dyDescent="0.45">
      <c r="A49" t="s">
        <v>652</v>
      </c>
      <c r="B49">
        <v>4</v>
      </c>
      <c r="C49" s="11" t="s">
        <v>714</v>
      </c>
      <c r="D49" s="11" t="s">
        <v>670</v>
      </c>
      <c r="E49" s="11" t="s">
        <v>673</v>
      </c>
      <c r="F49">
        <v>1</v>
      </c>
      <c r="M49" s="5" t="str" cm="1">
        <f t="array" ref="M49">CONCATENATE("                  ""    ",Liste(B49:L49),IF(M63&lt;&gt;"",", \n""",""")"))</f>
        <v xml:space="preserve">                  "    (4, 'Restrukturierung', 'St', 'Die Person wird nicht mehr in diesem Programm geführt, da sie in einem anderen Unternehmensteil beschäftigt wird (restructuring).', 1)")</v>
      </c>
    </row>
    <row r="50" spans="1:13" x14ac:dyDescent="0.45">
      <c r="C50" s="11"/>
      <c r="D50" s="11"/>
      <c r="E50" s="11"/>
      <c r="M50" s="5"/>
    </row>
    <row r="51" spans="1:13" x14ac:dyDescent="0.45">
      <c r="A51" t="s">
        <v>701</v>
      </c>
      <c r="B51" t="s">
        <v>133</v>
      </c>
      <c r="C51" t="s">
        <v>128</v>
      </c>
      <c r="D51" t="s">
        <v>129</v>
      </c>
      <c r="E51" t="s">
        <v>130</v>
      </c>
      <c r="F51" t="s">
        <v>132</v>
      </c>
      <c r="M51" s="5" t="str" cm="1">
        <f t="array" ref="M51">CONCATENATE("   .AddRangeValue(""INSERT INTO ",A51," ",Liste((B51:L51)), " VALUES\n""")</f>
        <v xml:space="preserve">   .AddRangeValue("INSERT INTO ReasonNonWorking (ID, Denotation, Abbreviation, Description, UrgentValue) VALUES\n"</v>
      </c>
    </row>
    <row r="52" spans="1:13" x14ac:dyDescent="0.45">
      <c r="A52" t="s">
        <v>701</v>
      </c>
      <c r="B52">
        <v>1</v>
      </c>
      <c r="C52" s="11" t="s">
        <v>715</v>
      </c>
      <c r="D52" s="11" t="s">
        <v>718</v>
      </c>
      <c r="E52" s="11" t="s">
        <v>722</v>
      </c>
      <c r="F52">
        <v>1</v>
      </c>
      <c r="M52" s="5" t="str" cm="1">
        <f t="array" ref="M52">CONCATENATE("                  ""    ",Liste(B52:L52),IF(M53&lt;&gt;"",", \n""",""")"))</f>
        <v xml:space="preserve">                  "    (1, 'Urlaub', 'U', 'Die Person hat regulären Urlaub (inklusive eventuelle Tage Resturlaub', 1), \n"</v>
      </c>
    </row>
    <row r="53" spans="1:13" x14ac:dyDescent="0.45">
      <c r="A53" t="s">
        <v>701</v>
      </c>
      <c r="B53">
        <v>2</v>
      </c>
      <c r="C53" s="11" t="s">
        <v>716</v>
      </c>
      <c r="D53" s="11" t="s">
        <v>720</v>
      </c>
      <c r="E53" s="11" t="s">
        <v>723</v>
      </c>
      <c r="F53">
        <v>1</v>
      </c>
      <c r="M53" s="5" t="str" cm="1">
        <f t="array" ref="M53">CONCATENATE("                  ""    ",Liste(B53:L53),IF(M54&lt;&gt;"",", \n""",""")"))</f>
        <v xml:space="preserve">                  "    (2, 'Sonderurlaub', 'SU', 'Die Person hat Sonderurlaub', 1), \n"</v>
      </c>
    </row>
    <row r="54" spans="1:13" x14ac:dyDescent="0.45">
      <c r="A54" t="s">
        <v>701</v>
      </c>
      <c r="B54">
        <v>3</v>
      </c>
      <c r="C54" s="11" t="s">
        <v>725</v>
      </c>
      <c r="D54" s="11" t="s">
        <v>719</v>
      </c>
      <c r="E54" s="11" t="s">
        <v>724</v>
      </c>
      <c r="F54">
        <v>1</v>
      </c>
      <c r="M54" s="5" t="str" cm="1">
        <f t="array" ref="M54">CONCATENATE("                  ""    ",Liste(B54:L54),IF(M55&lt;&gt;"",", \n""",""")"))</f>
        <v xml:space="preserve">                  "    (3, 'Krankheit bezahlt', 'K', 'Die Person ist krankgeschrieben', 1), \n"</v>
      </c>
    </row>
    <row r="55" spans="1:13" x14ac:dyDescent="0.45">
      <c r="A55" t="s">
        <v>701</v>
      </c>
      <c r="B55">
        <v>4</v>
      </c>
      <c r="C55" s="11" t="s">
        <v>726</v>
      </c>
      <c r="D55" s="11" t="s">
        <v>727</v>
      </c>
      <c r="E55" s="11" t="s">
        <v>728</v>
      </c>
      <c r="F55">
        <v>1</v>
      </c>
      <c r="M55" s="5" t="str" cm="1">
        <f t="array" ref="M55">CONCATENATE("                  ""    ",Liste(B55:L55),IF(M56&lt;&gt;"",", \n""",""")"))</f>
        <v xml:space="preserve">                  "    (4, 'Krankheit unbezahlt', 'KU', 'Die Person ist krankgeschrieben, aber die Krankenkasse zahlt.', 1), \n"</v>
      </c>
    </row>
    <row r="56" spans="1:13" x14ac:dyDescent="0.45">
      <c r="A56" t="s">
        <v>701</v>
      </c>
      <c r="B56">
        <v>5</v>
      </c>
      <c r="C56" s="11" t="s">
        <v>717</v>
      </c>
      <c r="D56" s="11" t="s">
        <v>721</v>
      </c>
      <c r="E56" s="11" t="s">
        <v>729</v>
      </c>
      <c r="F56">
        <v>1</v>
      </c>
      <c r="M56" s="5" t="str" cm="1">
        <f t="array" ref="M56">CONCATENATE("                  ""    ",Liste(B56:L56),IF(M63&lt;&gt;"",", \n""",""")"))</f>
        <v xml:space="preserve">                  "    (5, 'unbezahlt', 'unbez', 'Die Person ist unbezahlt freigestellt', 1)")</v>
      </c>
    </row>
    <row r="57" spans="1:13" x14ac:dyDescent="0.45">
      <c r="C57" s="11"/>
      <c r="D57" s="11"/>
      <c r="E57" s="11"/>
      <c r="M57" s="5"/>
    </row>
    <row r="58" spans="1:13" x14ac:dyDescent="0.45">
      <c r="A58" t="s">
        <v>765</v>
      </c>
      <c r="B58" t="s">
        <v>133</v>
      </c>
      <c r="C58" t="s">
        <v>128</v>
      </c>
      <c r="D58" t="s">
        <v>129</v>
      </c>
      <c r="E58" t="s">
        <v>130</v>
      </c>
      <c r="F58" t="s">
        <v>132</v>
      </c>
      <c r="M58" s="5" t="str" cm="1">
        <f t="array" ref="M58">CONCATENATE("   .AddRangeValue(""INSERT INTO ",A58," ",Liste((B58:L58)), " VALUES\n""")</f>
        <v xml:space="preserve">   .AddRangeValue("INSERT INTO SalaryBase (ID, Denotation, Abbreviation, Description, UrgentValue) VALUES\n"</v>
      </c>
    </row>
    <row r="59" spans="1:13" x14ac:dyDescent="0.45">
      <c r="A59" t="s">
        <v>765</v>
      </c>
      <c r="B59">
        <v>0</v>
      </c>
      <c r="C59" s="11" t="s">
        <v>777</v>
      </c>
      <c r="D59" s="11" t="s">
        <v>846</v>
      </c>
      <c r="E59" s="11" t="s">
        <v>781</v>
      </c>
      <c r="F59">
        <v>1</v>
      </c>
      <c r="M59" s="5" t="str" cm="1">
        <f t="array" ref="M59">CONCATENATE("                  ""    ",Liste(B59:L59),IF(M60&lt;&gt;"",", \n""",""")"))</f>
        <v xml:space="preserve">                  "    (0, 'ohne', 'f', 'Die Angabe des Gehalts wird ignoriert oder einmalig gezahlt. Kostenloses Praktikum oder Probezeit.', 1), \n"</v>
      </c>
    </row>
    <row r="60" spans="1:13" x14ac:dyDescent="0.45">
      <c r="A60" t="s">
        <v>765</v>
      </c>
      <c r="B60">
        <v>1</v>
      </c>
      <c r="C60" s="11" t="s">
        <v>778</v>
      </c>
      <c r="D60" s="11" t="s">
        <v>847</v>
      </c>
      <c r="E60" s="11" t="s">
        <v>782</v>
      </c>
      <c r="F60">
        <v>1</v>
      </c>
      <c r="M60" s="5" t="str" cm="1">
        <f t="array" ref="M60">CONCATENATE("                  ""    ",Liste(B60:L60),IF(M61&lt;&gt;"",", \n""",""")"))</f>
        <v xml:space="preserve">                  "    (1, 'stündlich', 'h', 'Die Angabe des Gehalts erfolgt auf Stundenbasis. Entspricht meistens dem Arbeitslohn, eventuell mit Zuschlägen.', 1), \n"</v>
      </c>
    </row>
    <row r="61" spans="1:13" x14ac:dyDescent="0.45">
      <c r="A61" t="s">
        <v>765</v>
      </c>
      <c r="B61">
        <v>2</v>
      </c>
      <c r="C61" s="11" t="s">
        <v>779</v>
      </c>
      <c r="D61" s="11" t="s">
        <v>848</v>
      </c>
      <c r="E61" s="11" t="s">
        <v>783</v>
      </c>
      <c r="F61">
        <v>1</v>
      </c>
      <c r="M61" s="5" t="str" cm="1">
        <f t="array" ref="M61">CONCATENATE("                  ""    ",Liste(B61:L61),IF(M62&lt;&gt;"",", \n""",""")"))</f>
        <v xml:space="preserve">                  "    (2, 'täglich', 'd', 'Die Angabe des Gehalts erfolgt auf Tagesbasis. Dieses wird oft für Honorare verwendet.', 1), \n"</v>
      </c>
    </row>
    <row r="62" spans="1:13" x14ac:dyDescent="0.45">
      <c r="A62" t="s">
        <v>765</v>
      </c>
      <c r="B62">
        <v>3</v>
      </c>
      <c r="C62" s="11" t="s">
        <v>780</v>
      </c>
      <c r="D62" s="11" t="s">
        <v>849</v>
      </c>
      <c r="E62" s="11" t="s">
        <v>784</v>
      </c>
      <c r="F62">
        <v>1</v>
      </c>
      <c r="M62" s="5" t="str" cm="1">
        <f t="array" ref="M62">CONCATENATE("                  ""    ",Liste(B62:L62),IF(M63&lt;&gt;"",", \n""",""")"))</f>
        <v xml:space="preserve">                  "    (3, 'monatlich', 'm', 'Die Angabe des Bezugs erfolgt auf Monatsbasis.Das entspricht meistens dem Gehalt bei Angestellten*innen', 1)")</v>
      </c>
    </row>
    <row r="63" spans="1:13" x14ac:dyDescent="0.45">
      <c r="M63" s="5"/>
    </row>
    <row r="64" spans="1:13" x14ac:dyDescent="0.45">
      <c r="A64" t="s">
        <v>302</v>
      </c>
      <c r="B64" t="s">
        <v>133</v>
      </c>
      <c r="C64" t="s">
        <v>128</v>
      </c>
      <c r="D64" t="s">
        <v>129</v>
      </c>
      <c r="E64" t="s">
        <v>130</v>
      </c>
      <c r="F64" t="s">
        <v>176</v>
      </c>
      <c r="G64" t="s">
        <v>132</v>
      </c>
      <c r="M64" s="5" t="str" cm="1">
        <f t="array" ref="M64">CONCATENATE("   .AddRangeValue(""INSERT INTO ",A64," ",Liste((B64:L64)), " VALUES\n""")</f>
        <v xml:space="preserve">   .AddRangeValue("INSERT INTO TaxClasses (ID, Denotation, Abbreviation, Description, Coupled, UrgentValue) VALUES\n"</v>
      </c>
    </row>
    <row r="65" spans="1:13" x14ac:dyDescent="0.45">
      <c r="A65" t="s">
        <v>302</v>
      </c>
      <c r="B65">
        <v>1</v>
      </c>
      <c r="C65" s="3" t="s">
        <v>345</v>
      </c>
      <c r="D65" s="3" t="s">
        <v>339</v>
      </c>
      <c r="E65" s="3" t="s">
        <v>510</v>
      </c>
      <c r="F65">
        <v>0</v>
      </c>
      <c r="G65">
        <v>1</v>
      </c>
      <c r="M65" s="5" t="str" cm="1">
        <f t="array" ref="M65">CONCATENATE("                  ""    ",Liste(B65:L65),IF(M66&lt;&gt;"",", \n""",""")"))</f>
        <v xml:space="preserve">                  "    (1, 'Steuerklasse 1', 'I', 'Dies ist die Standardsteuerklasse für alleinstehende Personen ohne Kinder.', 0, 1), \n"</v>
      </c>
    </row>
    <row r="66" spans="1:13" x14ac:dyDescent="0.45">
      <c r="A66" t="s">
        <v>302</v>
      </c>
      <c r="B66">
        <v>2</v>
      </c>
      <c r="C66" s="3" t="s">
        <v>346</v>
      </c>
      <c r="D66" s="3" t="s">
        <v>340</v>
      </c>
      <c r="E66" s="3" t="s">
        <v>356</v>
      </c>
      <c r="F66">
        <v>0</v>
      </c>
      <c r="G66">
        <v>1</v>
      </c>
      <c r="M66" s="5" t="str" cm="1">
        <f t="array" ref="M66">CONCATENATE("                  ""    ",Liste(B66:L66),IF(M67&lt;&gt;"",", \n""",""")"))</f>
        <v xml:space="preserve">                  "    (2, 'Steuerklasse 2', 'II', 'Diese Steuerklasse ist für Alleinerziehende mit mindestens einem Kind gedacht.', 0, 1), \n"</v>
      </c>
    </row>
    <row r="67" spans="1:13" x14ac:dyDescent="0.45">
      <c r="A67" t="s">
        <v>302</v>
      </c>
      <c r="B67">
        <v>3</v>
      </c>
      <c r="C67" s="3" t="s">
        <v>347</v>
      </c>
      <c r="D67" s="3" t="s">
        <v>341</v>
      </c>
      <c r="E67" s="3" t="s">
        <v>357</v>
      </c>
      <c r="F67">
        <v>1</v>
      </c>
      <c r="G67">
        <v>1</v>
      </c>
      <c r="M67" s="5" t="str" cm="1">
        <f t="array" ref="M67">CONCATENATE("                  ""    ",Liste(B67:L67),IF(M68&lt;&gt;"",", \n""",""")"))</f>
        <v xml:space="preserve">                  "    (3, 'Steuerklasse 3', 'III', 'Diese Klasse ist für verheiratete oder in einer eingetragenen Lebenspartnerschaft lebende Personen, wenn der Ehe- oder Lebenspartner in Steuerklasse V eingestuft ist oder keine Einkünfte hat.', 1, 1), \n"</v>
      </c>
    </row>
    <row r="68" spans="1:13" x14ac:dyDescent="0.45">
      <c r="A68" t="s">
        <v>302</v>
      </c>
      <c r="B68">
        <v>4</v>
      </c>
      <c r="C68" s="3" t="s">
        <v>348</v>
      </c>
      <c r="D68" s="3" t="s">
        <v>342</v>
      </c>
      <c r="E68" s="3" t="s">
        <v>358</v>
      </c>
      <c r="F68">
        <v>1</v>
      </c>
      <c r="G68">
        <v>1</v>
      </c>
      <c r="M68" s="5" t="str" cm="1">
        <f t="array" ref="M68">CONCATENATE("                  ""    ",Liste(B68:L68),IF(M69&lt;&gt;"",", \n""",""")"))</f>
        <v xml:space="preserve">                  "    (4, 'Steuerklasse 4', 'IV', 'Dies ist die Standardsteuerklasse für verheiratete oder in einer eingetragenen Lebenspartnerschaft lebende Personen, wenn beide Partner ein ähnliches Einkommen haben.', 1, 1), \n"</v>
      </c>
    </row>
    <row r="69" spans="1:13" x14ac:dyDescent="0.45">
      <c r="A69" t="s">
        <v>302</v>
      </c>
      <c r="B69">
        <v>5</v>
      </c>
      <c r="C69" s="3" t="s">
        <v>349</v>
      </c>
      <c r="D69" s="3" t="s">
        <v>343</v>
      </c>
      <c r="E69" s="3" t="s">
        <v>359</v>
      </c>
      <c r="F69">
        <v>1</v>
      </c>
      <c r="G69">
        <v>1</v>
      </c>
      <c r="M69" s="5" t="str" cm="1">
        <f t="array" ref="M69">CONCATENATE("                  ""    ",Liste(B69:L69),IF(M70&lt;&gt;"",", \n""",""")"))</f>
        <v xml:space="preserve">                  "    (5, 'Steuerklasse 5', 'V', 'Diese Klasse wird für den Ehe- oder Lebenspartner verwendet, wenn der andere Partner in Steuerklasse III eingestuft ist.', 1, 1), \n"</v>
      </c>
    </row>
    <row r="70" spans="1:13" x14ac:dyDescent="0.45">
      <c r="A70" t="s">
        <v>302</v>
      </c>
      <c r="B70">
        <v>6</v>
      </c>
      <c r="C70" s="3" t="s">
        <v>355</v>
      </c>
      <c r="D70" s="3" t="s">
        <v>344</v>
      </c>
      <c r="E70" s="3" t="s">
        <v>361</v>
      </c>
      <c r="F70">
        <v>0</v>
      </c>
      <c r="G70">
        <v>1</v>
      </c>
      <c r="M70" s="5" t="str" cm="1">
        <f t="array" ref="M70">CONCATENATE("                  ""    ",Liste(B70:L70),IF(M71&lt;&gt;"",", \n""",""")"))</f>
        <v xml:space="preserve">                  "    (6, 'Steuerklasse 6', 'VI', 'Diese Klasse wird verwendet, wenn eine Person mehrere Jobs hat oder zusätzliche Einkünfte aus einer geringfügigen Beschäftigung hat.', 0, 1), \n"</v>
      </c>
    </row>
    <row r="71" spans="1:13" x14ac:dyDescent="0.45">
      <c r="A71" t="s">
        <v>302</v>
      </c>
      <c r="B71">
        <v>7</v>
      </c>
      <c r="C71" s="3" t="s">
        <v>350</v>
      </c>
      <c r="D71" s="3" t="s">
        <v>353</v>
      </c>
      <c r="E71" s="3" t="s">
        <v>354</v>
      </c>
      <c r="F71">
        <v>0</v>
      </c>
      <c r="G71">
        <v>1</v>
      </c>
      <c r="M71" s="5" t="str" cm="1">
        <f t="array" ref="M71">CONCATENATE("                  ""    ",Liste(B71:L71),IF(M72&lt;&gt;"",", \n""",""")"))</f>
        <v xml:space="preserve">                  "    (7, 'Ausland', 'A', 'Person wohnt im Ausland, Steuer individuell bestimmen ', 0, 1), \n"</v>
      </c>
    </row>
    <row r="72" spans="1:13" x14ac:dyDescent="0.45">
      <c r="A72" t="s">
        <v>302</v>
      </c>
      <c r="B72">
        <v>8</v>
      </c>
      <c r="C72" s="3" t="s">
        <v>351</v>
      </c>
      <c r="D72" s="3" t="s">
        <v>352</v>
      </c>
      <c r="E72" s="3" t="s">
        <v>360</v>
      </c>
      <c r="F72">
        <v>0</v>
      </c>
      <c r="G72">
        <v>1</v>
      </c>
      <c r="M72" s="5" t="str" cm="1">
        <f t="array" ref="M72">CONCATENATE("                  ""    ",Liste(B72:L72),IF(M73&lt;&gt;"",", \n""",""")"))</f>
        <v xml:space="preserve">                  "    (8, 'unbekannt', '-', 'Steuerklasse noch unbekannt, unbedingt nachfragen, vorläufig als Steuerklasse 6 abrechnen', 0, 1)")</v>
      </c>
    </row>
    <row r="73" spans="1:13" x14ac:dyDescent="0.45">
      <c r="M73" s="5"/>
    </row>
    <row r="74" spans="1:13" x14ac:dyDescent="0.45">
      <c r="M74" s="5"/>
    </row>
    <row r="75" spans="1:13" x14ac:dyDescent="0.45">
      <c r="M75" s="5"/>
    </row>
    <row r="76" spans="1:13" x14ac:dyDescent="0.45">
      <c r="M76" s="5"/>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sheetPr codeName="Tabelle7"/>
  <dimension ref="A2:F12"/>
  <sheetViews>
    <sheetView workbookViewId="0">
      <selection activeCell="A15" sqref="A1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103</v>
      </c>
      <c r="B2" t="s">
        <v>517</v>
      </c>
      <c r="D2" s="5" t="s">
        <v>521</v>
      </c>
      <c r="F2" s="5" t="str">
        <f>CONCATENATE("   .",B2,"(""",D2,IF(D3&lt;&gt;"","\n""",""")"))</f>
        <v xml:space="preserve">   .AddPostConditions("CREATE FUNCTION [dbo].[Country_Dialing] (@id AS INTEGER) RETURNS VARCHAR(10)\n"</v>
      </c>
    </row>
    <row r="3" spans="1:6" x14ac:dyDescent="0.45">
      <c r="A3" t="s">
        <v>103</v>
      </c>
      <c r="B3" t="s">
        <v>517</v>
      </c>
      <c r="D3" s="5" t="s">
        <v>515</v>
      </c>
      <c r="F3" s="5" t="str">
        <f t="shared" ref="F3:F9" si="0">CONCATENATE(REPT(" ",LEN(B3)+5),"""",D3,IF(F4&lt;&gt;"","\n""",""")"))</f>
        <v xml:space="preserve">                      "BEGIN\n"</v>
      </c>
    </row>
    <row r="4" spans="1:6" x14ac:dyDescent="0.45">
      <c r="A4" t="s">
        <v>103</v>
      </c>
      <c r="B4" t="s">
        <v>517</v>
      </c>
      <c r="D4" s="5" t="s">
        <v>511</v>
      </c>
      <c r="F4" s="5" t="str">
        <f t="shared" si="0"/>
        <v xml:space="preserve">                      "   DECLARE @retval VARCHAR(10);\n"</v>
      </c>
    </row>
    <row r="5" spans="1:6" x14ac:dyDescent="0.45">
      <c r="A5" t="s">
        <v>103</v>
      </c>
      <c r="B5" t="s">
        <v>517</v>
      </c>
      <c r="D5" s="5" t="s">
        <v>512</v>
      </c>
      <c r="F5" s="5" t="str">
        <f t="shared" si="0"/>
        <v xml:space="preserve">                      "   SELECT @retval = CountryDialing\n"</v>
      </c>
    </row>
    <row r="6" spans="1:6" x14ac:dyDescent="0.45">
      <c r="A6" t="s">
        <v>103</v>
      </c>
      <c r="B6" t="s">
        <v>517</v>
      </c>
      <c r="D6" s="5" t="s">
        <v>513</v>
      </c>
      <c r="F6" s="5" t="str">
        <f t="shared" si="0"/>
        <v xml:space="preserve">                      "   FROM dbo.Countries\n"</v>
      </c>
    </row>
    <row r="7" spans="1:6" x14ac:dyDescent="0.45">
      <c r="A7" t="s">
        <v>103</v>
      </c>
      <c r="B7" t="s">
        <v>517</v>
      </c>
      <c r="D7" s="5" t="s">
        <v>514</v>
      </c>
      <c r="F7" s="5" t="str">
        <f t="shared" si="0"/>
        <v xml:space="preserve">                      "   WHERE ID = @id;\n"</v>
      </c>
    </row>
    <row r="8" spans="1:6" x14ac:dyDescent="0.45">
      <c r="A8" t="s">
        <v>103</v>
      </c>
      <c r="B8" t="s">
        <v>517</v>
      </c>
      <c r="D8" s="5" t="s">
        <v>516</v>
      </c>
      <c r="F8" s="5" t="str">
        <f t="shared" si="0"/>
        <v xml:space="preserve">                      "   RETURN @retval;\n"</v>
      </c>
    </row>
    <row r="9" spans="1:6" x14ac:dyDescent="0.45">
      <c r="A9" t="s">
        <v>103</v>
      </c>
      <c r="B9" t="s">
        <v>517</v>
      </c>
      <c r="D9" s="5" t="s">
        <v>518</v>
      </c>
      <c r="F9" s="5" t="str">
        <f t="shared" si="0"/>
        <v xml:space="preserve">                      "END")</v>
      </c>
    </row>
    <row r="10" spans="1:6" x14ac:dyDescent="0.45">
      <c r="A10" t="s">
        <v>103</v>
      </c>
      <c r="B10" t="s">
        <v>517</v>
      </c>
    </row>
    <row r="12" spans="1:6" x14ac:dyDescent="0.45">
      <c r="A12" t="s">
        <v>103</v>
      </c>
      <c r="B12" t="s">
        <v>519</v>
      </c>
      <c r="D12" s="5" t="s">
        <v>520</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60</v>
      </c>
    </row>
    <row r="2" spans="1:16" x14ac:dyDescent="0.45">
      <c r="A2" t="s">
        <v>23</v>
      </c>
      <c r="B2">
        <v>0</v>
      </c>
      <c r="C2" t="s">
        <v>79</v>
      </c>
      <c r="D2" t="s">
        <v>80</v>
      </c>
      <c r="E2" t="s">
        <v>166</v>
      </c>
      <c r="H2" t="s">
        <v>167</v>
      </c>
      <c r="I2" t="s">
        <v>168</v>
      </c>
      <c r="O2" t="s">
        <v>55</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39</v>
      </c>
      <c r="E3" t="s">
        <v>20</v>
      </c>
      <c r="F3">
        <v>0</v>
      </c>
      <c r="G3">
        <v>0</v>
      </c>
      <c r="H3" t="s">
        <v>57</v>
      </c>
      <c r="I3" t="s">
        <v>57</v>
      </c>
      <c r="O3" t="s">
        <v>56</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40</v>
      </c>
      <c r="E4" t="s">
        <v>20</v>
      </c>
      <c r="F4">
        <v>0</v>
      </c>
      <c r="G4">
        <v>0</v>
      </c>
      <c r="H4" t="s">
        <v>57</v>
      </c>
      <c r="I4" t="s">
        <v>57</v>
      </c>
      <c r="N4">
        <v>11</v>
      </c>
      <c r="P4" s="2" t="str">
        <f t="shared" si="0"/>
        <v xml:space="preserve">      .AddAttribute(  2, "District_ID", "Bezirk_ID", "integer", 0, 0, false, false, "", "", "")</v>
      </c>
    </row>
    <row r="5" spans="1:16" x14ac:dyDescent="0.45">
      <c r="A5" t="s">
        <v>23</v>
      </c>
      <c r="B5">
        <v>3</v>
      </c>
      <c r="C5" t="s">
        <v>2</v>
      </c>
      <c r="D5" t="s">
        <v>41</v>
      </c>
      <c r="E5" t="s">
        <v>20</v>
      </c>
      <c r="F5">
        <v>0</v>
      </c>
      <c r="G5">
        <v>0</v>
      </c>
      <c r="H5" t="s">
        <v>57</v>
      </c>
      <c r="I5" t="s">
        <v>57</v>
      </c>
      <c r="N5">
        <v>13</v>
      </c>
      <c r="P5" s="2" t="str">
        <f t="shared" si="0"/>
        <v xml:space="preserve">      .AddAttribute(  3, "Neighborhood_ID", "Ortsteil_ID", "integer", 0, 0, false, false, "", "", "")</v>
      </c>
    </row>
    <row r="6" spans="1:16" x14ac:dyDescent="0.45">
      <c r="A6" t="s">
        <v>23</v>
      </c>
      <c r="B6">
        <v>4</v>
      </c>
      <c r="C6" t="s">
        <v>3</v>
      </c>
      <c r="D6" t="s">
        <v>42</v>
      </c>
      <c r="E6" t="s">
        <v>20</v>
      </c>
      <c r="F6">
        <v>0</v>
      </c>
      <c r="G6">
        <v>0</v>
      </c>
      <c r="H6" t="s">
        <v>57</v>
      </c>
      <c r="I6" t="s">
        <v>57</v>
      </c>
      <c r="N6">
        <v>7</v>
      </c>
      <c r="P6" s="2" t="str">
        <f t="shared" si="0"/>
        <v xml:space="preserve">      .AddAttribute(  4, "Street_ID", "Strasse_ID", "integer", 0, 0, false, false, "", "", "")</v>
      </c>
    </row>
    <row r="7" spans="1:16" x14ac:dyDescent="0.45">
      <c r="A7" t="s">
        <v>23</v>
      </c>
      <c r="B7">
        <v>5</v>
      </c>
      <c r="C7" t="s">
        <v>4</v>
      </c>
      <c r="D7" t="s">
        <v>43</v>
      </c>
      <c r="E7" t="s">
        <v>19</v>
      </c>
      <c r="F7">
        <v>75</v>
      </c>
      <c r="G7">
        <v>0</v>
      </c>
      <c r="H7" t="s">
        <v>57</v>
      </c>
      <c r="I7" t="s">
        <v>57</v>
      </c>
      <c r="N7">
        <v>22</v>
      </c>
      <c r="P7" s="2" t="str">
        <f t="shared" si="0"/>
        <v xml:space="preserve">      .AddAttribute(  5, "State", "Land", "varchar", 75, 0, false, false, "", "", "")</v>
      </c>
    </row>
    <row r="8" spans="1:16" x14ac:dyDescent="0.45">
      <c r="A8" t="s">
        <v>23</v>
      </c>
      <c r="B8">
        <v>6</v>
      </c>
      <c r="C8" t="s">
        <v>5</v>
      </c>
      <c r="D8" t="s">
        <v>44</v>
      </c>
      <c r="E8" t="s">
        <v>19</v>
      </c>
      <c r="F8">
        <v>75</v>
      </c>
      <c r="G8">
        <v>0</v>
      </c>
      <c r="H8" t="s">
        <v>57</v>
      </c>
      <c r="I8" t="s">
        <v>57</v>
      </c>
      <c r="N8">
        <v>22</v>
      </c>
      <c r="P8" s="2" t="str">
        <f t="shared" si="0"/>
        <v xml:space="preserve">      .AddAttribute(  6, "City", "Stadt", "varchar", 75, 0, false, false, "", "", "")</v>
      </c>
    </row>
    <row r="9" spans="1:16" x14ac:dyDescent="0.45">
      <c r="A9" t="s">
        <v>23</v>
      </c>
      <c r="B9">
        <v>7</v>
      </c>
      <c r="C9" t="s">
        <v>6</v>
      </c>
      <c r="D9" t="s">
        <v>45</v>
      </c>
      <c r="E9" t="s">
        <v>19</v>
      </c>
      <c r="F9">
        <v>75</v>
      </c>
      <c r="G9">
        <v>0</v>
      </c>
      <c r="H9" t="s">
        <v>57</v>
      </c>
      <c r="I9" t="s">
        <v>57</v>
      </c>
      <c r="N9">
        <v>10</v>
      </c>
      <c r="P9" s="2" t="str">
        <f t="shared" si="0"/>
        <v xml:space="preserve">      .AddAttribute(  7, "District", "Bezirk", "varchar", 75, 0, false, false, "", "", "")</v>
      </c>
    </row>
    <row r="10" spans="1:16" x14ac:dyDescent="0.45">
      <c r="A10" t="s">
        <v>23</v>
      </c>
      <c r="B10">
        <v>8</v>
      </c>
      <c r="C10" t="s">
        <v>7</v>
      </c>
      <c r="D10" t="s">
        <v>46</v>
      </c>
      <c r="E10" t="s">
        <v>19</v>
      </c>
      <c r="F10">
        <v>75</v>
      </c>
      <c r="G10">
        <v>0</v>
      </c>
      <c r="H10" t="s">
        <v>57</v>
      </c>
      <c r="I10" t="s">
        <v>57</v>
      </c>
      <c r="N10">
        <v>12</v>
      </c>
      <c r="P10" s="2" t="str">
        <f t="shared" si="0"/>
        <v xml:space="preserve">      .AddAttribute(  8, "Neighborhood", "Ortsteil", "varchar", 75, 0, false, false, "", "", "")</v>
      </c>
    </row>
    <row r="11" spans="1:16" x14ac:dyDescent="0.45">
      <c r="A11" t="s">
        <v>23</v>
      </c>
      <c r="B11">
        <v>9</v>
      </c>
      <c r="C11" t="s">
        <v>8</v>
      </c>
      <c r="D11" t="s">
        <v>47</v>
      </c>
      <c r="E11" t="s">
        <v>19</v>
      </c>
      <c r="F11">
        <v>75</v>
      </c>
      <c r="G11">
        <v>0</v>
      </c>
      <c r="H11" t="s">
        <v>57</v>
      </c>
      <c r="I11" t="s">
        <v>57</v>
      </c>
      <c r="N11">
        <v>8</v>
      </c>
      <c r="P11" s="2" t="str">
        <f t="shared" si="0"/>
        <v xml:space="preserve">      .AddAttribute(  9, "Street", "Strasse", "varchar", 75, 0, false, false, "", "", "")</v>
      </c>
    </row>
    <row r="12" spans="1:16" x14ac:dyDescent="0.45">
      <c r="A12" t="s">
        <v>23</v>
      </c>
      <c r="B12">
        <v>10</v>
      </c>
      <c r="C12" t="s">
        <v>9</v>
      </c>
      <c r="D12" t="s">
        <v>48</v>
      </c>
      <c r="E12" t="s">
        <v>19</v>
      </c>
      <c r="F12">
        <v>5</v>
      </c>
      <c r="G12">
        <v>0</v>
      </c>
      <c r="H12" t="s">
        <v>57</v>
      </c>
      <c r="I12" t="s">
        <v>57</v>
      </c>
      <c r="N12">
        <v>9</v>
      </c>
      <c r="P12" s="2" t="str">
        <f t="shared" si="0"/>
        <v xml:space="preserve">      .AddAttribute( 10, "Postal_Code", "PLZ", "varchar", 5, 0, false, false, "", "", "")</v>
      </c>
    </row>
    <row r="13" spans="1:16" x14ac:dyDescent="0.45">
      <c r="A13" t="s">
        <v>23</v>
      </c>
      <c r="B13">
        <v>11</v>
      </c>
      <c r="C13" t="s">
        <v>10</v>
      </c>
      <c r="D13" t="s">
        <v>49</v>
      </c>
      <c r="E13" t="s">
        <v>20</v>
      </c>
      <c r="F13">
        <v>0</v>
      </c>
      <c r="G13">
        <v>0</v>
      </c>
      <c r="H13" t="s">
        <v>57</v>
      </c>
      <c r="I13" t="s">
        <v>57</v>
      </c>
      <c r="N13">
        <v>5</v>
      </c>
      <c r="P13" s="2" t="str">
        <f t="shared" si="0"/>
        <v xml:space="preserve">      .AddAttribute( 11, "House_Number", "HNR", "integer", 0, 0, false, false, "", "", "")</v>
      </c>
    </row>
    <row r="14" spans="1:16" x14ac:dyDescent="0.45">
      <c r="A14" t="s">
        <v>23</v>
      </c>
      <c r="B14">
        <v>12</v>
      </c>
      <c r="C14" t="s">
        <v>11</v>
      </c>
      <c r="D14" t="s">
        <v>50</v>
      </c>
      <c r="E14" t="s">
        <v>19</v>
      </c>
      <c r="F14">
        <v>5</v>
      </c>
      <c r="G14">
        <v>0</v>
      </c>
      <c r="H14" t="s">
        <v>57</v>
      </c>
      <c r="I14" t="s">
        <v>57</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57</v>
      </c>
      <c r="I15" t="s">
        <v>57</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57</v>
      </c>
      <c r="I16" t="s">
        <v>57</v>
      </c>
      <c r="N16">
        <v>2</v>
      </c>
      <c r="P16" s="2" t="str">
        <f t="shared" si="0"/>
        <v xml:space="preserve">      .AddAttribute( 14, "Longitude", "Longitude", "double", 0, 0, false, false, "", "", "")</v>
      </c>
    </row>
    <row r="17" spans="1:16" x14ac:dyDescent="0.45">
      <c r="A17" t="s">
        <v>23</v>
      </c>
      <c r="B17">
        <v>15</v>
      </c>
      <c r="C17" t="s">
        <v>14</v>
      </c>
      <c r="D17" t="s">
        <v>53</v>
      </c>
      <c r="E17" t="s">
        <v>22</v>
      </c>
      <c r="F17">
        <v>0</v>
      </c>
      <c r="G17">
        <v>0</v>
      </c>
      <c r="H17" t="s">
        <v>57</v>
      </c>
      <c r="I17" t="s">
        <v>57</v>
      </c>
      <c r="N17">
        <v>17</v>
      </c>
      <c r="P17" s="2" t="str">
        <f t="shared" si="0"/>
        <v xml:space="preserve">      .AddAttribute( 15, "Address_Date", "Adr_Datum", "date", 0, 0, false, false, "", "", "")</v>
      </c>
    </row>
    <row r="18" spans="1:16" x14ac:dyDescent="0.45">
      <c r="A18" t="s">
        <v>23</v>
      </c>
      <c r="B18">
        <v>16</v>
      </c>
      <c r="C18" t="s">
        <v>15</v>
      </c>
      <c r="D18" t="s">
        <v>54</v>
      </c>
      <c r="E18" t="s">
        <v>22</v>
      </c>
      <c r="F18">
        <v>0</v>
      </c>
      <c r="G18">
        <v>0</v>
      </c>
      <c r="H18" t="s">
        <v>57</v>
      </c>
      <c r="I18" t="s">
        <v>57</v>
      </c>
      <c r="N18">
        <v>18</v>
      </c>
      <c r="P18" s="2" t="str">
        <f t="shared" si="0"/>
        <v xml:space="preserve">      .AddAttribute( 16, "Street_Date", "Strasse_Datum", "date", 0, 0, false, false, "", "", "")</v>
      </c>
    </row>
    <row r="19" spans="1:16" x14ac:dyDescent="0.45">
      <c r="A19" t="s">
        <v>23</v>
      </c>
      <c r="B19">
        <v>17</v>
      </c>
      <c r="C19" t="s">
        <v>16</v>
      </c>
      <c r="D19" t="s">
        <v>51</v>
      </c>
      <c r="E19" t="s">
        <v>19</v>
      </c>
      <c r="F19">
        <v>100</v>
      </c>
      <c r="G19">
        <v>0</v>
      </c>
      <c r="H19" t="s">
        <v>57</v>
      </c>
      <c r="I19" t="s">
        <v>57</v>
      </c>
      <c r="N19">
        <v>19</v>
      </c>
      <c r="P19" s="2" t="str">
        <f t="shared" si="0"/>
        <v xml:space="preserve">      .AddAttribute( 17, "Quality", "Qualitaet", "varchar", 100, 0, false, false, "", "", "")</v>
      </c>
    </row>
    <row r="20" spans="1:16" x14ac:dyDescent="0.45">
      <c r="A20" t="s">
        <v>23</v>
      </c>
      <c r="B20">
        <v>18</v>
      </c>
      <c r="C20" t="s">
        <v>17</v>
      </c>
      <c r="D20" t="s">
        <v>52</v>
      </c>
      <c r="E20" t="s">
        <v>19</v>
      </c>
      <c r="F20">
        <v>100</v>
      </c>
      <c r="G20">
        <v>0</v>
      </c>
      <c r="H20" t="s">
        <v>57</v>
      </c>
      <c r="I20" t="s">
        <v>57</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57</v>
      </c>
      <c r="I21" t="s">
        <v>57</v>
      </c>
      <c r="N21">
        <v>21</v>
      </c>
      <c r="P21" s="2" t="str">
        <f t="shared" si="0"/>
        <v xml:space="preserve">      .AddAttribute( 19, "HKO_ID", "HKO_ID", "varchar", 20, 0, false, false, "", "", "")</v>
      </c>
    </row>
    <row r="22" spans="1:16" x14ac:dyDescent="0.45">
      <c r="P22" s="2" t="s">
        <v>68</v>
      </c>
    </row>
    <row r="24" spans="1:16" x14ac:dyDescent="0.45">
      <c r="K24" t="s">
        <v>280</v>
      </c>
      <c r="L24" t="s">
        <v>188</v>
      </c>
      <c r="M24" t="s">
        <v>473</v>
      </c>
    </row>
    <row r="25" spans="1:16" x14ac:dyDescent="0.45">
      <c r="A25" t="s">
        <v>99</v>
      </c>
      <c r="B25">
        <v>0</v>
      </c>
      <c r="C25" t="s">
        <v>113</v>
      </c>
      <c r="D25" t="s">
        <v>459</v>
      </c>
      <c r="E25" t="s">
        <v>166</v>
      </c>
      <c r="H25" t="s">
        <v>167</v>
      </c>
      <c r="I25" t="s">
        <v>168</v>
      </c>
      <c r="K25" s="2"/>
      <c r="L25" s="2"/>
      <c r="M25" s="2"/>
      <c r="O25" s="4" t="s">
        <v>198</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99</v>
      </c>
      <c r="B26">
        <v>1</v>
      </c>
      <c r="C26" t="s">
        <v>133</v>
      </c>
      <c r="D26" t="s">
        <v>133</v>
      </c>
      <c r="E26" t="s">
        <v>20</v>
      </c>
      <c r="F26">
        <v>0</v>
      </c>
      <c r="G26">
        <v>0</v>
      </c>
      <c r="H26" t="s">
        <v>58</v>
      </c>
      <c r="I26" t="s">
        <v>58</v>
      </c>
      <c r="J26" t="s">
        <v>57</v>
      </c>
      <c r="K26" s="2"/>
      <c r="L26" s="2"/>
      <c r="M26" s="2"/>
      <c r="O26" s="4" t="s">
        <v>262</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99</v>
      </c>
      <c r="B27">
        <v>2</v>
      </c>
      <c r="C27" t="s">
        <v>135</v>
      </c>
      <c r="D27" t="s">
        <v>135</v>
      </c>
      <c r="E27" t="s">
        <v>20</v>
      </c>
      <c r="F27">
        <v>0</v>
      </c>
      <c r="G27">
        <v>0</v>
      </c>
      <c r="H27" t="s">
        <v>58</v>
      </c>
      <c r="I27" t="s">
        <v>58</v>
      </c>
      <c r="J27" t="s">
        <v>58</v>
      </c>
      <c r="K27" s="2"/>
      <c r="L27" s="2"/>
      <c r="M27" s="2"/>
      <c r="O27" s="4" t="s">
        <v>199</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99</v>
      </c>
      <c r="B28">
        <v>3</v>
      </c>
      <c r="C28" t="s">
        <v>137</v>
      </c>
      <c r="D28" t="s">
        <v>137</v>
      </c>
      <c r="E28" t="s">
        <v>19</v>
      </c>
      <c r="F28">
        <v>10</v>
      </c>
      <c r="G28">
        <v>0</v>
      </c>
      <c r="H28" t="s">
        <v>58</v>
      </c>
      <c r="I28" t="s">
        <v>57</v>
      </c>
      <c r="J28" t="s">
        <v>57</v>
      </c>
      <c r="K28" s="2"/>
      <c r="L28" s="2"/>
      <c r="M28" s="2"/>
      <c r="O28" s="4" t="s">
        <v>189</v>
      </c>
      <c r="P28" s="2" t="str">
        <f t="shared" si="1"/>
        <v xml:space="preserve">      .AddAttribute(  3, "Zipcode", "Zipcode", "varchar", 10, 0, true, false, "", "", "Zip code for the address")</v>
      </c>
    </row>
    <row r="29" spans="1:16" x14ac:dyDescent="0.45">
      <c r="A29" t="s">
        <v>99</v>
      </c>
      <c r="B29">
        <v>4</v>
      </c>
      <c r="C29" t="s">
        <v>5</v>
      </c>
      <c r="D29" t="s">
        <v>5</v>
      </c>
      <c r="E29" t="s">
        <v>19</v>
      </c>
      <c r="F29">
        <v>50</v>
      </c>
      <c r="G29">
        <v>0</v>
      </c>
      <c r="H29" t="s">
        <v>58</v>
      </c>
      <c r="I29" t="s">
        <v>57</v>
      </c>
      <c r="J29" t="s">
        <v>57</v>
      </c>
      <c r="K29" s="2"/>
      <c r="L29" s="2"/>
      <c r="M29" s="2"/>
      <c r="O29" s="4" t="s">
        <v>197</v>
      </c>
      <c r="P29" s="2" t="str">
        <f t="shared" si="1"/>
        <v xml:space="preserve">      .AddAttribute(  4, "City", "City", "varchar", 50, 0, true, false, "", "", "name of the city/county (possibly with district) for this address")</v>
      </c>
    </row>
    <row r="30" spans="1:16" x14ac:dyDescent="0.45">
      <c r="A30" t="s">
        <v>99</v>
      </c>
      <c r="B30">
        <v>5</v>
      </c>
      <c r="C30" t="s">
        <v>8</v>
      </c>
      <c r="D30" t="s">
        <v>8</v>
      </c>
      <c r="E30" t="s">
        <v>19</v>
      </c>
      <c r="F30">
        <v>50</v>
      </c>
      <c r="G30">
        <v>0</v>
      </c>
      <c r="H30" t="s">
        <v>58</v>
      </c>
      <c r="I30" t="s">
        <v>57</v>
      </c>
      <c r="J30" t="s">
        <v>57</v>
      </c>
      <c r="K30" s="2"/>
      <c r="L30" s="2"/>
      <c r="M30" s="2"/>
      <c r="O30" s="4" t="s">
        <v>196</v>
      </c>
      <c r="P30" s="2" t="str">
        <f t="shared" si="1"/>
        <v xml:space="preserve">      .AddAttribute(  5, "Street", "Street", "varchar", 50, 0, true, false, "", "", "name of the street belonging to this address")</v>
      </c>
    </row>
    <row r="31" spans="1:16" x14ac:dyDescent="0.45">
      <c r="A31" t="s">
        <v>99</v>
      </c>
      <c r="B31">
        <v>6</v>
      </c>
      <c r="C31" t="s">
        <v>136</v>
      </c>
      <c r="D31" t="s">
        <v>136</v>
      </c>
      <c r="E31" t="s">
        <v>19</v>
      </c>
      <c r="F31">
        <v>10</v>
      </c>
      <c r="G31">
        <v>0</v>
      </c>
      <c r="H31" t="s">
        <v>57</v>
      </c>
      <c r="I31" t="s">
        <v>57</v>
      </c>
      <c r="J31" t="s">
        <v>57</v>
      </c>
      <c r="K31" s="2"/>
      <c r="L31" s="2"/>
      <c r="M31" s="2"/>
      <c r="O31" s="4" t="s">
        <v>200</v>
      </c>
      <c r="P31" s="2" t="str">
        <f t="shared" si="1"/>
        <v xml:space="preserve">      .AddAttribute(  6, "StreetNumber", "StreetNumber", "varchar", 10, 0, false, false, "", "", "house number with addition for this address")</v>
      </c>
    </row>
    <row r="32" spans="1:16" x14ac:dyDescent="0.45">
      <c r="A32" t="s">
        <v>99</v>
      </c>
      <c r="B32">
        <v>7</v>
      </c>
      <c r="C32" t="s">
        <v>138</v>
      </c>
      <c r="D32" t="s">
        <v>138</v>
      </c>
      <c r="E32" t="s">
        <v>20</v>
      </c>
      <c r="F32">
        <v>0</v>
      </c>
      <c r="G32">
        <v>0</v>
      </c>
      <c r="H32" t="s">
        <v>58</v>
      </c>
      <c r="I32" t="s">
        <v>57</v>
      </c>
      <c r="J32" t="s">
        <v>57</v>
      </c>
      <c r="K32" s="2"/>
      <c r="L32" s="2"/>
      <c r="M32" s="2"/>
      <c r="O32" s="4" t="s">
        <v>194</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100</v>
      </c>
      <c r="B34">
        <v>0</v>
      </c>
      <c r="C34" t="s">
        <v>114</v>
      </c>
      <c r="D34" t="s">
        <v>458</v>
      </c>
      <c r="E34" t="s">
        <v>166</v>
      </c>
      <c r="H34" t="s">
        <v>167</v>
      </c>
      <c r="I34" t="s">
        <v>168</v>
      </c>
      <c r="K34" s="2"/>
      <c r="L34" s="2"/>
      <c r="M34" s="2"/>
      <c r="O34" s="4" t="s">
        <v>195</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100</v>
      </c>
      <c r="B35">
        <v>1</v>
      </c>
      <c r="C35" t="s">
        <v>133</v>
      </c>
      <c r="D35" t="s">
        <v>133</v>
      </c>
      <c r="E35" t="s">
        <v>20</v>
      </c>
      <c r="F35">
        <v>0</v>
      </c>
      <c r="G35">
        <v>0</v>
      </c>
      <c r="H35" t="s">
        <v>58</v>
      </c>
      <c r="I35" t="s">
        <v>58</v>
      </c>
      <c r="J35" t="s">
        <v>57</v>
      </c>
      <c r="K35" s="2"/>
      <c r="L35" s="2"/>
      <c r="M35" s="2"/>
      <c r="O35" s="4" t="s">
        <v>218</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100</v>
      </c>
      <c r="B36">
        <v>2</v>
      </c>
      <c r="C36" t="s">
        <v>128</v>
      </c>
      <c r="D36" t="s">
        <v>128</v>
      </c>
      <c r="E36" t="s">
        <v>19</v>
      </c>
      <c r="F36">
        <v>50</v>
      </c>
      <c r="G36">
        <v>0</v>
      </c>
      <c r="H36" t="s">
        <v>58</v>
      </c>
      <c r="I36" t="s">
        <v>57</v>
      </c>
      <c r="J36" t="s">
        <v>58</v>
      </c>
      <c r="K36" s="2"/>
      <c r="L36" s="2"/>
      <c r="M36" s="2"/>
      <c r="O36" s="4" t="s">
        <v>201</v>
      </c>
      <c r="P36" s="2" t="str">
        <f t="shared" si="2"/>
        <v xml:space="preserve">      .AddAttribute(  2, "Denotation", "Denotation", "varchar", 50, 0, true, false, "", "", "unique description of an entry in the domain, display in selections, comboboxes, … (key canditate)")</v>
      </c>
    </row>
    <row r="37" spans="1:16" x14ac:dyDescent="0.45">
      <c r="A37" t="s">
        <v>100</v>
      </c>
      <c r="B37">
        <v>3</v>
      </c>
      <c r="C37" t="s">
        <v>129</v>
      </c>
      <c r="D37" t="s">
        <v>129</v>
      </c>
      <c r="E37" t="s">
        <v>19</v>
      </c>
      <c r="F37">
        <v>10</v>
      </c>
      <c r="G37">
        <v>0</v>
      </c>
      <c r="H37" t="s">
        <v>57</v>
      </c>
      <c r="I37" t="s">
        <v>57</v>
      </c>
      <c r="J37" t="s">
        <v>57</v>
      </c>
      <c r="K37" s="2"/>
      <c r="L37" s="2"/>
      <c r="M37" s="2"/>
      <c r="O37" s="4" t="s">
        <v>202</v>
      </c>
      <c r="P37" s="2" t="str">
        <f t="shared" si="2"/>
        <v xml:space="preserve">      .AddAttribute(  3, "Abbreviation", "Abbreviation", "varchar", 10, 0, false, false, "", "", "non-representative abbreviation that can be used for a short advertisement for this address")</v>
      </c>
    </row>
    <row r="38" spans="1:16" x14ac:dyDescent="0.45">
      <c r="A38" t="s">
        <v>100</v>
      </c>
      <c r="B38">
        <v>4</v>
      </c>
      <c r="C38" t="s">
        <v>130</v>
      </c>
      <c r="D38" t="s">
        <v>130</v>
      </c>
      <c r="E38" t="s">
        <v>77</v>
      </c>
      <c r="F38">
        <v>0</v>
      </c>
      <c r="G38">
        <v>0</v>
      </c>
      <c r="H38" t="s">
        <v>57</v>
      </c>
      <c r="I38" t="s">
        <v>57</v>
      </c>
      <c r="J38" t="s">
        <v>57</v>
      </c>
      <c r="K38" s="2"/>
      <c r="L38" s="2"/>
      <c r="M38" s="2"/>
      <c r="O38" s="4" t="s">
        <v>203</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100</v>
      </c>
      <c r="B39">
        <v>5</v>
      </c>
      <c r="C39" t="s">
        <v>131</v>
      </c>
      <c r="D39" t="s">
        <v>131</v>
      </c>
      <c r="E39" t="s">
        <v>77</v>
      </c>
      <c r="F39">
        <v>0</v>
      </c>
      <c r="G39">
        <v>0</v>
      </c>
      <c r="H39" t="s">
        <v>57</v>
      </c>
      <c r="I39" t="s">
        <v>57</v>
      </c>
      <c r="J39" t="s">
        <v>57</v>
      </c>
      <c r="K39" s="2"/>
      <c r="L39" s="2"/>
      <c r="M39" s="2"/>
      <c r="O39" s="4" t="s">
        <v>204</v>
      </c>
      <c r="P39" s="2" t="str">
        <f t="shared" si="2"/>
        <v xml:space="preserve">      .AddAttribute(  5, "Notes", "Notes", "text", 0, 0, false, false, "", "", "notes, with additional / free information for this AddressType, not used in application")</v>
      </c>
    </row>
    <row r="40" spans="1:16" x14ac:dyDescent="0.45">
      <c r="A40" t="s">
        <v>100</v>
      </c>
      <c r="B40">
        <v>6</v>
      </c>
      <c r="C40" t="s">
        <v>132</v>
      </c>
      <c r="D40" t="s">
        <v>132</v>
      </c>
      <c r="E40" t="s">
        <v>27</v>
      </c>
      <c r="F40">
        <v>0</v>
      </c>
      <c r="G40">
        <v>0</v>
      </c>
      <c r="H40" t="s">
        <v>57</v>
      </c>
      <c r="I40" t="s">
        <v>57</v>
      </c>
      <c r="J40" t="s">
        <v>57</v>
      </c>
      <c r="K40" s="2"/>
      <c r="L40" s="2"/>
      <c r="M40" s="2"/>
      <c r="O40" s="4" t="s">
        <v>219</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101</v>
      </c>
      <c r="B42">
        <v>0</v>
      </c>
      <c r="C42" t="s">
        <v>115</v>
      </c>
      <c r="D42" t="s">
        <v>456</v>
      </c>
      <c r="E42" t="s">
        <v>166</v>
      </c>
      <c r="H42" t="s">
        <v>167</v>
      </c>
      <c r="I42" t="s">
        <v>168</v>
      </c>
      <c r="K42" s="2"/>
      <c r="L42" s="2"/>
      <c r="M42" s="2"/>
      <c r="O42" s="4" t="s">
        <v>210</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101</v>
      </c>
      <c r="B43">
        <v>1</v>
      </c>
      <c r="C43" t="s">
        <v>133</v>
      </c>
      <c r="D43" t="s">
        <v>133</v>
      </c>
      <c r="E43" t="s">
        <v>20</v>
      </c>
      <c r="F43">
        <v>0</v>
      </c>
      <c r="G43">
        <v>0</v>
      </c>
      <c r="H43" t="s">
        <v>58</v>
      </c>
      <c r="I43" t="s">
        <v>58</v>
      </c>
      <c r="J43" t="s">
        <v>57</v>
      </c>
      <c r="K43" s="2"/>
      <c r="L43" s="2"/>
      <c r="M43" s="2"/>
      <c r="O43" s="4" t="s">
        <v>263</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101</v>
      </c>
      <c r="B44">
        <v>2</v>
      </c>
      <c r="C44" t="s">
        <v>143</v>
      </c>
      <c r="D44" t="s">
        <v>143</v>
      </c>
      <c r="E44" t="s">
        <v>20</v>
      </c>
      <c r="F44">
        <v>0</v>
      </c>
      <c r="G44">
        <v>0</v>
      </c>
      <c r="H44" t="s">
        <v>58</v>
      </c>
      <c r="I44" t="s">
        <v>58</v>
      </c>
      <c r="J44" t="s">
        <v>57</v>
      </c>
      <c r="K44" s="2"/>
      <c r="L44" s="2"/>
      <c r="M44" s="2"/>
      <c r="O44" s="4" t="s">
        <v>211</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101</v>
      </c>
      <c r="B45">
        <v>3</v>
      </c>
      <c r="C45" t="s">
        <v>144</v>
      </c>
      <c r="D45" t="s">
        <v>144</v>
      </c>
      <c r="E45" t="s">
        <v>19</v>
      </c>
      <c r="F45">
        <v>50</v>
      </c>
      <c r="G45">
        <v>0</v>
      </c>
      <c r="H45" t="s">
        <v>57</v>
      </c>
      <c r="I45" t="s">
        <v>57</v>
      </c>
      <c r="J45" t="s">
        <v>57</v>
      </c>
      <c r="K45" s="2"/>
      <c r="L45" s="2"/>
      <c r="M45" s="2"/>
      <c r="O45" s="4" t="s">
        <v>212</v>
      </c>
      <c r="P45" s="2" t="str">
        <f t="shared" si="3"/>
        <v xml:space="preserve">      .AddAttribute(  3, "BankName", "BankName", "varchar", 50, 0, false, false, "", "", "name of the bank that manages this account (not necessarily required)")</v>
      </c>
    </row>
    <row r="46" spans="1:16" x14ac:dyDescent="0.45">
      <c r="A46" t="s">
        <v>101</v>
      </c>
      <c r="B46">
        <v>4</v>
      </c>
      <c r="C46" t="s">
        <v>145</v>
      </c>
      <c r="D46" t="s">
        <v>145</v>
      </c>
      <c r="E46" t="s">
        <v>19</v>
      </c>
      <c r="F46">
        <v>33</v>
      </c>
      <c r="G46">
        <v>0</v>
      </c>
      <c r="H46" t="s">
        <v>58</v>
      </c>
      <c r="I46" t="s">
        <v>57</v>
      </c>
      <c r="J46" t="s">
        <v>57</v>
      </c>
      <c r="K46" s="2"/>
      <c r="L46" s="2"/>
      <c r="M46" s="2"/>
      <c r="O46" s="4" t="s">
        <v>213</v>
      </c>
      <c r="P46" s="2" t="str">
        <f t="shared" si="3"/>
        <v xml:space="preserve">      .AddAttribute(  4, "IBAN", "IBAN", "varchar", 33, 0, true, false, "", "", "IBAN number (account identification) for this bank account (required)")</v>
      </c>
    </row>
    <row r="47" spans="1:16" x14ac:dyDescent="0.45">
      <c r="A47" t="s">
        <v>101</v>
      </c>
      <c r="B47">
        <v>5</v>
      </c>
      <c r="C47" t="s">
        <v>146</v>
      </c>
      <c r="D47" t="s">
        <v>146</v>
      </c>
      <c r="E47" t="s">
        <v>19</v>
      </c>
      <c r="F47">
        <v>12</v>
      </c>
      <c r="G47">
        <v>0</v>
      </c>
      <c r="H47" t="s">
        <v>57</v>
      </c>
      <c r="I47" t="s">
        <v>57</v>
      </c>
      <c r="J47" t="s">
        <v>57</v>
      </c>
      <c r="K47" s="2"/>
      <c r="L47" s="2"/>
      <c r="M47" s="2"/>
      <c r="O47" s="4" t="s">
        <v>214</v>
      </c>
      <c r="P47" s="2" t="str">
        <f t="shared" si="3"/>
        <v xml:space="preserve">      .AddAttribute(  5, "BIC", "BIC", "varchar", 12, 0, false, false, "", "", "BIC number of the bank that manages this account (not necessarily required for transactions inside europe)")</v>
      </c>
    </row>
    <row r="48" spans="1:16" x14ac:dyDescent="0.45">
      <c r="A48" t="s">
        <v>101</v>
      </c>
      <c r="B48">
        <v>6</v>
      </c>
      <c r="C48" t="s">
        <v>147</v>
      </c>
      <c r="D48" t="s">
        <v>147</v>
      </c>
      <c r="E48" t="s">
        <v>19</v>
      </c>
      <c r="F48">
        <v>27</v>
      </c>
      <c r="G48">
        <v>0</v>
      </c>
      <c r="H48" t="s">
        <v>57</v>
      </c>
      <c r="I48" t="s">
        <v>57</v>
      </c>
      <c r="J48" t="s">
        <v>57</v>
      </c>
      <c r="K48" s="2"/>
      <c r="L48" s="2"/>
      <c r="M48" s="2"/>
      <c r="O48" s="4" t="s">
        <v>215</v>
      </c>
      <c r="P48" s="2" t="str">
        <f t="shared" si="3"/>
        <v xml:space="preserve">      .AddAttribute(  6, "BankOwner", "BankOwner", "varchar", 27, 0, false, false, "", "", "optionally the name of the owner of the bank details, if this differs from the assigned person")</v>
      </c>
    </row>
    <row r="49" spans="1:16" x14ac:dyDescent="0.45">
      <c r="A49" t="s">
        <v>101</v>
      </c>
      <c r="B49">
        <v>7</v>
      </c>
      <c r="C49" t="s">
        <v>138</v>
      </c>
      <c r="D49" t="s">
        <v>138</v>
      </c>
      <c r="E49" t="s">
        <v>20</v>
      </c>
      <c r="F49">
        <v>0</v>
      </c>
      <c r="G49">
        <v>0</v>
      </c>
      <c r="H49" t="s">
        <v>57</v>
      </c>
      <c r="I49" t="s">
        <v>57</v>
      </c>
      <c r="J49" t="s">
        <v>57</v>
      </c>
      <c r="K49" s="2"/>
      <c r="L49" s="2"/>
      <c r="M49" s="2"/>
      <c r="O49" s="4" t="s">
        <v>209</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102</v>
      </c>
      <c r="B51">
        <v>0</v>
      </c>
      <c r="C51" t="s">
        <v>116</v>
      </c>
      <c r="D51" t="s">
        <v>457</v>
      </c>
      <c r="E51" t="s">
        <v>166</v>
      </c>
      <c r="H51" t="s">
        <v>167</v>
      </c>
      <c r="I51" t="s">
        <v>168</v>
      </c>
      <c r="K51" s="2"/>
      <c r="L51" s="2"/>
      <c r="M51" s="2"/>
      <c r="O51" s="4" t="s">
        <v>216</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102</v>
      </c>
      <c r="B52">
        <v>1</v>
      </c>
      <c r="C52" t="s">
        <v>133</v>
      </c>
      <c r="D52" t="s">
        <v>133</v>
      </c>
      <c r="E52" t="s">
        <v>20</v>
      </c>
      <c r="F52">
        <v>0</v>
      </c>
      <c r="G52">
        <v>0</v>
      </c>
      <c r="H52" t="s">
        <v>58</v>
      </c>
      <c r="I52" t="s">
        <v>58</v>
      </c>
      <c r="J52" t="s">
        <v>57</v>
      </c>
      <c r="K52" s="2"/>
      <c r="L52" s="2"/>
      <c r="M52" s="2"/>
      <c r="O52" s="4" t="s">
        <v>217</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102</v>
      </c>
      <c r="B53">
        <v>2</v>
      </c>
      <c r="C53" t="s">
        <v>128</v>
      </c>
      <c r="D53" t="s">
        <v>128</v>
      </c>
      <c r="E53" t="s">
        <v>19</v>
      </c>
      <c r="F53">
        <v>50</v>
      </c>
      <c r="G53">
        <v>0</v>
      </c>
      <c r="H53" t="s">
        <v>58</v>
      </c>
      <c r="I53" t="s">
        <v>57</v>
      </c>
      <c r="J53" t="s">
        <v>58</v>
      </c>
      <c r="K53" s="2"/>
      <c r="L53" s="2"/>
      <c r="M53" s="2"/>
      <c r="O53" s="4" t="s">
        <v>224</v>
      </c>
      <c r="P53" s="2" t="str">
        <f t="shared" si="4"/>
        <v xml:space="preserve">      .AddAttribute(  2, "Denotation", "Denotation", "varchar", 50, 0, true, false, "", "", "unique description of an banking type entity in the domain, used in selections, comboboxes, … (key canditate)")</v>
      </c>
    </row>
    <row r="54" spans="1:16" x14ac:dyDescent="0.45">
      <c r="A54" t="s">
        <v>102</v>
      </c>
      <c r="B54">
        <v>3</v>
      </c>
      <c r="C54" t="s">
        <v>129</v>
      </c>
      <c r="D54" t="s">
        <v>129</v>
      </c>
      <c r="E54" t="s">
        <v>19</v>
      </c>
      <c r="F54">
        <v>10</v>
      </c>
      <c r="G54">
        <v>0</v>
      </c>
      <c r="H54" t="s">
        <v>57</v>
      </c>
      <c r="I54" t="s">
        <v>57</v>
      </c>
      <c r="J54" t="s">
        <v>57</v>
      </c>
      <c r="K54" s="2"/>
      <c r="L54" s="2"/>
      <c r="M54" s="2"/>
      <c r="O54" s="4" t="s">
        <v>223</v>
      </c>
      <c r="P54" s="2" t="str">
        <f t="shared" si="4"/>
        <v xml:space="preserve">      .AddAttribute(  3, "Abbreviation", "Abbreviation", "varchar", 10, 0, false, false, "", "", "non-representative abbreviation that can be used for a short advertisement for this banking type")</v>
      </c>
    </row>
    <row r="55" spans="1:16" x14ac:dyDescent="0.45">
      <c r="A55" t="s">
        <v>102</v>
      </c>
      <c r="B55">
        <v>4</v>
      </c>
      <c r="C55" t="s">
        <v>130</v>
      </c>
      <c r="D55" t="s">
        <v>130</v>
      </c>
      <c r="E55" t="s">
        <v>77</v>
      </c>
      <c r="F55">
        <v>0</v>
      </c>
      <c r="G55">
        <v>0</v>
      </c>
      <c r="H55" t="s">
        <v>57</v>
      </c>
      <c r="I55" t="s">
        <v>57</v>
      </c>
      <c r="J55" t="s">
        <v>57</v>
      </c>
      <c r="K55" s="2"/>
      <c r="L55" s="2"/>
      <c r="M55" s="2"/>
      <c r="O55" s="4" t="s">
        <v>222</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102</v>
      </c>
      <c r="B56">
        <v>5</v>
      </c>
      <c r="C56" t="s">
        <v>131</v>
      </c>
      <c r="D56" t="s">
        <v>131</v>
      </c>
      <c r="E56" t="s">
        <v>77</v>
      </c>
      <c r="F56">
        <v>0</v>
      </c>
      <c r="G56">
        <v>0</v>
      </c>
      <c r="H56" t="s">
        <v>57</v>
      </c>
      <c r="I56" t="s">
        <v>57</v>
      </c>
      <c r="J56" t="s">
        <v>57</v>
      </c>
      <c r="K56" s="2"/>
      <c r="L56" s="2"/>
      <c r="M56" s="2"/>
      <c r="O56" s="4" t="s">
        <v>221</v>
      </c>
      <c r="P56" s="2" t="str">
        <f t="shared" si="4"/>
        <v xml:space="preserve">      .AddAttribute(  5, "Notes", "Notes", "text", 0, 0, false, false, "", "", "notes, with additional / free information for this type of banking, not used in application")</v>
      </c>
    </row>
    <row r="57" spans="1:16" x14ac:dyDescent="0.45">
      <c r="A57" t="s">
        <v>102</v>
      </c>
      <c r="B57">
        <v>6</v>
      </c>
      <c r="C57" t="s">
        <v>132</v>
      </c>
      <c r="D57" t="s">
        <v>132</v>
      </c>
      <c r="E57" t="s">
        <v>27</v>
      </c>
      <c r="F57">
        <v>0</v>
      </c>
      <c r="G57">
        <v>0</v>
      </c>
      <c r="H57" t="s">
        <v>57</v>
      </c>
      <c r="I57" t="s">
        <v>57</v>
      </c>
      <c r="J57" t="s">
        <v>57</v>
      </c>
      <c r="K57" s="2"/>
      <c r="L57" s="2"/>
      <c r="M57" s="2"/>
      <c r="O57" s="4" t="s">
        <v>220</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103</v>
      </c>
      <c r="B59">
        <v>0</v>
      </c>
      <c r="C59" t="s">
        <v>117</v>
      </c>
      <c r="D59" t="s">
        <v>455</v>
      </c>
      <c r="E59" t="s">
        <v>166</v>
      </c>
      <c r="H59" t="s">
        <v>167</v>
      </c>
      <c r="I59" t="s">
        <v>168</v>
      </c>
      <c r="K59" s="2"/>
      <c r="L59" s="2"/>
      <c r="M59" s="2"/>
      <c r="O59" s="4" t="s">
        <v>400</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103</v>
      </c>
      <c r="B60">
        <v>1</v>
      </c>
      <c r="C60" t="s">
        <v>133</v>
      </c>
      <c r="D60" t="s">
        <v>133</v>
      </c>
      <c r="E60" t="s">
        <v>20</v>
      </c>
      <c r="F60">
        <v>0</v>
      </c>
      <c r="G60">
        <v>0</v>
      </c>
      <c r="H60" t="s">
        <v>58</v>
      </c>
      <c r="I60" t="s">
        <v>58</v>
      </c>
      <c r="J60" t="s">
        <v>57</v>
      </c>
      <c r="K60" s="2"/>
      <c r="L60" s="2"/>
      <c r="M60" s="2"/>
      <c r="O60" s="4" t="s">
        <v>401</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103</v>
      </c>
      <c r="B61">
        <v>2</v>
      </c>
      <c r="C61" t="s">
        <v>128</v>
      </c>
      <c r="D61" t="s">
        <v>128</v>
      </c>
      <c r="E61" t="s">
        <v>19</v>
      </c>
      <c r="F61">
        <v>50</v>
      </c>
      <c r="G61">
        <v>0</v>
      </c>
      <c r="H61" t="s">
        <v>58</v>
      </c>
      <c r="I61" t="s">
        <v>57</v>
      </c>
      <c r="J61" t="s">
        <v>58</v>
      </c>
      <c r="K61" s="2"/>
      <c r="L61" s="2"/>
      <c r="M61" s="2"/>
      <c r="O61" s="4" t="s">
        <v>402</v>
      </c>
      <c r="P61" s="2" t="str">
        <f t="shared" si="5"/>
        <v xml:space="preserve">      .AddAttribute(  2, "Denotation", "Denotation", "varchar", 50, 0, true, false, "", "", "unique, official designation of the country, key candidate")</v>
      </c>
    </row>
    <row r="62" spans="1:16" x14ac:dyDescent="0.45">
      <c r="A62" t="s">
        <v>103</v>
      </c>
      <c r="B62">
        <v>3</v>
      </c>
      <c r="C62" t="s">
        <v>129</v>
      </c>
      <c r="D62" t="s">
        <v>129</v>
      </c>
      <c r="E62" t="s">
        <v>19</v>
      </c>
      <c r="F62">
        <v>10</v>
      </c>
      <c r="G62">
        <v>0</v>
      </c>
      <c r="H62" t="s">
        <v>57</v>
      </c>
      <c r="I62" t="s">
        <v>57</v>
      </c>
      <c r="J62" t="s">
        <v>57</v>
      </c>
      <c r="K62" s="2"/>
      <c r="L62" s="2"/>
      <c r="M62" s="2"/>
      <c r="O62" s="4" t="s">
        <v>403</v>
      </c>
      <c r="P62" s="2" t="str">
        <f t="shared" si="5"/>
        <v xml:space="preserve">      .AddAttribute(  3, "Abbreviation", "Abbreviation", "varchar", 10, 0, false, false, "", "", "abbreviation of the country for the program")</v>
      </c>
    </row>
    <row r="63" spans="1:16" x14ac:dyDescent="0.45">
      <c r="A63" t="s">
        <v>103</v>
      </c>
      <c r="B63">
        <v>4</v>
      </c>
      <c r="C63" t="s">
        <v>130</v>
      </c>
      <c r="D63" t="s">
        <v>130</v>
      </c>
      <c r="E63" t="s">
        <v>77</v>
      </c>
      <c r="F63">
        <v>0</v>
      </c>
      <c r="G63">
        <v>0</v>
      </c>
      <c r="H63" t="s">
        <v>57</v>
      </c>
      <c r="I63" t="s">
        <v>57</v>
      </c>
      <c r="J63" t="s">
        <v>57</v>
      </c>
      <c r="K63" s="2"/>
      <c r="L63" s="2"/>
      <c r="M63" s="2"/>
      <c r="O63" s="4" t="s">
        <v>405</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103</v>
      </c>
      <c r="B64">
        <v>5</v>
      </c>
      <c r="C64" t="s">
        <v>148</v>
      </c>
      <c r="D64" t="s">
        <v>148</v>
      </c>
      <c r="E64" t="s">
        <v>19</v>
      </c>
      <c r="F64">
        <v>10</v>
      </c>
      <c r="G64">
        <v>0</v>
      </c>
      <c r="H64" t="s">
        <v>57</v>
      </c>
      <c r="I64" t="s">
        <v>57</v>
      </c>
      <c r="J64" t="s">
        <v>57</v>
      </c>
      <c r="K64" s="2"/>
      <c r="L64" s="2"/>
      <c r="M64" s="2"/>
      <c r="O64" s="4" t="s">
        <v>406</v>
      </c>
      <c r="P64" s="2" t="str">
        <f t="shared" si="5"/>
        <v xml:space="preserve">      .AddAttribute(  5, "CountryDialing", "CountryDialing", "varchar", 10, 0, false, false, "", "", "international country code for telephone for this country (not unique)")</v>
      </c>
    </row>
    <row r="65" spans="1:16" x14ac:dyDescent="0.45">
      <c r="A65" t="s">
        <v>103</v>
      </c>
      <c r="B65">
        <v>6</v>
      </c>
      <c r="C65" t="s">
        <v>149</v>
      </c>
      <c r="D65" t="s">
        <v>149</v>
      </c>
      <c r="E65" t="s">
        <v>19</v>
      </c>
      <c r="F65">
        <v>5</v>
      </c>
      <c r="G65">
        <v>0</v>
      </c>
      <c r="H65" t="s">
        <v>57</v>
      </c>
      <c r="I65" t="s">
        <v>57</v>
      </c>
      <c r="J65" t="s">
        <v>57</v>
      </c>
      <c r="K65" s="2"/>
      <c r="L65" s="2"/>
      <c r="M65" s="2"/>
      <c r="O65" s="4" t="s">
        <v>404</v>
      </c>
      <c r="P65" s="2" t="str">
        <f t="shared" si="5"/>
        <v xml:space="preserve">      .AddAttribute(  6, "ISO_Code", "ISO_Code", "varchar", 5, 0, false, false, "", "", "unique, official international code (ISO) for the country in the communication")</v>
      </c>
    </row>
    <row r="66" spans="1:16" x14ac:dyDescent="0.45">
      <c r="A66" t="s">
        <v>103</v>
      </c>
      <c r="B66">
        <v>7</v>
      </c>
      <c r="C66" t="s">
        <v>131</v>
      </c>
      <c r="D66" t="s">
        <v>131</v>
      </c>
      <c r="E66" t="s">
        <v>77</v>
      </c>
      <c r="F66">
        <v>0</v>
      </c>
      <c r="G66">
        <v>0</v>
      </c>
      <c r="H66" t="s">
        <v>57</v>
      </c>
      <c r="I66" t="s">
        <v>57</v>
      </c>
      <c r="J66" t="s">
        <v>57</v>
      </c>
      <c r="K66" s="2"/>
      <c r="L66" s="2"/>
      <c r="M66" s="2"/>
      <c r="O66" s="4" t="s">
        <v>407</v>
      </c>
      <c r="P66" s="2" t="str">
        <f t="shared" si="5"/>
        <v xml:space="preserve">      .AddAttribute(  7, "Notes", "Notes", "text", 0, 0, false, false, "", "", "notes, with additional / free information for this country, not used in application")</v>
      </c>
    </row>
    <row r="67" spans="1:16" x14ac:dyDescent="0.45">
      <c r="A67" t="s">
        <v>103</v>
      </c>
      <c r="B67">
        <v>8</v>
      </c>
      <c r="C67" t="s">
        <v>132</v>
      </c>
      <c r="D67" t="s">
        <v>132</v>
      </c>
      <c r="E67" t="s">
        <v>27</v>
      </c>
      <c r="F67">
        <v>0</v>
      </c>
      <c r="G67">
        <v>0</v>
      </c>
      <c r="H67" t="s">
        <v>57</v>
      </c>
      <c r="I67" t="s">
        <v>57</v>
      </c>
      <c r="J67" t="s">
        <v>57</v>
      </c>
      <c r="K67" s="2"/>
      <c r="L67" s="2"/>
      <c r="M67" s="2"/>
      <c r="O67" s="4" t="s">
        <v>255</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104</v>
      </c>
      <c r="B69">
        <v>0</v>
      </c>
      <c r="C69" t="s">
        <v>118</v>
      </c>
      <c r="D69" t="s">
        <v>454</v>
      </c>
      <c r="E69" t="s">
        <v>166</v>
      </c>
      <c r="H69" t="s">
        <v>167</v>
      </c>
      <c r="I69" t="s">
        <v>168</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104</v>
      </c>
      <c r="B70">
        <v>1</v>
      </c>
      <c r="C70" t="s">
        <v>133</v>
      </c>
      <c r="D70" t="s">
        <v>133</v>
      </c>
      <c r="E70" t="s">
        <v>20</v>
      </c>
      <c r="F70">
        <v>0</v>
      </c>
      <c r="G70">
        <v>0</v>
      </c>
      <c r="H70" t="s">
        <v>58</v>
      </c>
      <c r="I70" t="s">
        <v>58</v>
      </c>
      <c r="J70" t="s">
        <v>57</v>
      </c>
      <c r="K70" s="2"/>
      <c r="L70" s="2"/>
      <c r="M70" s="2"/>
      <c r="O70" s="4" t="s">
        <v>464</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104</v>
      </c>
      <c r="B71">
        <v>2</v>
      </c>
      <c r="C71" t="s">
        <v>128</v>
      </c>
      <c r="D71" t="s">
        <v>128</v>
      </c>
      <c r="E71" t="s">
        <v>19</v>
      </c>
      <c r="F71">
        <v>50</v>
      </c>
      <c r="G71">
        <v>0</v>
      </c>
      <c r="H71" t="s">
        <v>58</v>
      </c>
      <c r="I71" t="s">
        <v>57</v>
      </c>
      <c r="J71" t="s">
        <v>58</v>
      </c>
      <c r="K71" s="2"/>
      <c r="L71" s="2"/>
      <c r="M71" s="2"/>
      <c r="O71" s="4" t="s">
        <v>466</v>
      </c>
      <c r="P71" s="2" t="str">
        <f t="shared" si="6"/>
        <v xml:space="preserve">      .AddAttribute(  2, "Denotation", "Denotation", "varchar", 50, 0, true, false, "", "", "distinct name of the department in the company. used to identify this and use in application for select")</v>
      </c>
    </row>
    <row r="72" spans="1:16" x14ac:dyDescent="0.45">
      <c r="A72" t="s">
        <v>104</v>
      </c>
      <c r="B72">
        <v>3</v>
      </c>
      <c r="C72" t="s">
        <v>129</v>
      </c>
      <c r="D72" t="s">
        <v>129</v>
      </c>
      <c r="E72" t="s">
        <v>19</v>
      </c>
      <c r="F72">
        <v>10</v>
      </c>
      <c r="G72">
        <v>0</v>
      </c>
      <c r="H72" t="s">
        <v>57</v>
      </c>
      <c r="I72" t="s">
        <v>57</v>
      </c>
      <c r="J72" t="s">
        <v>57</v>
      </c>
      <c r="K72" s="2"/>
      <c r="L72" s="2"/>
      <c r="M72" s="2"/>
      <c r="O72" s="4" t="s">
        <v>465</v>
      </c>
      <c r="P72" s="2" t="str">
        <f t="shared" si="6"/>
        <v xml:space="preserve">      .AddAttribute(  3, "Abbreviation", "Abbreviation", "varchar", 10, 0, false, false, "", "", "used abbreviation of the department for list and such")</v>
      </c>
    </row>
    <row r="73" spans="1:16" x14ac:dyDescent="0.45">
      <c r="A73" t="s">
        <v>104</v>
      </c>
      <c r="B73">
        <v>4</v>
      </c>
      <c r="C73" t="s">
        <v>130</v>
      </c>
      <c r="D73" t="s">
        <v>130</v>
      </c>
      <c r="E73" t="s">
        <v>77</v>
      </c>
      <c r="F73">
        <v>0</v>
      </c>
      <c r="G73">
        <v>0</v>
      </c>
      <c r="H73" t="s">
        <v>57</v>
      </c>
      <c r="I73" t="s">
        <v>57</v>
      </c>
      <c r="J73" t="s">
        <v>57</v>
      </c>
      <c r="K73" s="2"/>
      <c r="L73" s="2"/>
      <c r="M73" s="2"/>
      <c r="O73" s="4"/>
      <c r="P73" s="2" t="str">
        <f t="shared" si="6"/>
        <v xml:space="preserve">      .AddAttribute(  4, "Description", "Description", "text", 0, 0, false, false, "", "", "")</v>
      </c>
    </row>
    <row r="74" spans="1:16" x14ac:dyDescent="0.45">
      <c r="A74" t="s">
        <v>104</v>
      </c>
      <c r="B74">
        <v>5</v>
      </c>
      <c r="C74" t="s">
        <v>460</v>
      </c>
      <c r="D74" t="s">
        <v>460</v>
      </c>
      <c r="E74" t="s">
        <v>20</v>
      </c>
      <c r="F74">
        <v>0</v>
      </c>
      <c r="G74">
        <v>0</v>
      </c>
      <c r="H74" t="s">
        <v>57</v>
      </c>
      <c r="I74" t="s">
        <v>57</v>
      </c>
      <c r="J74" t="s">
        <v>57</v>
      </c>
      <c r="K74" s="2"/>
      <c r="L74" s="2"/>
      <c r="M74" s="2"/>
      <c r="O74" s="4"/>
      <c r="P74" s="2" t="str">
        <f t="shared" si="6"/>
        <v xml:space="preserve">      .AddAttribute(  5, "Officer", "Officer", "integer", 0, 0, false, false, "", "", "")</v>
      </c>
    </row>
    <row r="75" spans="1:16" x14ac:dyDescent="0.45">
      <c r="A75" t="s">
        <v>104</v>
      </c>
      <c r="B75">
        <v>6</v>
      </c>
      <c r="C75" t="s">
        <v>131</v>
      </c>
      <c r="D75" t="s">
        <v>131</v>
      </c>
      <c r="E75" t="s">
        <v>77</v>
      </c>
      <c r="F75">
        <v>0</v>
      </c>
      <c r="G75">
        <v>0</v>
      </c>
      <c r="H75" t="s">
        <v>57</v>
      </c>
      <c r="I75" t="s">
        <v>57</v>
      </c>
      <c r="J75" t="s">
        <v>57</v>
      </c>
      <c r="K75" s="2"/>
      <c r="L75" s="2"/>
      <c r="M75" s="2"/>
      <c r="O75" s="4"/>
      <c r="P75" s="2" t="str">
        <f t="shared" si="6"/>
        <v xml:space="preserve">      .AddAttribute(  6, "Notes", "Notes", "text", 0, 0, false, false, "", "", "")</v>
      </c>
    </row>
    <row r="76" spans="1:16" x14ac:dyDescent="0.45">
      <c r="O76" s="4"/>
    </row>
    <row r="77" spans="1:16" x14ac:dyDescent="0.45">
      <c r="A77" t="s">
        <v>105</v>
      </c>
      <c r="B77">
        <v>0</v>
      </c>
      <c r="C77" t="s">
        <v>119</v>
      </c>
      <c r="D77" t="s">
        <v>386</v>
      </c>
      <c r="E77" t="s">
        <v>166</v>
      </c>
      <c r="H77" t="s">
        <v>167</v>
      </c>
      <c r="I77" t="s">
        <v>168</v>
      </c>
      <c r="K77" s="2"/>
      <c r="L77" s="2"/>
      <c r="M77" s="2"/>
      <c r="O77" s="4" t="s">
        <v>275</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105</v>
      </c>
      <c r="B78">
        <v>1</v>
      </c>
      <c r="C78" t="s">
        <v>133</v>
      </c>
      <c r="D78" t="s">
        <v>133</v>
      </c>
      <c r="E78" t="s">
        <v>20</v>
      </c>
      <c r="F78">
        <v>0</v>
      </c>
      <c r="G78">
        <v>0</v>
      </c>
      <c r="H78" t="s">
        <v>58</v>
      </c>
      <c r="I78" t="s">
        <v>58</v>
      </c>
      <c r="J78" t="s">
        <v>57</v>
      </c>
      <c r="K78" s="2"/>
      <c r="L78" s="2"/>
      <c r="M78" s="2"/>
      <c r="O78" s="4" t="s">
        <v>263</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105</v>
      </c>
      <c r="B79">
        <v>2</v>
      </c>
      <c r="C79" t="s">
        <v>150</v>
      </c>
      <c r="D79" t="s">
        <v>150</v>
      </c>
      <c r="E79" t="s">
        <v>19</v>
      </c>
      <c r="F79">
        <v>15</v>
      </c>
      <c r="G79">
        <v>0</v>
      </c>
      <c r="H79" t="s">
        <v>58</v>
      </c>
      <c r="I79" t="s">
        <v>57</v>
      </c>
      <c r="J79" t="s">
        <v>58</v>
      </c>
      <c r="K79" s="2"/>
      <c r="L79" s="2"/>
      <c r="M79" s="2"/>
      <c r="O79" s="4" t="s">
        <v>274</v>
      </c>
      <c r="P79" s="2" t="str">
        <f t="shared" si="7"/>
        <v xml:space="preserve">      .AddAttribute(  2, "PersonNumber", "PersonNumber", "varchar", 15, 0, true, false, "", "", "unique HR number of the employee in the company, assigned by the HR department")</v>
      </c>
    </row>
    <row r="80" spans="1:16" x14ac:dyDescent="0.45">
      <c r="A80" t="s">
        <v>105</v>
      </c>
      <c r="B80">
        <v>3</v>
      </c>
      <c r="C80" t="s">
        <v>151</v>
      </c>
      <c r="D80" t="s">
        <v>151</v>
      </c>
      <c r="E80" t="s">
        <v>25</v>
      </c>
      <c r="F80">
        <v>10</v>
      </c>
      <c r="G80">
        <v>2</v>
      </c>
      <c r="H80" t="s">
        <v>57</v>
      </c>
      <c r="I80" t="s">
        <v>57</v>
      </c>
      <c r="J80" t="s">
        <v>57</v>
      </c>
      <c r="K80" s="2" t="s">
        <v>286</v>
      </c>
      <c r="L80" s="2"/>
      <c r="M80" s="2"/>
      <c r="O80" s="4" t="s">
        <v>273</v>
      </c>
      <c r="P80" s="2" t="str">
        <f t="shared" si="7"/>
        <v xml:space="preserve">      .AddAttribute(  3, "Salery", "Salery", "decimal", 10, 2, false, false, "&gt;= 0.0", "", "salary / income that the employee currently receives")</v>
      </c>
    </row>
    <row r="81" spans="1:16" x14ac:dyDescent="0.45">
      <c r="A81" t="s">
        <v>105</v>
      </c>
      <c r="B81">
        <v>4</v>
      </c>
      <c r="C81" t="s">
        <v>335</v>
      </c>
      <c r="D81" t="s">
        <v>335</v>
      </c>
      <c r="E81" t="s">
        <v>20</v>
      </c>
      <c r="F81">
        <v>0</v>
      </c>
      <c r="G81">
        <v>0</v>
      </c>
      <c r="H81" t="s">
        <v>58</v>
      </c>
      <c r="I81" t="s">
        <v>57</v>
      </c>
      <c r="J81" t="s">
        <v>57</v>
      </c>
      <c r="K81" s="2"/>
      <c r="L81" s="2"/>
      <c r="M81" s="2"/>
      <c r="O81" s="4" t="s">
        <v>336</v>
      </c>
      <c r="P81" s="2" t="str">
        <f t="shared" si="7"/>
        <v xml:space="preserve">      .AddAttribute(  4, "TaxClass", "TaxClass", "integer", 0, 0, true, false, "", "", "Tax class currently held by the employee")</v>
      </c>
    </row>
    <row r="82" spans="1:16" x14ac:dyDescent="0.45">
      <c r="A82" t="s">
        <v>105</v>
      </c>
      <c r="B82">
        <v>5</v>
      </c>
      <c r="C82" t="s">
        <v>152</v>
      </c>
      <c r="D82" t="s">
        <v>152</v>
      </c>
      <c r="E82" t="s">
        <v>22</v>
      </c>
      <c r="F82">
        <v>0</v>
      </c>
      <c r="G82">
        <v>0</v>
      </c>
      <c r="H82" t="s">
        <v>58</v>
      </c>
      <c r="I82" t="s">
        <v>57</v>
      </c>
      <c r="J82" t="s">
        <v>57</v>
      </c>
      <c r="K82" s="2"/>
      <c r="L82" s="2"/>
      <c r="M82" s="2"/>
      <c r="O82" s="4" t="s">
        <v>272</v>
      </c>
      <c r="P82" s="2" t="str">
        <f t="shared" si="7"/>
        <v xml:space="preserve">      .AddAttribute(  5, "StartOfJob", "StartOfJob", "date", 0, 0, true, false, "", "", "starting date of the employee in the company (can be extended later for the start of the current position)")</v>
      </c>
    </row>
    <row r="83" spans="1:16" x14ac:dyDescent="0.45">
      <c r="A83" t="s">
        <v>105</v>
      </c>
      <c r="B83">
        <v>6</v>
      </c>
      <c r="C83" t="s">
        <v>153</v>
      </c>
      <c r="D83" t="s">
        <v>153</v>
      </c>
      <c r="E83" t="s">
        <v>20</v>
      </c>
      <c r="F83">
        <v>0</v>
      </c>
      <c r="G83">
        <v>0</v>
      </c>
      <c r="H83" t="s">
        <v>57</v>
      </c>
      <c r="I83" t="s">
        <v>57</v>
      </c>
      <c r="J83" t="s">
        <v>57</v>
      </c>
      <c r="K83" s="2"/>
      <c r="L83" s="2"/>
      <c r="M83" s="2"/>
      <c r="O83" s="4" t="s">
        <v>271</v>
      </c>
      <c r="P83" s="2" t="str">
        <f t="shared" si="7"/>
        <v xml:space="preserve">      .AddAttribute(  6, "JobPosition", "JobPosition", "integer", 0, 0, false, false, "", "", "current position / activity of the employee within the company")</v>
      </c>
    </row>
    <row r="84" spans="1:16" x14ac:dyDescent="0.45">
      <c r="A84" t="s">
        <v>105</v>
      </c>
      <c r="B84">
        <v>7</v>
      </c>
      <c r="C84" t="s">
        <v>154</v>
      </c>
      <c r="D84" t="s">
        <v>154</v>
      </c>
      <c r="E84" t="s">
        <v>19</v>
      </c>
      <c r="F84">
        <v>100</v>
      </c>
      <c r="G84">
        <v>0</v>
      </c>
      <c r="H84" t="s">
        <v>57</v>
      </c>
      <c r="I84" t="s">
        <v>57</v>
      </c>
      <c r="J84" t="s">
        <v>57</v>
      </c>
      <c r="K84" s="2"/>
      <c r="L84" s="2"/>
      <c r="M84" s="2"/>
      <c r="O84" s="4" t="s">
        <v>287</v>
      </c>
      <c r="P84" s="2" t="str">
        <f t="shared" si="7"/>
        <v xml:space="preserve">      .AddAttribute(  7, "JobSpec", "JobSpec", "varchar", 100, 0, false, false, "", "", "specification of the job as free text to concretize this")</v>
      </c>
    </row>
    <row r="85" spans="1:16" x14ac:dyDescent="0.45">
      <c r="A85" t="s">
        <v>105</v>
      </c>
      <c r="B85">
        <v>8</v>
      </c>
      <c r="C85" t="s">
        <v>155</v>
      </c>
      <c r="D85" t="s">
        <v>155</v>
      </c>
      <c r="E85" t="s">
        <v>20</v>
      </c>
      <c r="F85">
        <v>0</v>
      </c>
      <c r="G85">
        <v>0</v>
      </c>
      <c r="H85" t="s">
        <v>58</v>
      </c>
      <c r="I85" t="s">
        <v>57</v>
      </c>
      <c r="J85" t="s">
        <v>57</v>
      </c>
      <c r="K85" s="2"/>
      <c r="L85" s="2"/>
      <c r="M85" s="2"/>
      <c r="O85" s="4" t="s">
        <v>270</v>
      </c>
      <c r="P85" s="2" t="str">
        <f t="shared" si="7"/>
        <v xml:space="preserve">      .AddAttribute(  8, "Department", "Department", "integer", 0, 0, true, false, "", "", "id of the department where the employee currently work")</v>
      </c>
    </row>
    <row r="86" spans="1:16" x14ac:dyDescent="0.45">
      <c r="A86" t="s">
        <v>105</v>
      </c>
      <c r="B86">
        <v>9</v>
      </c>
      <c r="C86" t="s">
        <v>156</v>
      </c>
      <c r="D86" t="s">
        <v>156</v>
      </c>
      <c r="E86" t="s">
        <v>19</v>
      </c>
      <c r="F86">
        <v>20</v>
      </c>
      <c r="G86">
        <v>0</v>
      </c>
      <c r="H86" t="s">
        <v>58</v>
      </c>
      <c r="I86" t="s">
        <v>57</v>
      </c>
      <c r="J86" t="s">
        <v>58</v>
      </c>
      <c r="K86" s="2"/>
      <c r="L86" s="2"/>
      <c r="M86" s="2"/>
      <c r="O86" s="4" t="s">
        <v>276</v>
      </c>
      <c r="P86" s="2" t="str">
        <f t="shared" si="7"/>
        <v xml:space="preserve">      .AddAttribute(  9, "SocialNummer", "SocialNummer", "varchar", 20, 0, true, false, "", "", "social insurance number of the employee")</v>
      </c>
    </row>
    <row r="87" spans="1:16" x14ac:dyDescent="0.45">
      <c r="A87" t="s">
        <v>105</v>
      </c>
      <c r="B87">
        <v>10</v>
      </c>
      <c r="C87" t="s">
        <v>157</v>
      </c>
      <c r="D87" t="s">
        <v>157</v>
      </c>
      <c r="E87" t="s">
        <v>27</v>
      </c>
      <c r="F87">
        <v>0</v>
      </c>
      <c r="G87">
        <v>0</v>
      </c>
      <c r="H87" t="s">
        <v>57</v>
      </c>
      <c r="I87" t="s">
        <v>57</v>
      </c>
      <c r="J87" t="s">
        <v>57</v>
      </c>
      <c r="K87" s="2"/>
      <c r="L87" s="2"/>
      <c r="M87" s="2"/>
      <c r="O87" s="4" t="s">
        <v>277</v>
      </c>
      <c r="P87" s="2" t="str">
        <f t="shared" si="7"/>
        <v xml:space="preserve">      .AddAttribute( 10, "Active", "Active", "bool", 0, 0, false, false, "", "", "boolean value indicating whether the person is active in the company")</v>
      </c>
    </row>
    <row r="88" spans="1:16" x14ac:dyDescent="0.45">
      <c r="O88" s="4"/>
    </row>
    <row r="89" spans="1:16" x14ac:dyDescent="0.45">
      <c r="A89" t="s">
        <v>106</v>
      </c>
      <c r="B89">
        <v>0</v>
      </c>
      <c r="C89" t="s">
        <v>120</v>
      </c>
      <c r="D89" t="s">
        <v>453</v>
      </c>
      <c r="E89" t="s">
        <v>166</v>
      </c>
      <c r="H89" t="s">
        <v>167</v>
      </c>
      <c r="I89" t="s">
        <v>168</v>
      </c>
      <c r="K89" s="2"/>
      <c r="L89" s="2"/>
      <c r="M89" s="2"/>
      <c r="O89" s="4" t="s">
        <v>301</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106</v>
      </c>
      <c r="B90">
        <v>1</v>
      </c>
      <c r="C90" t="s">
        <v>133</v>
      </c>
      <c r="D90" t="s">
        <v>133</v>
      </c>
      <c r="E90" t="s">
        <v>20</v>
      </c>
      <c r="F90">
        <v>0</v>
      </c>
      <c r="G90">
        <v>0</v>
      </c>
      <c r="H90" t="s">
        <v>58</v>
      </c>
      <c r="I90" t="s">
        <v>58</v>
      </c>
      <c r="J90" t="s">
        <v>57</v>
      </c>
      <c r="K90" s="2"/>
      <c r="L90" s="2"/>
      <c r="M90" s="2"/>
      <c r="O90" s="4" t="s">
        <v>249</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106</v>
      </c>
      <c r="B91">
        <v>2</v>
      </c>
      <c r="C91" t="s">
        <v>128</v>
      </c>
      <c r="D91" t="s">
        <v>128</v>
      </c>
      <c r="E91" t="s">
        <v>19</v>
      </c>
      <c r="F91">
        <v>50</v>
      </c>
      <c r="G91">
        <v>0</v>
      </c>
      <c r="H91" t="s">
        <v>58</v>
      </c>
      <c r="I91" t="s">
        <v>57</v>
      </c>
      <c r="J91" t="s">
        <v>58</v>
      </c>
      <c r="K91" s="2"/>
      <c r="L91" s="2"/>
      <c r="M91" s="2"/>
      <c r="O91" s="4" t="s">
        <v>250</v>
      </c>
      <c r="P91" s="2" t="str">
        <f t="shared" si="8"/>
        <v xml:space="preserve">      .AddAttribute(  2, "Denotation", "Denotation", "varchar", 50, 0, true, false, "", "", "unique description of a family type entity in the domain, used in selections, comboboxes, … (key canditate)")</v>
      </c>
    </row>
    <row r="92" spans="1:16" x14ac:dyDescent="0.45">
      <c r="A92" t="s">
        <v>106</v>
      </c>
      <c r="B92">
        <v>3</v>
      </c>
      <c r="C92" t="s">
        <v>129</v>
      </c>
      <c r="D92" t="s">
        <v>129</v>
      </c>
      <c r="E92" t="s">
        <v>19</v>
      </c>
      <c r="F92">
        <v>10</v>
      </c>
      <c r="G92">
        <v>0</v>
      </c>
      <c r="H92" t="s">
        <v>57</v>
      </c>
      <c r="I92" t="s">
        <v>57</v>
      </c>
      <c r="J92" t="s">
        <v>57</v>
      </c>
      <c r="K92" s="2"/>
      <c r="L92" s="2"/>
      <c r="M92" s="2"/>
      <c r="O92" s="4" t="s">
        <v>223</v>
      </c>
      <c r="P92" s="2" t="str">
        <f t="shared" si="8"/>
        <v xml:space="preserve">      .AddAttribute(  3, "Abbreviation", "Abbreviation", "varchar", 10, 0, false, false, "", "", "non-representative abbreviation that can be used for a short advertisement for this banking type")</v>
      </c>
    </row>
    <row r="93" spans="1:16" x14ac:dyDescent="0.45">
      <c r="A93" t="s">
        <v>106</v>
      </c>
      <c r="B93">
        <v>4</v>
      </c>
      <c r="C93" t="s">
        <v>363</v>
      </c>
      <c r="D93" t="s">
        <v>363</v>
      </c>
      <c r="E93" t="s">
        <v>27</v>
      </c>
      <c r="F93">
        <v>0</v>
      </c>
      <c r="G93">
        <v>0</v>
      </c>
      <c r="H93" t="s">
        <v>57</v>
      </c>
      <c r="I93" t="s">
        <v>57</v>
      </c>
      <c r="J93" t="s">
        <v>57</v>
      </c>
      <c r="K93" s="2"/>
      <c r="L93" s="2"/>
      <c r="M93" s="2"/>
      <c r="O93" s="4" t="s">
        <v>364</v>
      </c>
      <c r="P93" s="2" t="str">
        <f t="shared" si="8"/>
        <v xml:space="preserve">      .AddAttribute(  4, "IsNaturalPerson", "IsNaturalPerson", "bool", 0, 0, false, false, "", "", "boolean indicator whether this entity is a natural person when true, otherwise ist a legal entity")</v>
      </c>
    </row>
    <row r="94" spans="1:16" x14ac:dyDescent="0.45">
      <c r="A94" t="s">
        <v>106</v>
      </c>
      <c r="B94">
        <v>5</v>
      </c>
      <c r="C94" t="s">
        <v>130</v>
      </c>
      <c r="D94" t="s">
        <v>130</v>
      </c>
      <c r="E94" t="s">
        <v>77</v>
      </c>
      <c r="F94">
        <v>0</v>
      </c>
      <c r="G94">
        <v>0</v>
      </c>
      <c r="H94" t="s">
        <v>57</v>
      </c>
      <c r="I94" t="s">
        <v>57</v>
      </c>
      <c r="J94" t="s">
        <v>57</v>
      </c>
      <c r="K94" s="2"/>
      <c r="L94" s="2"/>
      <c r="M94" s="2"/>
      <c r="O94" s="4" t="s">
        <v>251</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106</v>
      </c>
      <c r="B95">
        <v>6</v>
      </c>
      <c r="C95" t="s">
        <v>131</v>
      </c>
      <c r="D95" t="s">
        <v>131</v>
      </c>
      <c r="E95" t="s">
        <v>77</v>
      </c>
      <c r="F95">
        <v>0</v>
      </c>
      <c r="G95">
        <v>0</v>
      </c>
      <c r="H95" t="s">
        <v>57</v>
      </c>
      <c r="I95" t="s">
        <v>57</v>
      </c>
      <c r="J95" t="s">
        <v>57</v>
      </c>
      <c r="K95" s="2"/>
      <c r="L95" s="2"/>
      <c r="M95" s="2"/>
      <c r="O95" s="4" t="s">
        <v>252</v>
      </c>
      <c r="P95" s="2" t="str">
        <f t="shared" si="8"/>
        <v xml:space="preserve">      .AddAttribute(  6, "Notes", "Notes", "text", 0, 0, false, false, "", "", "notes, with additional / free information for this type of family status, not used in application")</v>
      </c>
    </row>
    <row r="96" spans="1:16" x14ac:dyDescent="0.45">
      <c r="A96" t="s">
        <v>106</v>
      </c>
      <c r="B96">
        <v>7</v>
      </c>
      <c r="C96" t="s">
        <v>132</v>
      </c>
      <c r="D96" t="s">
        <v>132</v>
      </c>
      <c r="E96" t="s">
        <v>27</v>
      </c>
      <c r="F96">
        <v>0</v>
      </c>
      <c r="G96">
        <v>0</v>
      </c>
      <c r="H96" t="s">
        <v>57</v>
      </c>
      <c r="I96" t="s">
        <v>57</v>
      </c>
      <c r="J96" t="s">
        <v>57</v>
      </c>
      <c r="K96" s="2"/>
      <c r="L96" s="2"/>
      <c r="M96" s="2"/>
      <c r="O96" s="4" t="s">
        <v>253</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107</v>
      </c>
      <c r="B98">
        <v>0</v>
      </c>
      <c r="C98" t="s">
        <v>121</v>
      </c>
      <c r="D98" t="s">
        <v>452</v>
      </c>
      <c r="E98" t="s">
        <v>166</v>
      </c>
      <c r="H98" t="s">
        <v>167</v>
      </c>
      <c r="I98" t="s">
        <v>168</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107</v>
      </c>
      <c r="B99">
        <v>1</v>
      </c>
      <c r="C99" t="s">
        <v>133</v>
      </c>
      <c r="D99" t="s">
        <v>133</v>
      </c>
      <c r="E99" t="s">
        <v>20</v>
      </c>
      <c r="F99">
        <v>0</v>
      </c>
      <c r="G99">
        <v>0</v>
      </c>
      <c r="H99" t="s">
        <v>58</v>
      </c>
      <c r="I99" t="s">
        <v>58</v>
      </c>
      <c r="J99" t="s">
        <v>57</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107</v>
      </c>
      <c r="B100">
        <v>2</v>
      </c>
      <c r="C100" t="s">
        <v>128</v>
      </c>
      <c r="D100" t="s">
        <v>128</v>
      </c>
      <c r="E100" t="s">
        <v>19</v>
      </c>
      <c r="F100">
        <v>50</v>
      </c>
      <c r="G100">
        <v>0</v>
      </c>
      <c r="H100" t="s">
        <v>58</v>
      </c>
      <c r="I100" t="s">
        <v>57</v>
      </c>
      <c r="J100" t="s">
        <v>58</v>
      </c>
      <c r="K100" s="2"/>
      <c r="L100" s="2"/>
      <c r="M100" s="2"/>
      <c r="O100" s="4"/>
      <c r="P100" s="2" t="str">
        <f t="shared" si="9"/>
        <v xml:space="preserve">      .AddAttribute(  2, "Denotation", "Denotation", "varchar", 50, 0, true, false, "", "", "")</v>
      </c>
    </row>
    <row r="101" spans="1:16" x14ac:dyDescent="0.45">
      <c r="A101" t="s">
        <v>107</v>
      </c>
      <c r="B101">
        <v>3</v>
      </c>
      <c r="C101" t="s">
        <v>129</v>
      </c>
      <c r="D101" t="s">
        <v>129</v>
      </c>
      <c r="E101" t="s">
        <v>19</v>
      </c>
      <c r="F101">
        <v>10</v>
      </c>
      <c r="G101">
        <v>0</v>
      </c>
      <c r="H101" t="s">
        <v>57</v>
      </c>
      <c r="I101" t="s">
        <v>57</v>
      </c>
      <c r="J101" t="s">
        <v>57</v>
      </c>
      <c r="K101" s="2"/>
      <c r="L101" s="2"/>
      <c r="M101" s="2"/>
      <c r="O101" s="4"/>
      <c r="P101" s="2" t="str">
        <f t="shared" si="9"/>
        <v xml:space="preserve">      .AddAttribute(  3, "Abbreviation", "Abbreviation", "varchar", 10, 0, false, false, "", "", "")</v>
      </c>
    </row>
    <row r="102" spans="1:16" x14ac:dyDescent="0.45">
      <c r="A102" t="s">
        <v>107</v>
      </c>
      <c r="B102">
        <v>4</v>
      </c>
      <c r="C102" t="s">
        <v>130</v>
      </c>
      <c r="D102" t="s">
        <v>130</v>
      </c>
      <c r="E102" t="s">
        <v>77</v>
      </c>
      <c r="F102">
        <v>0</v>
      </c>
      <c r="G102">
        <v>0</v>
      </c>
      <c r="H102" t="s">
        <v>57</v>
      </c>
      <c r="I102" t="s">
        <v>57</v>
      </c>
      <c r="J102" t="s">
        <v>57</v>
      </c>
      <c r="K102" s="2"/>
      <c r="L102" s="2"/>
      <c r="M102" s="2"/>
      <c r="O102" s="4"/>
      <c r="P102" s="2" t="str">
        <f t="shared" si="9"/>
        <v xml:space="preserve">      .AddAttribute(  4, "Description", "Description", "text", 0, 0, false, false, "", "", "")</v>
      </c>
    </row>
    <row r="103" spans="1:16" x14ac:dyDescent="0.45">
      <c r="A103" t="s">
        <v>107</v>
      </c>
      <c r="B103">
        <v>5</v>
      </c>
      <c r="C103" t="s">
        <v>158</v>
      </c>
      <c r="D103" t="s">
        <v>158</v>
      </c>
      <c r="E103" t="s">
        <v>20</v>
      </c>
      <c r="F103">
        <v>0</v>
      </c>
      <c r="G103">
        <v>0</v>
      </c>
      <c r="H103" t="s">
        <v>57</v>
      </c>
      <c r="I103" t="s">
        <v>57</v>
      </c>
      <c r="J103" t="s">
        <v>57</v>
      </c>
      <c r="K103" s="2"/>
      <c r="L103" s="2"/>
      <c r="M103" s="2"/>
      <c r="O103" s="4"/>
      <c r="P103" s="2" t="str">
        <f t="shared" si="9"/>
        <v xml:space="preserve">      .AddAttribute(  5, "TypeSpec", "TypeSpec", "integer", 0, 0, false, false, "", "", "")</v>
      </c>
    </row>
    <row r="104" spans="1:16" x14ac:dyDescent="0.45">
      <c r="A104" t="s">
        <v>107</v>
      </c>
      <c r="B104">
        <v>6</v>
      </c>
      <c r="C104" t="s">
        <v>159</v>
      </c>
      <c r="D104" t="s">
        <v>159</v>
      </c>
      <c r="E104" t="s">
        <v>19</v>
      </c>
      <c r="F104">
        <v>50</v>
      </c>
      <c r="G104">
        <v>0</v>
      </c>
      <c r="H104" t="s">
        <v>57</v>
      </c>
      <c r="I104" t="s">
        <v>57</v>
      </c>
      <c r="J104" t="s">
        <v>57</v>
      </c>
      <c r="K104" s="2"/>
      <c r="L104" s="2"/>
      <c r="M104" s="2"/>
      <c r="O104" s="4"/>
      <c r="P104" s="2" t="str">
        <f t="shared" si="9"/>
        <v xml:space="preserve">      .AddAttribute(  6, "Salutation", "Salutation", "varchar", 50, 0, false, false, "", "", "")</v>
      </c>
    </row>
    <row r="105" spans="1:16" x14ac:dyDescent="0.45">
      <c r="A105" t="s">
        <v>107</v>
      </c>
      <c r="B105">
        <v>7</v>
      </c>
      <c r="C105" t="s">
        <v>160</v>
      </c>
      <c r="D105" t="s">
        <v>160</v>
      </c>
      <c r="E105" t="s">
        <v>19</v>
      </c>
      <c r="F105">
        <v>50</v>
      </c>
      <c r="G105">
        <v>0</v>
      </c>
      <c r="H105" t="s">
        <v>57</v>
      </c>
      <c r="I105" t="s">
        <v>57</v>
      </c>
      <c r="J105" t="s">
        <v>57</v>
      </c>
      <c r="K105" s="2"/>
      <c r="L105" s="2"/>
      <c r="M105" s="2"/>
      <c r="O105" s="4"/>
      <c r="P105" s="2" t="str">
        <f t="shared" si="9"/>
        <v xml:space="preserve">      .AddAttribute(  7, "Valediction", "Valediction", "varchar", 50, 0, false, false, "", "", "")</v>
      </c>
    </row>
    <row r="106" spans="1:16" x14ac:dyDescent="0.45">
      <c r="A106" t="s">
        <v>107</v>
      </c>
      <c r="B106">
        <v>8</v>
      </c>
      <c r="C106" t="s">
        <v>131</v>
      </c>
      <c r="D106" t="s">
        <v>131</v>
      </c>
      <c r="E106" t="s">
        <v>77</v>
      </c>
      <c r="F106">
        <v>0</v>
      </c>
      <c r="G106">
        <v>0</v>
      </c>
      <c r="H106" t="s">
        <v>57</v>
      </c>
      <c r="I106" t="s">
        <v>57</v>
      </c>
      <c r="J106" t="s">
        <v>57</v>
      </c>
      <c r="K106" s="2"/>
      <c r="L106" s="2"/>
      <c r="M106" s="2"/>
      <c r="O106" s="4"/>
      <c r="P106" s="2" t="str">
        <f t="shared" si="9"/>
        <v xml:space="preserve">      .AddAttribute(  8, "Notes", "Notes", "text", 0, 0, false, false, "", "", "")</v>
      </c>
    </row>
    <row r="107" spans="1:16" x14ac:dyDescent="0.45">
      <c r="A107" t="s">
        <v>107</v>
      </c>
      <c r="B107">
        <v>9</v>
      </c>
      <c r="C107" t="s">
        <v>132</v>
      </c>
      <c r="D107" t="s">
        <v>132</v>
      </c>
      <c r="E107" t="s">
        <v>27</v>
      </c>
      <c r="F107">
        <v>0</v>
      </c>
      <c r="G107">
        <v>0</v>
      </c>
      <c r="H107" t="s">
        <v>57</v>
      </c>
      <c r="I107" t="s">
        <v>57</v>
      </c>
      <c r="J107" t="s">
        <v>57</v>
      </c>
      <c r="K107" s="2"/>
      <c r="L107" s="2"/>
      <c r="M107" s="2"/>
      <c r="O107" s="4" t="s">
        <v>254</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108</v>
      </c>
      <c r="B109">
        <v>0</v>
      </c>
      <c r="C109" t="s">
        <v>122</v>
      </c>
      <c r="D109" t="s">
        <v>451</v>
      </c>
      <c r="E109" t="s">
        <v>166</v>
      </c>
      <c r="H109" t="s">
        <v>167</v>
      </c>
      <c r="I109" t="s">
        <v>168</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108</v>
      </c>
      <c r="B110">
        <v>1</v>
      </c>
      <c r="C110" t="s">
        <v>133</v>
      </c>
      <c r="D110" t="s">
        <v>133</v>
      </c>
      <c r="E110" t="s">
        <v>20</v>
      </c>
      <c r="F110">
        <v>0</v>
      </c>
      <c r="G110">
        <v>0</v>
      </c>
      <c r="H110" t="s">
        <v>58</v>
      </c>
      <c r="I110" t="s">
        <v>58</v>
      </c>
      <c r="J110" t="s">
        <v>57</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108</v>
      </c>
      <c r="B111">
        <v>2</v>
      </c>
      <c r="C111" t="s">
        <v>162</v>
      </c>
      <c r="D111" t="s">
        <v>162</v>
      </c>
      <c r="E111" t="s">
        <v>20</v>
      </c>
      <c r="F111">
        <v>0</v>
      </c>
      <c r="G111">
        <v>0</v>
      </c>
      <c r="H111" t="s">
        <v>58</v>
      </c>
      <c r="I111" t="s">
        <v>58</v>
      </c>
      <c r="J111" t="s">
        <v>58</v>
      </c>
      <c r="K111" s="2"/>
      <c r="L111" s="2"/>
      <c r="M111" s="2"/>
      <c r="O111" s="4"/>
      <c r="P111" s="2" t="str">
        <f t="shared" si="10"/>
        <v xml:space="preserve">      .AddAttribute(  2, "InternetType", "InternetType", "integer", 0, 0, true, true, "", "", "")</v>
      </c>
    </row>
    <row r="112" spans="1:16" x14ac:dyDescent="0.45">
      <c r="A112" t="s">
        <v>108</v>
      </c>
      <c r="B112">
        <v>3</v>
      </c>
      <c r="C112" t="s">
        <v>163</v>
      </c>
      <c r="D112" t="s">
        <v>163</v>
      </c>
      <c r="E112" t="s">
        <v>19</v>
      </c>
      <c r="F112">
        <v>100</v>
      </c>
      <c r="G112">
        <v>0</v>
      </c>
      <c r="H112" t="s">
        <v>58</v>
      </c>
      <c r="I112" t="s">
        <v>57</v>
      </c>
      <c r="J112" t="s">
        <v>57</v>
      </c>
      <c r="K112" s="2"/>
      <c r="L112" s="2"/>
      <c r="M112" s="2"/>
      <c r="O112" s="4"/>
      <c r="P112" s="2" t="str">
        <f t="shared" si="10"/>
        <v xml:space="preserve">      .AddAttribute(  3, "Adresse", "Adresse", "varchar", 100, 0, true, false, "", "", "")</v>
      </c>
    </row>
    <row r="113" spans="1:16" x14ac:dyDescent="0.45">
      <c r="O113" s="4"/>
    </row>
    <row r="114" spans="1:16" x14ac:dyDescent="0.45">
      <c r="A114" t="s">
        <v>109</v>
      </c>
      <c r="B114">
        <v>0</v>
      </c>
      <c r="C114" t="s">
        <v>123</v>
      </c>
      <c r="D114" t="s">
        <v>450</v>
      </c>
      <c r="E114" t="s">
        <v>166</v>
      </c>
      <c r="H114" t="s">
        <v>167</v>
      </c>
      <c r="I114" t="s">
        <v>168</v>
      </c>
      <c r="K114" s="2"/>
      <c r="L114" s="2"/>
      <c r="M114" s="2"/>
      <c r="O114" s="4" t="s">
        <v>248</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109</v>
      </c>
      <c r="B115">
        <v>1</v>
      </c>
      <c r="C115" t="s">
        <v>133</v>
      </c>
      <c r="D115" t="s">
        <v>133</v>
      </c>
      <c r="E115" t="s">
        <v>20</v>
      </c>
      <c r="F115">
        <v>0</v>
      </c>
      <c r="G115">
        <v>0</v>
      </c>
      <c r="H115" t="s">
        <v>58</v>
      </c>
      <c r="I115" t="s">
        <v>58</v>
      </c>
      <c r="J115" t="s">
        <v>57</v>
      </c>
      <c r="K115" s="2"/>
      <c r="L115" s="2"/>
      <c r="M115" s="2"/>
      <c r="O115" s="4" t="s">
        <v>247</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109</v>
      </c>
      <c r="B116">
        <v>2</v>
      </c>
      <c r="C116" t="s">
        <v>128</v>
      </c>
      <c r="D116" t="s">
        <v>128</v>
      </c>
      <c r="E116" t="s">
        <v>19</v>
      </c>
      <c r="F116">
        <v>50</v>
      </c>
      <c r="G116">
        <v>0</v>
      </c>
      <c r="H116" t="s">
        <v>58</v>
      </c>
      <c r="I116" t="s">
        <v>57</v>
      </c>
      <c r="J116" t="s">
        <v>58</v>
      </c>
      <c r="K116" s="2"/>
      <c r="L116" s="2"/>
      <c r="M116" s="2"/>
      <c r="O116" s="4" t="s">
        <v>246</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109</v>
      </c>
      <c r="B117">
        <v>3</v>
      </c>
      <c r="C117" t="s">
        <v>129</v>
      </c>
      <c r="D117" t="s">
        <v>129</v>
      </c>
      <c r="E117" t="s">
        <v>19</v>
      </c>
      <c r="F117">
        <v>10</v>
      </c>
      <c r="G117">
        <v>0</v>
      </c>
      <c r="H117" t="s">
        <v>57</v>
      </c>
      <c r="I117" t="s">
        <v>57</v>
      </c>
      <c r="J117" t="s">
        <v>57</v>
      </c>
      <c r="K117" s="2"/>
      <c r="L117" s="2"/>
      <c r="M117" s="2"/>
      <c r="O117" s="4" t="s">
        <v>245</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109</v>
      </c>
      <c r="B118">
        <v>4</v>
      </c>
      <c r="C118" t="s">
        <v>130</v>
      </c>
      <c r="D118" t="s">
        <v>130</v>
      </c>
      <c r="E118" t="s">
        <v>77</v>
      </c>
      <c r="F118">
        <v>0</v>
      </c>
      <c r="G118">
        <v>0</v>
      </c>
      <c r="H118" t="s">
        <v>57</v>
      </c>
      <c r="I118" t="s">
        <v>57</v>
      </c>
      <c r="J118" t="s">
        <v>57</v>
      </c>
      <c r="K118" s="2"/>
      <c r="L118" s="2"/>
      <c r="M118" s="2"/>
      <c r="O118" s="4" t="s">
        <v>244</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109</v>
      </c>
      <c r="B119">
        <v>5</v>
      </c>
      <c r="C119" t="s">
        <v>161</v>
      </c>
      <c r="D119" t="s">
        <v>161</v>
      </c>
      <c r="E119" t="s">
        <v>19</v>
      </c>
      <c r="F119">
        <v>10</v>
      </c>
      <c r="G119">
        <v>0</v>
      </c>
      <c r="H119" t="s">
        <v>57</v>
      </c>
      <c r="I119" t="s">
        <v>57</v>
      </c>
      <c r="J119" t="s">
        <v>57</v>
      </c>
      <c r="K119" s="2"/>
      <c r="L119" s="2"/>
      <c r="M119" s="2"/>
      <c r="O119" s="4"/>
      <c r="P119" s="2" t="str">
        <f t="shared" si="11"/>
        <v xml:space="preserve">      .AddAttribute(  5, "Prefix", "Prefix", "varchar", 10, 0, false, false, "", "", "")</v>
      </c>
    </row>
    <row r="120" spans="1:16" x14ac:dyDescent="0.45">
      <c r="A120" t="s">
        <v>109</v>
      </c>
      <c r="B120">
        <v>6</v>
      </c>
      <c r="C120" t="s">
        <v>131</v>
      </c>
      <c r="D120" t="s">
        <v>131</v>
      </c>
      <c r="E120" t="s">
        <v>77</v>
      </c>
      <c r="F120">
        <v>0</v>
      </c>
      <c r="G120">
        <v>0</v>
      </c>
      <c r="H120" t="s">
        <v>57</v>
      </c>
      <c r="I120" t="s">
        <v>57</v>
      </c>
      <c r="J120" t="s">
        <v>57</v>
      </c>
      <c r="K120" s="2"/>
      <c r="L120" s="2"/>
      <c r="M120" s="2"/>
      <c r="O120" s="4" t="s">
        <v>243</v>
      </c>
      <c r="P120" s="2" t="str">
        <f t="shared" si="11"/>
        <v xml:space="preserve">      .AddAttribute(  6, "Notes", "Notes", "text", 0, 0, false, false, "", "", "notes, with additional / free information for this type of internet connection, not used in application")</v>
      </c>
    </row>
    <row r="121" spans="1:16" x14ac:dyDescent="0.45">
      <c r="A121" t="s">
        <v>109</v>
      </c>
      <c r="B121">
        <v>7</v>
      </c>
      <c r="C121" t="s">
        <v>132</v>
      </c>
      <c r="D121" t="s">
        <v>132</v>
      </c>
      <c r="E121" t="s">
        <v>27</v>
      </c>
      <c r="F121">
        <v>0</v>
      </c>
      <c r="G121">
        <v>0</v>
      </c>
      <c r="H121" t="s">
        <v>57</v>
      </c>
      <c r="I121" t="s">
        <v>57</v>
      </c>
      <c r="J121" t="s">
        <v>57</v>
      </c>
      <c r="K121" s="2"/>
      <c r="L121" s="2"/>
      <c r="M121" s="2"/>
      <c r="O121" s="4" t="s">
        <v>242</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110</v>
      </c>
      <c r="B123">
        <v>0</v>
      </c>
      <c r="C123" t="s">
        <v>124</v>
      </c>
      <c r="D123" t="s">
        <v>385</v>
      </c>
      <c r="E123" t="s">
        <v>166</v>
      </c>
      <c r="H123" t="s">
        <v>167</v>
      </c>
      <c r="I123" t="s">
        <v>168</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110</v>
      </c>
      <c r="B124">
        <v>1</v>
      </c>
      <c r="C124" t="s">
        <v>133</v>
      </c>
      <c r="D124" t="s">
        <v>133</v>
      </c>
      <c r="E124" t="s">
        <v>20</v>
      </c>
      <c r="F124">
        <v>0</v>
      </c>
      <c r="G124">
        <v>0</v>
      </c>
      <c r="H124" t="s">
        <v>58</v>
      </c>
      <c r="I124" t="s">
        <v>58</v>
      </c>
      <c r="J124" t="s">
        <v>57</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110</v>
      </c>
      <c r="B125">
        <v>2</v>
      </c>
      <c r="C125" t="s">
        <v>128</v>
      </c>
      <c r="D125" t="s">
        <v>128</v>
      </c>
      <c r="E125" t="s">
        <v>19</v>
      </c>
      <c r="F125">
        <v>50</v>
      </c>
      <c r="G125">
        <v>0</v>
      </c>
      <c r="H125" t="s">
        <v>58</v>
      </c>
      <c r="I125" t="s">
        <v>57</v>
      </c>
      <c r="J125" t="s">
        <v>58</v>
      </c>
      <c r="K125" s="2"/>
      <c r="L125" s="2"/>
      <c r="M125" s="2"/>
      <c r="O125" s="4"/>
      <c r="P125" s="2" t="str">
        <f t="shared" si="12"/>
        <v xml:space="preserve">      .AddAttribute(  2, "Denotation", "Denotation", "varchar", 50, 0, true, false, "", "", "")</v>
      </c>
    </row>
    <row r="126" spans="1:16" x14ac:dyDescent="0.45">
      <c r="A126" t="s">
        <v>110</v>
      </c>
      <c r="B126">
        <v>3</v>
      </c>
      <c r="C126" t="s">
        <v>129</v>
      </c>
      <c r="D126" t="s">
        <v>129</v>
      </c>
      <c r="E126" t="s">
        <v>19</v>
      </c>
      <c r="F126">
        <v>10</v>
      </c>
      <c r="G126">
        <v>0</v>
      </c>
      <c r="H126" t="s">
        <v>57</v>
      </c>
      <c r="I126" t="s">
        <v>57</v>
      </c>
      <c r="J126" t="s">
        <v>57</v>
      </c>
      <c r="K126" s="2"/>
      <c r="L126" s="2"/>
      <c r="M126" s="2"/>
      <c r="O126" s="4"/>
      <c r="P126" s="2" t="str">
        <f t="shared" si="12"/>
        <v xml:space="preserve">      .AddAttribute(  3, "Abbreviation", "Abbreviation", "varchar", 10, 0, false, false, "", "", "")</v>
      </c>
    </row>
    <row r="127" spans="1:16" x14ac:dyDescent="0.45">
      <c r="A127" t="s">
        <v>110</v>
      </c>
      <c r="B127">
        <v>4</v>
      </c>
      <c r="C127" t="s">
        <v>130</v>
      </c>
      <c r="D127" t="s">
        <v>130</v>
      </c>
      <c r="E127" t="s">
        <v>77</v>
      </c>
      <c r="F127">
        <v>0</v>
      </c>
      <c r="G127">
        <v>0</v>
      </c>
      <c r="H127" t="s">
        <v>57</v>
      </c>
      <c r="I127" t="s">
        <v>57</v>
      </c>
      <c r="J127" t="s">
        <v>57</v>
      </c>
      <c r="K127" s="2"/>
      <c r="L127" s="2"/>
      <c r="M127" s="2"/>
      <c r="O127" s="4"/>
      <c r="P127" s="2" t="str">
        <f t="shared" si="12"/>
        <v xml:space="preserve">      .AddAttribute(  4, "Description", "Description", "text", 0, 0, false, false, "", "", "")</v>
      </c>
    </row>
    <row r="128" spans="1:16" x14ac:dyDescent="0.45">
      <c r="A128" t="s">
        <v>110</v>
      </c>
      <c r="B128">
        <v>5</v>
      </c>
      <c r="C128" t="s">
        <v>131</v>
      </c>
      <c r="D128" t="s">
        <v>131</v>
      </c>
      <c r="E128" t="s">
        <v>77</v>
      </c>
      <c r="F128">
        <v>0</v>
      </c>
      <c r="G128">
        <v>0</v>
      </c>
      <c r="H128" t="s">
        <v>57</v>
      </c>
      <c r="I128" t="s">
        <v>57</v>
      </c>
      <c r="J128" t="s">
        <v>57</v>
      </c>
      <c r="K128" s="2"/>
      <c r="L128" s="2"/>
      <c r="M128" s="2"/>
      <c r="O128" s="4"/>
      <c r="P128" s="2" t="str">
        <f t="shared" si="12"/>
        <v xml:space="preserve">      .AddAttribute(  5, "Notes", "Notes", "text", 0, 0, false, false, "", "", "")</v>
      </c>
    </row>
    <row r="129" spans="1:16" x14ac:dyDescent="0.45">
      <c r="A129" t="s">
        <v>110</v>
      </c>
      <c r="B129">
        <v>6</v>
      </c>
      <c r="C129" t="s">
        <v>132</v>
      </c>
      <c r="D129" t="s">
        <v>132</v>
      </c>
      <c r="E129" t="s">
        <v>27</v>
      </c>
      <c r="F129">
        <v>0</v>
      </c>
      <c r="G129">
        <v>0</v>
      </c>
      <c r="H129" t="s">
        <v>57</v>
      </c>
      <c r="I129" t="s">
        <v>57</v>
      </c>
      <c r="J129" t="s">
        <v>57</v>
      </c>
      <c r="K129" s="2"/>
      <c r="L129" s="2"/>
      <c r="M129" s="2"/>
      <c r="O129" s="4"/>
      <c r="P129" s="2" t="str">
        <f t="shared" si="12"/>
        <v xml:space="preserve">      .AddAttribute(  6, "UrgentValue", "UrgentValue", "bool", 0, 0, false, false, "", "", "")</v>
      </c>
    </row>
    <row r="130" spans="1:16" x14ac:dyDescent="0.45">
      <c r="O130" s="4"/>
    </row>
    <row r="131" spans="1:16" x14ac:dyDescent="0.45">
      <c r="A131" t="s">
        <v>111</v>
      </c>
      <c r="B131">
        <v>0</v>
      </c>
      <c r="C131" t="s">
        <v>125</v>
      </c>
      <c r="D131" t="s">
        <v>449</v>
      </c>
      <c r="E131" t="s">
        <v>166</v>
      </c>
      <c r="H131" t="s">
        <v>167</v>
      </c>
      <c r="I131" t="s">
        <v>168</v>
      </c>
      <c r="K131" s="2"/>
      <c r="L131" s="2"/>
      <c r="M131" s="2"/>
      <c r="O131" s="4" t="s">
        <v>410</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111</v>
      </c>
      <c r="B132">
        <v>1</v>
      </c>
      <c r="C132" t="s">
        <v>133</v>
      </c>
      <c r="D132" t="s">
        <v>133</v>
      </c>
      <c r="E132" t="s">
        <v>20</v>
      </c>
      <c r="F132">
        <v>0</v>
      </c>
      <c r="G132">
        <v>0</v>
      </c>
      <c r="H132" t="s">
        <v>58</v>
      </c>
      <c r="I132" t="s">
        <v>58</v>
      </c>
      <c r="J132" t="s">
        <v>57</v>
      </c>
      <c r="K132" s="2"/>
      <c r="L132" s="2"/>
      <c r="M132" s="2"/>
      <c r="O132" s="4" t="s">
        <v>411</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111</v>
      </c>
      <c r="B133">
        <v>2</v>
      </c>
      <c r="C133" t="s">
        <v>82</v>
      </c>
      <c r="D133" t="s">
        <v>82</v>
      </c>
      <c r="E133" t="s">
        <v>19</v>
      </c>
      <c r="F133">
        <v>30</v>
      </c>
      <c r="G133">
        <v>0</v>
      </c>
      <c r="H133" t="s">
        <v>58</v>
      </c>
      <c r="I133" t="s">
        <v>57</v>
      </c>
      <c r="J133" t="s">
        <v>57</v>
      </c>
      <c r="K133" s="2"/>
      <c r="L133" s="2"/>
      <c r="M133" s="2"/>
      <c r="O133" s="4" t="s">
        <v>412</v>
      </c>
      <c r="P133" s="2" t="str">
        <f t="shared" si="13"/>
        <v xml:space="preserve">      .AddAttribute(  2, "Name", "Name", "varchar", 30, 0, true, false, "", "", "family name of the natural person respectively the name for a legal entity")</v>
      </c>
    </row>
    <row r="134" spans="1:16" x14ac:dyDescent="0.45">
      <c r="A134" t="s">
        <v>111</v>
      </c>
      <c r="B134">
        <v>3</v>
      </c>
      <c r="C134" t="s">
        <v>164</v>
      </c>
      <c r="D134" t="s">
        <v>164</v>
      </c>
      <c r="E134" t="s">
        <v>19</v>
      </c>
      <c r="F134">
        <v>30</v>
      </c>
      <c r="G134">
        <v>0</v>
      </c>
      <c r="H134" t="s">
        <v>57</v>
      </c>
      <c r="I134" t="s">
        <v>57</v>
      </c>
      <c r="J134" t="s">
        <v>57</v>
      </c>
      <c r="K134" s="2"/>
      <c r="L134" s="2"/>
      <c r="M134" s="2"/>
      <c r="O134" s="4" t="s">
        <v>413</v>
      </c>
      <c r="P134" s="2" t="str">
        <f t="shared" si="13"/>
        <v xml:space="preserve">      .AddAttribute(  3, "Firstname", "Firstname", "varchar", 30, 0, false, false, "", "", "first name of the natural person respectively a name extenstion for a legal entity")</v>
      </c>
    </row>
    <row r="135" spans="1:16" x14ac:dyDescent="0.45">
      <c r="A135" t="s">
        <v>111</v>
      </c>
      <c r="B135">
        <v>4</v>
      </c>
      <c r="C135" t="s">
        <v>107</v>
      </c>
      <c r="D135" t="s">
        <v>107</v>
      </c>
      <c r="E135" t="s">
        <v>20</v>
      </c>
      <c r="F135">
        <v>0</v>
      </c>
      <c r="G135">
        <v>0</v>
      </c>
      <c r="H135" t="s">
        <v>58</v>
      </c>
      <c r="I135" t="s">
        <v>57</v>
      </c>
      <c r="J135" t="s">
        <v>57</v>
      </c>
      <c r="K135" s="2"/>
      <c r="L135" s="2"/>
      <c r="M135" s="2"/>
      <c r="O135" s="4" t="s">
        <v>414</v>
      </c>
      <c r="P135" s="2" t="str">
        <f t="shared" si="13"/>
        <v xml:space="preserve">      .AddAttribute(  4, "FormOfAddress", "FormOfAddress", "integer", 0, 0, true, false, "", "", "form of address for this person. this attribute control the kind of a person too")</v>
      </c>
    </row>
    <row r="136" spans="1:16" x14ac:dyDescent="0.45">
      <c r="A136" t="s">
        <v>111</v>
      </c>
      <c r="B136">
        <v>5</v>
      </c>
      <c r="C136" t="s">
        <v>174</v>
      </c>
      <c r="D136" t="s">
        <v>174</v>
      </c>
      <c r="E136" t="s">
        <v>20</v>
      </c>
      <c r="F136">
        <v>0</v>
      </c>
      <c r="G136">
        <v>0</v>
      </c>
      <c r="H136" t="s">
        <v>58</v>
      </c>
      <c r="I136" t="s">
        <v>57</v>
      </c>
      <c r="J136" t="s">
        <v>57</v>
      </c>
      <c r="K136" s="2"/>
      <c r="L136" s="2"/>
      <c r="M136" s="2"/>
      <c r="O136" s="4" t="s">
        <v>415</v>
      </c>
      <c r="P136" s="2" t="str">
        <f t="shared" si="13"/>
        <v xml:space="preserve">      .AddAttribute(  5, "FamilyStatus", "FamilyStatus", "integer", 0, 0, true, false, "", "", "family status for the person")</v>
      </c>
    </row>
    <row r="137" spans="1:16" x14ac:dyDescent="0.45">
      <c r="A137" t="s">
        <v>111</v>
      </c>
      <c r="B137">
        <v>6</v>
      </c>
      <c r="C137" t="s">
        <v>178</v>
      </c>
      <c r="D137" t="s">
        <v>178</v>
      </c>
      <c r="E137" t="s">
        <v>22</v>
      </c>
      <c r="F137">
        <v>0</v>
      </c>
      <c r="G137">
        <v>0</v>
      </c>
      <c r="H137" t="s">
        <v>57</v>
      </c>
      <c r="I137" t="s">
        <v>57</v>
      </c>
      <c r="J137" t="s">
        <v>57</v>
      </c>
      <c r="K137" s="2"/>
      <c r="L137" s="2"/>
      <c r="M137" s="2"/>
      <c r="O137" s="4" t="s">
        <v>416</v>
      </c>
      <c r="P137" s="2" t="str">
        <f t="shared" si="13"/>
        <v xml:space="preserve">      .AddAttribute(  6, "FamilyStatusSince", "FamilyStatusSince", "date", 0, 0, false, false, "", "", "the date from which the current family status applies.")</v>
      </c>
    </row>
    <row r="138" spans="1:16" x14ac:dyDescent="0.45">
      <c r="A138" t="s">
        <v>111</v>
      </c>
      <c r="B138">
        <v>7</v>
      </c>
      <c r="C138" t="s">
        <v>165</v>
      </c>
      <c r="D138" t="s">
        <v>165</v>
      </c>
      <c r="E138" t="s">
        <v>22</v>
      </c>
      <c r="F138">
        <v>0</v>
      </c>
      <c r="G138">
        <v>0</v>
      </c>
      <c r="H138" t="s">
        <v>57</v>
      </c>
      <c r="I138" t="s">
        <v>57</v>
      </c>
      <c r="J138" t="s">
        <v>57</v>
      </c>
      <c r="K138" s="2"/>
      <c r="L138" s="2"/>
      <c r="M138" s="2"/>
      <c r="O138" s="4" t="s">
        <v>417</v>
      </c>
      <c r="P138" s="2" t="str">
        <f t="shared" si="13"/>
        <v xml:space="preserve">      .AddAttribute(  7, "Birthday", "Birthday", "date", 0, 0, false, false, "", "", "birthday of a natural person. This attribute is unused for legal entrities")</v>
      </c>
    </row>
    <row r="139" spans="1:16" x14ac:dyDescent="0.45">
      <c r="A139" t="s">
        <v>111</v>
      </c>
      <c r="B139">
        <v>8</v>
      </c>
      <c r="C139" t="s">
        <v>131</v>
      </c>
      <c r="D139" t="s">
        <v>131</v>
      </c>
      <c r="E139" t="s">
        <v>77</v>
      </c>
      <c r="F139">
        <v>0</v>
      </c>
      <c r="G139">
        <v>0</v>
      </c>
      <c r="H139" t="s">
        <v>57</v>
      </c>
      <c r="I139" t="s">
        <v>57</v>
      </c>
      <c r="J139" t="s">
        <v>57</v>
      </c>
      <c r="K139" s="2"/>
      <c r="L139" s="2"/>
      <c r="M139" s="2"/>
      <c r="O139" s="4" t="s">
        <v>418</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112</v>
      </c>
      <c r="B141">
        <v>0</v>
      </c>
      <c r="C141" t="s">
        <v>126</v>
      </c>
      <c r="D141" t="s">
        <v>448</v>
      </c>
      <c r="E141" t="s">
        <v>166</v>
      </c>
      <c r="H141" t="s">
        <v>167</v>
      </c>
      <c r="I141" t="s">
        <v>168</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112</v>
      </c>
      <c r="B142">
        <v>1</v>
      </c>
      <c r="C142" t="s">
        <v>133</v>
      </c>
      <c r="D142" t="s">
        <v>133</v>
      </c>
      <c r="E142" t="s">
        <v>20</v>
      </c>
      <c r="F142">
        <v>0</v>
      </c>
      <c r="G142">
        <v>0</v>
      </c>
      <c r="H142" t="s">
        <v>58</v>
      </c>
      <c r="I142" t="s">
        <v>58</v>
      </c>
      <c r="J142" t="s">
        <v>57</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112</v>
      </c>
      <c r="B143">
        <v>2</v>
      </c>
      <c r="C143" t="s">
        <v>139</v>
      </c>
      <c r="D143" t="s">
        <v>139</v>
      </c>
      <c r="E143" t="s">
        <v>20</v>
      </c>
      <c r="F143">
        <v>0</v>
      </c>
      <c r="G143">
        <v>0</v>
      </c>
      <c r="H143" t="s">
        <v>58</v>
      </c>
      <c r="I143" t="s">
        <v>58</v>
      </c>
      <c r="J143" t="s">
        <v>57</v>
      </c>
      <c r="K143" s="2"/>
      <c r="L143" s="2"/>
      <c r="M143" s="2"/>
      <c r="O143" s="4"/>
      <c r="P143" s="2" t="str">
        <f t="shared" si="14"/>
        <v xml:space="preserve">      .AddAttribute(  2, "PhoneType", "PhoneType", "integer", 0, 0, true, true, "", "", "")</v>
      </c>
    </row>
    <row r="144" spans="1:16" x14ac:dyDescent="0.45">
      <c r="A144" t="s">
        <v>112</v>
      </c>
      <c r="B144">
        <v>3</v>
      </c>
      <c r="C144" t="s">
        <v>140</v>
      </c>
      <c r="D144" t="s">
        <v>140</v>
      </c>
      <c r="E144" t="s">
        <v>19</v>
      </c>
      <c r="F144">
        <v>10</v>
      </c>
      <c r="G144">
        <v>0</v>
      </c>
      <c r="H144" t="s">
        <v>58</v>
      </c>
      <c r="I144" t="s">
        <v>57</v>
      </c>
      <c r="J144" t="s">
        <v>57</v>
      </c>
      <c r="K144" s="2"/>
      <c r="L144" s="2"/>
      <c r="M144" s="2"/>
      <c r="O144" s="4"/>
      <c r="P144" s="2" t="str">
        <f t="shared" si="14"/>
        <v xml:space="preserve">      .AddAttribute(  3, "AreaCode", "AreaCode", "varchar", 10, 0, true, false, "", "", "")</v>
      </c>
    </row>
    <row r="145" spans="1:16" x14ac:dyDescent="0.45">
      <c r="A145" t="s">
        <v>112</v>
      </c>
      <c r="B145">
        <v>4</v>
      </c>
      <c r="C145" t="s">
        <v>141</v>
      </c>
      <c r="D145" t="s">
        <v>141</v>
      </c>
      <c r="E145" t="s">
        <v>19</v>
      </c>
      <c r="F145">
        <v>13</v>
      </c>
      <c r="G145">
        <v>0</v>
      </c>
      <c r="H145" t="s">
        <v>58</v>
      </c>
      <c r="I145" t="s">
        <v>57</v>
      </c>
      <c r="J145" t="s">
        <v>57</v>
      </c>
      <c r="K145" s="2"/>
      <c r="L145" s="2"/>
      <c r="M145" s="2"/>
      <c r="O145" s="4"/>
      <c r="P145" s="2" t="str">
        <f t="shared" si="14"/>
        <v xml:space="preserve">      .AddAttribute(  4, "CallNumber", "CallNumber", "varchar", 13, 0, true, false, "", "", "")</v>
      </c>
    </row>
    <row r="146" spans="1:16" x14ac:dyDescent="0.45">
      <c r="A146" t="s">
        <v>112</v>
      </c>
      <c r="B146">
        <v>5</v>
      </c>
      <c r="C146" t="s">
        <v>138</v>
      </c>
      <c r="D146" t="s">
        <v>138</v>
      </c>
      <c r="E146" t="s">
        <v>20</v>
      </c>
      <c r="F146">
        <v>0</v>
      </c>
      <c r="G146">
        <v>0</v>
      </c>
      <c r="H146" t="s">
        <v>58</v>
      </c>
      <c r="I146" t="s">
        <v>57</v>
      </c>
      <c r="J146" t="s">
        <v>57</v>
      </c>
      <c r="K146" s="2"/>
      <c r="L146" s="2"/>
      <c r="M146" s="2"/>
      <c r="O146" s="4"/>
      <c r="P146" s="2" t="str">
        <f t="shared" si="14"/>
        <v xml:space="preserve">      .AddAttribute(  5, "Country", "Country", "integer", 0, 0, true, false, "", "", "")</v>
      </c>
    </row>
    <row r="147" spans="1:16" x14ac:dyDescent="0.45">
      <c r="O147" s="4"/>
    </row>
    <row r="148" spans="1:16" x14ac:dyDescent="0.45">
      <c r="A148" t="s">
        <v>142</v>
      </c>
      <c r="B148">
        <v>0</v>
      </c>
      <c r="C148" t="s">
        <v>127</v>
      </c>
      <c r="D148" t="s">
        <v>447</v>
      </c>
      <c r="E148" t="s">
        <v>166</v>
      </c>
      <c r="H148" t="s">
        <v>167</v>
      </c>
      <c r="I148" t="s">
        <v>168</v>
      </c>
      <c r="K148" s="2"/>
      <c r="L148" s="2"/>
      <c r="M148" s="2"/>
      <c r="O148" s="4" t="s">
        <v>236</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142</v>
      </c>
      <c r="B149">
        <v>1</v>
      </c>
      <c r="C149" t="s">
        <v>133</v>
      </c>
      <c r="D149" t="s">
        <v>133</v>
      </c>
      <c r="E149" t="s">
        <v>20</v>
      </c>
      <c r="F149">
        <v>0</v>
      </c>
      <c r="G149">
        <v>0</v>
      </c>
      <c r="H149" t="s">
        <v>58</v>
      </c>
      <c r="I149" t="s">
        <v>58</v>
      </c>
      <c r="J149" t="s">
        <v>57</v>
      </c>
      <c r="K149" s="2"/>
      <c r="L149" s="2"/>
      <c r="M149" s="2"/>
      <c r="O149" s="4" t="s">
        <v>237</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142</v>
      </c>
      <c r="B150">
        <v>2</v>
      </c>
      <c r="C150" t="s">
        <v>128</v>
      </c>
      <c r="D150" t="s">
        <v>128</v>
      </c>
      <c r="E150" t="s">
        <v>19</v>
      </c>
      <c r="F150">
        <v>50</v>
      </c>
      <c r="G150">
        <v>0</v>
      </c>
      <c r="H150" t="s">
        <v>58</v>
      </c>
      <c r="I150" t="s">
        <v>57</v>
      </c>
      <c r="J150" t="s">
        <v>58</v>
      </c>
      <c r="K150" s="2"/>
      <c r="L150" s="2"/>
      <c r="M150" s="2"/>
      <c r="O150" s="4" t="s">
        <v>238</v>
      </c>
      <c r="P150" s="2" t="str">
        <f t="shared" si="15"/>
        <v xml:space="preserve">      .AddAttribute(  2, "Denotation", "Denotation", "varchar", 50, 0, true, false, "", "", "unique description of a phone type entity in the domain, used in selections, comboboxes, … (key canditate)")</v>
      </c>
    </row>
    <row r="151" spans="1:16" x14ac:dyDescent="0.45">
      <c r="A151" t="s">
        <v>142</v>
      </c>
      <c r="B151">
        <v>3</v>
      </c>
      <c r="C151" t="s">
        <v>129</v>
      </c>
      <c r="D151" t="s">
        <v>129</v>
      </c>
      <c r="E151" t="s">
        <v>19</v>
      </c>
      <c r="F151">
        <v>10</v>
      </c>
      <c r="G151">
        <v>0</v>
      </c>
      <c r="H151" t="s">
        <v>57</v>
      </c>
      <c r="I151" t="s">
        <v>57</v>
      </c>
      <c r="J151" t="s">
        <v>57</v>
      </c>
      <c r="K151" s="2"/>
      <c r="L151" s="2"/>
      <c r="M151" s="2"/>
      <c r="O151" s="4" t="s">
        <v>239</v>
      </c>
      <c r="P151" s="2" t="str">
        <f t="shared" si="15"/>
        <v xml:space="preserve">      .AddAttribute(  3, "Abbreviation", "Abbreviation", "varchar", 10, 0, false, false, "", "", "non-representative abbreviation that can be used for a short advertisement for this phone  type")</v>
      </c>
    </row>
    <row r="152" spans="1:16" x14ac:dyDescent="0.45">
      <c r="A152" t="s">
        <v>142</v>
      </c>
      <c r="B152">
        <v>4</v>
      </c>
      <c r="C152" t="s">
        <v>130</v>
      </c>
      <c r="D152" t="s">
        <v>130</v>
      </c>
      <c r="E152" t="s">
        <v>77</v>
      </c>
      <c r="F152">
        <v>0</v>
      </c>
      <c r="G152">
        <v>0</v>
      </c>
      <c r="H152" t="s">
        <v>57</v>
      </c>
      <c r="I152" t="s">
        <v>57</v>
      </c>
      <c r="J152" t="s">
        <v>57</v>
      </c>
      <c r="K152" s="2"/>
      <c r="L152" s="2"/>
      <c r="M152" s="2"/>
      <c r="O152" s="4" t="s">
        <v>240</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142</v>
      </c>
      <c r="B153">
        <v>5</v>
      </c>
      <c r="C153" t="s">
        <v>131</v>
      </c>
      <c r="D153" t="s">
        <v>131</v>
      </c>
      <c r="E153" t="s">
        <v>77</v>
      </c>
      <c r="F153">
        <v>0</v>
      </c>
      <c r="G153">
        <v>0</v>
      </c>
      <c r="H153" t="s">
        <v>57</v>
      </c>
      <c r="I153" t="s">
        <v>57</v>
      </c>
      <c r="J153" t="s">
        <v>57</v>
      </c>
      <c r="K153" s="2"/>
      <c r="L153" s="2"/>
      <c r="M153" s="2"/>
      <c r="O153" s="4" t="s">
        <v>221</v>
      </c>
      <c r="P153" s="2" t="str">
        <f t="shared" si="15"/>
        <v xml:space="preserve">      .AddAttribute(  5, "Notes", "Notes", "text", 0, 0, false, false, "", "", "notes, with additional / free information for this type of banking, not used in application")</v>
      </c>
    </row>
    <row r="154" spans="1:16" x14ac:dyDescent="0.45">
      <c r="A154" t="s">
        <v>142</v>
      </c>
      <c r="B154">
        <v>6</v>
      </c>
      <c r="C154" t="s">
        <v>132</v>
      </c>
      <c r="D154" t="s">
        <v>132</v>
      </c>
      <c r="E154" t="s">
        <v>27</v>
      </c>
      <c r="F154">
        <v>0</v>
      </c>
      <c r="G154">
        <v>0</v>
      </c>
      <c r="H154" t="s">
        <v>57</v>
      </c>
      <c r="I154" t="s">
        <v>57</v>
      </c>
      <c r="J154" t="s">
        <v>57</v>
      </c>
      <c r="K154" s="2"/>
      <c r="L154" s="2"/>
      <c r="M154" s="2"/>
      <c r="O154" s="4" t="s">
        <v>241</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169</v>
      </c>
      <c r="B156">
        <v>0</v>
      </c>
      <c r="C156" t="s">
        <v>170</v>
      </c>
      <c r="D156" t="s">
        <v>383</v>
      </c>
      <c r="E156" t="s">
        <v>166</v>
      </c>
      <c r="H156" t="s">
        <v>167</v>
      </c>
      <c r="I156" t="s">
        <v>168</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169</v>
      </c>
      <c r="B157">
        <v>1</v>
      </c>
      <c r="C157" t="s">
        <v>133</v>
      </c>
      <c r="D157" t="s">
        <v>133</v>
      </c>
      <c r="E157" t="s">
        <v>20</v>
      </c>
      <c r="F157">
        <v>0</v>
      </c>
      <c r="G157">
        <v>0</v>
      </c>
      <c r="H157" t="s">
        <v>58</v>
      </c>
      <c r="I157" t="s">
        <v>58</v>
      </c>
      <c r="J157" t="s">
        <v>57</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169</v>
      </c>
      <c r="B158">
        <v>2</v>
      </c>
      <c r="C158" t="s">
        <v>171</v>
      </c>
      <c r="D158" t="s">
        <v>171</v>
      </c>
      <c r="E158" t="s">
        <v>30</v>
      </c>
      <c r="F158">
        <v>0</v>
      </c>
      <c r="G158">
        <v>0</v>
      </c>
      <c r="H158" t="s">
        <v>58</v>
      </c>
      <c r="I158" t="s">
        <v>58</v>
      </c>
      <c r="J158" t="s">
        <v>57</v>
      </c>
      <c r="K158" s="2"/>
      <c r="L158" s="2"/>
      <c r="M158" s="2"/>
      <c r="O158" s="4"/>
      <c r="P158" s="2" t="str">
        <f t="shared" si="16"/>
        <v xml:space="preserve">      .AddAttribute(  2, "StartingTime", "StartingTime", "datetime", 0, 0, true, true, "", "", "")</v>
      </c>
    </row>
    <row r="159" spans="1:16" x14ac:dyDescent="0.45">
      <c r="A159" t="s">
        <v>169</v>
      </c>
      <c r="B159">
        <v>3</v>
      </c>
      <c r="C159" t="s">
        <v>172</v>
      </c>
      <c r="D159" t="s">
        <v>172</v>
      </c>
      <c r="E159" t="s">
        <v>30</v>
      </c>
      <c r="F159">
        <v>0</v>
      </c>
      <c r="G159">
        <v>0</v>
      </c>
      <c r="H159" t="s">
        <v>57</v>
      </c>
      <c r="I159" t="s">
        <v>57</v>
      </c>
      <c r="J159" t="s">
        <v>57</v>
      </c>
      <c r="K159" s="2"/>
      <c r="L159" s="2"/>
      <c r="M159" s="2"/>
      <c r="O159" s="4"/>
      <c r="P159" s="2" t="str">
        <f t="shared" si="16"/>
        <v xml:space="preserve">      .AddAttribute(  3, "ClosingTime", "ClosingTime", "datetime", 0, 0, false, false, "", "", "")</v>
      </c>
    </row>
    <row r="160" spans="1:16" x14ac:dyDescent="0.45">
      <c r="A160" t="s">
        <v>169</v>
      </c>
      <c r="B160">
        <v>4</v>
      </c>
      <c r="C160" t="s">
        <v>173</v>
      </c>
      <c r="D160" t="s">
        <v>173</v>
      </c>
      <c r="E160" t="s">
        <v>27</v>
      </c>
      <c r="F160">
        <v>0</v>
      </c>
      <c r="G160">
        <v>0</v>
      </c>
      <c r="H160" t="s">
        <v>58</v>
      </c>
      <c r="I160" t="s">
        <v>57</v>
      </c>
      <c r="J160" t="s">
        <v>57</v>
      </c>
      <c r="K160" s="2"/>
      <c r="L160" s="2"/>
      <c r="M160" s="2"/>
      <c r="O160" s="4"/>
      <c r="P160" s="2" t="str">
        <f t="shared" si="16"/>
        <v xml:space="preserve">      .AddAttribute(  4, "Processed ", "Processed ", "bool", 0, 0, true, false, "", "", "")</v>
      </c>
    </row>
    <row r="161" spans="1:16" x14ac:dyDescent="0.45">
      <c r="O161" s="4"/>
    </row>
    <row r="162" spans="1:16" x14ac:dyDescent="0.45">
      <c r="A162" t="s">
        <v>174</v>
      </c>
      <c r="B162">
        <v>0</v>
      </c>
      <c r="C162" t="s">
        <v>175</v>
      </c>
      <c r="D162" t="s">
        <v>446</v>
      </c>
      <c r="E162" t="s">
        <v>166</v>
      </c>
      <c r="H162" t="s">
        <v>167</v>
      </c>
      <c r="I162" t="s">
        <v>168</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174</v>
      </c>
      <c r="B163">
        <v>1</v>
      </c>
      <c r="C163" t="s">
        <v>133</v>
      </c>
      <c r="D163" t="s">
        <v>133</v>
      </c>
      <c r="E163" t="s">
        <v>20</v>
      </c>
      <c r="F163">
        <v>0</v>
      </c>
      <c r="G163">
        <v>0</v>
      </c>
      <c r="H163" t="s">
        <v>58</v>
      </c>
      <c r="I163" t="s">
        <v>58</v>
      </c>
      <c r="J163" t="s">
        <v>57</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174</v>
      </c>
      <c r="B164">
        <v>2</v>
      </c>
      <c r="C164" t="s">
        <v>128</v>
      </c>
      <c r="D164" t="s">
        <v>128</v>
      </c>
      <c r="E164" t="s">
        <v>19</v>
      </c>
      <c r="F164">
        <v>50</v>
      </c>
      <c r="G164">
        <v>0</v>
      </c>
      <c r="H164" t="s">
        <v>58</v>
      </c>
      <c r="I164" t="s">
        <v>57</v>
      </c>
      <c r="J164" t="s">
        <v>58</v>
      </c>
      <c r="K164" s="2"/>
      <c r="L164" s="2"/>
      <c r="M164" s="2"/>
      <c r="O164" s="4"/>
      <c r="P164" s="2" t="str">
        <f t="shared" si="17"/>
        <v xml:space="preserve">      .AddAttribute(  2, "Denotation", "Denotation", "varchar", 50, 0, true, false, "", "", "")</v>
      </c>
    </row>
    <row r="165" spans="1:16" x14ac:dyDescent="0.45">
      <c r="A165" t="s">
        <v>174</v>
      </c>
      <c r="B165">
        <v>3</v>
      </c>
      <c r="C165" t="s">
        <v>129</v>
      </c>
      <c r="D165" t="s">
        <v>129</v>
      </c>
      <c r="E165" t="s">
        <v>19</v>
      </c>
      <c r="F165">
        <v>10</v>
      </c>
      <c r="G165">
        <v>0</v>
      </c>
      <c r="H165" t="s">
        <v>57</v>
      </c>
      <c r="I165" t="s">
        <v>57</v>
      </c>
      <c r="J165" t="s">
        <v>57</v>
      </c>
      <c r="K165" s="2"/>
      <c r="L165" s="2"/>
      <c r="M165" s="2"/>
      <c r="O165" s="4"/>
      <c r="P165" s="2" t="str">
        <f t="shared" si="17"/>
        <v xml:space="preserve">      .AddAttribute(  3, "Abbreviation", "Abbreviation", "varchar", 10, 0, false, false, "", "", "")</v>
      </c>
    </row>
    <row r="166" spans="1:16" x14ac:dyDescent="0.45">
      <c r="A166" t="s">
        <v>174</v>
      </c>
      <c r="B166">
        <v>4</v>
      </c>
      <c r="C166" t="s">
        <v>130</v>
      </c>
      <c r="D166" t="s">
        <v>130</v>
      </c>
      <c r="E166" t="s">
        <v>77</v>
      </c>
      <c r="F166">
        <v>0</v>
      </c>
      <c r="G166">
        <v>0</v>
      </c>
      <c r="H166" t="s">
        <v>57</v>
      </c>
      <c r="I166" t="s">
        <v>57</v>
      </c>
      <c r="J166" t="s">
        <v>57</v>
      </c>
      <c r="K166" s="2"/>
      <c r="L166" s="2"/>
      <c r="M166" s="2"/>
      <c r="O166" s="4"/>
      <c r="P166" s="2" t="str">
        <f t="shared" si="17"/>
        <v xml:space="preserve">      .AddAttribute(  4, "Description", "Description", "text", 0, 0, false, false, "", "", "")</v>
      </c>
    </row>
    <row r="167" spans="1:16" x14ac:dyDescent="0.45">
      <c r="A167" t="s">
        <v>174</v>
      </c>
      <c r="B167">
        <v>5</v>
      </c>
      <c r="C167" t="s">
        <v>176</v>
      </c>
      <c r="D167" t="s">
        <v>176</v>
      </c>
      <c r="E167" t="s">
        <v>27</v>
      </c>
      <c r="F167">
        <v>0</v>
      </c>
      <c r="G167">
        <v>0</v>
      </c>
      <c r="H167" t="s">
        <v>57</v>
      </c>
      <c r="I167" t="s">
        <v>57</v>
      </c>
      <c r="J167" t="s">
        <v>57</v>
      </c>
      <c r="K167" s="2"/>
      <c r="L167" s="2"/>
      <c r="M167" s="2"/>
      <c r="O167" s="4"/>
      <c r="P167" s="2" t="str">
        <f t="shared" si="17"/>
        <v xml:space="preserve">      .AddAttribute(  5, "Coupled", "Coupled", "bool", 0, 0, false, false, "", "", "")</v>
      </c>
    </row>
    <row r="168" spans="1:16" x14ac:dyDescent="0.45">
      <c r="A168" t="s">
        <v>174</v>
      </c>
      <c r="B168">
        <v>6</v>
      </c>
      <c r="C168" t="s">
        <v>177</v>
      </c>
      <c r="D168" t="s">
        <v>177</v>
      </c>
      <c r="E168" t="s">
        <v>27</v>
      </c>
      <c r="F168">
        <v>0</v>
      </c>
      <c r="G168">
        <v>0</v>
      </c>
      <c r="H168" t="s">
        <v>57</v>
      </c>
      <c r="I168" t="s">
        <v>57</v>
      </c>
      <c r="J168" t="s">
        <v>57</v>
      </c>
      <c r="K168" s="2"/>
      <c r="L168" s="2"/>
      <c r="M168" s="2"/>
      <c r="O168" s="4"/>
      <c r="P168" s="2" t="str">
        <f t="shared" si="17"/>
        <v xml:space="preserve">      .AddAttribute(  6, "NeedDate", "NeedDate", "bool", 0, 0, false, false, "", "", "")</v>
      </c>
    </row>
    <row r="169" spans="1:16" x14ac:dyDescent="0.45">
      <c r="A169" t="s">
        <v>174</v>
      </c>
      <c r="B169">
        <v>7</v>
      </c>
      <c r="C169" t="s">
        <v>132</v>
      </c>
      <c r="D169" t="s">
        <v>132</v>
      </c>
      <c r="E169" t="s">
        <v>27</v>
      </c>
      <c r="F169">
        <v>0</v>
      </c>
      <c r="G169">
        <v>0</v>
      </c>
      <c r="H169" t="s">
        <v>57</v>
      </c>
      <c r="I169" t="s">
        <v>57</v>
      </c>
      <c r="J169" t="s">
        <v>57</v>
      </c>
      <c r="K169" s="2"/>
      <c r="L169" s="2"/>
      <c r="M169" s="2"/>
      <c r="O169" s="4" t="s">
        <v>241</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302</v>
      </c>
      <c r="C171" t="s">
        <v>333</v>
      </c>
      <c r="D171" t="s">
        <v>384</v>
      </c>
      <c r="E171" t="s">
        <v>166</v>
      </c>
      <c r="H171" t="s">
        <v>167</v>
      </c>
      <c r="I171" t="s">
        <v>168</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302</v>
      </c>
      <c r="B172">
        <v>1</v>
      </c>
      <c r="C172" t="s">
        <v>133</v>
      </c>
      <c r="D172" t="s">
        <v>133</v>
      </c>
      <c r="E172" t="s">
        <v>20</v>
      </c>
      <c r="F172">
        <v>0</v>
      </c>
      <c r="G172">
        <v>0</v>
      </c>
      <c r="H172" t="s">
        <v>58</v>
      </c>
      <c r="I172" t="s">
        <v>58</v>
      </c>
      <c r="J172" t="s">
        <v>57</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302</v>
      </c>
      <c r="B173">
        <v>2</v>
      </c>
      <c r="C173" t="s">
        <v>128</v>
      </c>
      <c r="D173" t="s">
        <v>128</v>
      </c>
      <c r="E173" t="s">
        <v>19</v>
      </c>
      <c r="F173">
        <v>50</v>
      </c>
      <c r="G173">
        <v>0</v>
      </c>
      <c r="H173" t="s">
        <v>58</v>
      </c>
      <c r="I173" t="s">
        <v>57</v>
      </c>
      <c r="J173" t="s">
        <v>58</v>
      </c>
      <c r="O173" s="4"/>
      <c r="P173" s="2" t="str">
        <f t="shared" si="18"/>
        <v xml:space="preserve">      .AddAttribute(  2, "Denotation", "Denotation", "varchar", 50, 0, true, false, "", "", "")</v>
      </c>
    </row>
    <row r="174" spans="1:16" x14ac:dyDescent="0.45">
      <c r="A174" t="s">
        <v>302</v>
      </c>
      <c r="B174">
        <v>3</v>
      </c>
      <c r="C174" t="s">
        <v>129</v>
      </c>
      <c r="D174" t="s">
        <v>129</v>
      </c>
      <c r="E174" t="s">
        <v>19</v>
      </c>
      <c r="F174">
        <v>10</v>
      </c>
      <c r="G174">
        <v>0</v>
      </c>
      <c r="H174" t="s">
        <v>57</v>
      </c>
      <c r="I174" t="s">
        <v>57</v>
      </c>
      <c r="J174" t="s">
        <v>57</v>
      </c>
      <c r="O174" s="4"/>
      <c r="P174" s="2" t="str">
        <f t="shared" si="18"/>
        <v xml:space="preserve">      .AddAttribute(  3, "Abbreviation", "Abbreviation", "varchar", 10, 0, false, false, "", "", "")</v>
      </c>
    </row>
    <row r="175" spans="1:16" x14ac:dyDescent="0.45">
      <c r="A175" t="s">
        <v>302</v>
      </c>
      <c r="B175">
        <v>4</v>
      </c>
      <c r="C175" t="s">
        <v>130</v>
      </c>
      <c r="D175" t="s">
        <v>130</v>
      </c>
      <c r="E175" t="s">
        <v>77</v>
      </c>
      <c r="F175">
        <v>0</v>
      </c>
      <c r="G175">
        <v>0</v>
      </c>
      <c r="H175" t="s">
        <v>57</v>
      </c>
      <c r="I175" t="s">
        <v>57</v>
      </c>
      <c r="J175" t="s">
        <v>57</v>
      </c>
      <c r="O175" s="4"/>
      <c r="P175" s="2" t="str">
        <f t="shared" si="18"/>
        <v xml:space="preserve">      .AddAttribute(  4, "Description", "Description", "text", 0, 0, false, false, "", "", "")</v>
      </c>
    </row>
    <row r="176" spans="1:16" x14ac:dyDescent="0.45">
      <c r="A176" t="s">
        <v>302</v>
      </c>
      <c r="B176">
        <v>5</v>
      </c>
      <c r="C176" t="s">
        <v>176</v>
      </c>
      <c r="D176" t="s">
        <v>176</v>
      </c>
      <c r="E176" t="s">
        <v>27</v>
      </c>
      <c r="F176">
        <v>0</v>
      </c>
      <c r="G176">
        <v>0</v>
      </c>
      <c r="H176" t="s">
        <v>57</v>
      </c>
      <c r="I176" t="s">
        <v>57</v>
      </c>
      <c r="J176" t="s">
        <v>57</v>
      </c>
      <c r="O176" s="4"/>
      <c r="P176" s="2" t="str">
        <f t="shared" si="18"/>
        <v xml:space="preserve">      .AddAttribute(  5, "Coupled", "Coupled", "bool", 0, 0, false, false, "", "", "")</v>
      </c>
    </row>
    <row r="177" spans="1:16" x14ac:dyDescent="0.45">
      <c r="A177" t="s">
        <v>302</v>
      </c>
      <c r="B177">
        <v>6</v>
      </c>
      <c r="C177" t="s">
        <v>132</v>
      </c>
      <c r="D177" t="s">
        <v>132</v>
      </c>
      <c r="E177" t="s">
        <v>27</v>
      </c>
      <c r="F177">
        <v>0</v>
      </c>
      <c r="G177">
        <v>0</v>
      </c>
      <c r="H177" t="s">
        <v>57</v>
      </c>
      <c r="I177" t="s">
        <v>57</v>
      </c>
      <c r="J177" t="s">
        <v>57</v>
      </c>
      <c r="O177" s="4" t="s">
        <v>334</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1A1E-65A5-4C51-9222-AD6B7E2B569A}">
  <sheetPr codeName="Tabelle8"/>
  <dimension ref="A1:AG461"/>
  <sheetViews>
    <sheetView topLeftCell="I1" workbookViewId="0">
      <selection activeCell="K6" sqref="K6"/>
    </sheetView>
  </sheetViews>
  <sheetFormatPr baseColWidth="10" defaultRowHeight="14.25" x14ac:dyDescent="0.45"/>
  <cols>
    <col min="1" max="1" width="5.06640625" customWidth="1"/>
    <col min="2" max="2" width="12.796875" customWidth="1"/>
    <col min="6" max="6" width="5.73046875" customWidth="1"/>
    <col min="8" max="8" width="11.86328125" customWidth="1"/>
    <col min="13" max="13" width="24.06640625" customWidth="1"/>
    <col min="14" max="14" width="7.86328125" customWidth="1"/>
    <col min="20" max="21" width="8.265625" customWidth="1"/>
    <col min="22" max="22" width="5.46484375" customWidth="1"/>
    <col min="23" max="23" width="6.46484375" customWidth="1"/>
    <col min="24" max="24" width="4.59765625" customWidth="1"/>
    <col min="25" max="25" width="8.265625" customWidth="1"/>
    <col min="26" max="26" width="4.1328125" customWidth="1"/>
    <col min="27" max="27" width="79.33203125" customWidth="1"/>
    <col min="28" max="28" width="2.796875" customWidth="1"/>
    <col min="29" max="29" width="85.6640625" bestFit="1" customWidth="1"/>
    <col min="30" max="30" width="4.265625" customWidth="1"/>
    <col min="31" max="31" width="92.33203125" bestFit="1" customWidth="1"/>
    <col min="32" max="32" width="8.73046875" customWidth="1"/>
    <col min="33" max="33" width="105.53125" bestFit="1" customWidth="1"/>
  </cols>
  <sheetData>
    <row r="1" spans="1:33" x14ac:dyDescent="0.45">
      <c r="A1" s="14" t="s">
        <v>587</v>
      </c>
      <c r="B1" s="14"/>
      <c r="C1" s="14"/>
      <c r="D1" s="14"/>
      <c r="E1" s="1"/>
      <c r="F1" s="14" t="s">
        <v>588</v>
      </c>
      <c r="G1" s="15"/>
      <c r="H1" s="15"/>
      <c r="I1" s="15"/>
      <c r="K1" s="14" t="s">
        <v>601</v>
      </c>
      <c r="L1" s="14"/>
      <c r="M1" s="14"/>
      <c r="N1" s="14"/>
      <c r="O1" s="14"/>
      <c r="R1" s="14" t="s">
        <v>803</v>
      </c>
      <c r="S1" s="14"/>
      <c r="T1" s="14"/>
      <c r="U1" s="14"/>
      <c r="V1" s="14"/>
      <c r="W1" s="14"/>
      <c r="X1" s="14"/>
      <c r="Y1" s="14"/>
    </row>
    <row r="2" spans="1:33" x14ac:dyDescent="0.45">
      <c r="AE2" s="2" t="str" cm="1">
        <f t="array" ref="AE2">CONCATENATE("INSERT INTO ",R1," ",Liste((S3:U3)), " VALUES ")</f>
        <v xml:space="preserve">INSERT INTO WD_Workdays (CalendarDay, CalendarWeekday, CalendarWeek) VALUES </v>
      </c>
      <c r="AF2" s="2"/>
      <c r="AG2" s="2" t="str" cm="1">
        <f t="array" ref="AG2">CONCATENATE("INSERT INTO ",K1," ",Liste((L3:O3)), " VALUES ")</f>
        <v xml:space="preserve">INSERT INTO WD_Holidays (CalendarDay, Donation, Share) VALUES </v>
      </c>
    </row>
    <row r="3" spans="1:33" x14ac:dyDescent="0.45">
      <c r="A3" s="1" t="s">
        <v>133</v>
      </c>
      <c r="B3" s="1" t="s">
        <v>128</v>
      </c>
      <c r="C3" s="1" t="s">
        <v>129</v>
      </c>
      <c r="D3" s="1" t="s">
        <v>531</v>
      </c>
      <c r="E3" s="1"/>
      <c r="F3" s="1" t="s">
        <v>133</v>
      </c>
      <c r="G3" s="1" t="s">
        <v>128</v>
      </c>
      <c r="H3" s="1" t="s">
        <v>129</v>
      </c>
      <c r="I3" s="1" t="s">
        <v>534</v>
      </c>
      <c r="J3" s="1"/>
      <c r="K3" s="1" t="s">
        <v>549</v>
      </c>
      <c r="L3" s="1" t="s">
        <v>807</v>
      </c>
      <c r="M3" s="1" t="s">
        <v>599</v>
      </c>
      <c r="N3" s="1" t="s">
        <v>600</v>
      </c>
      <c r="O3" s="1"/>
      <c r="P3" s="1"/>
      <c r="Q3" s="1"/>
      <c r="R3" s="1" t="s">
        <v>549</v>
      </c>
      <c r="S3" s="1" t="s">
        <v>807</v>
      </c>
      <c r="T3" s="1" t="s">
        <v>808</v>
      </c>
      <c r="U3" s="1" t="s">
        <v>809</v>
      </c>
      <c r="V3" s="1" t="s">
        <v>532</v>
      </c>
      <c r="W3" s="1" t="s">
        <v>533</v>
      </c>
      <c r="X3" s="1" t="s">
        <v>530</v>
      </c>
      <c r="Y3" s="1" t="s">
        <v>534</v>
      </c>
      <c r="AA3" s="2" t="str" cm="1">
        <f t="array" ref="AA3">CONCATENATE("   .AddRangeValue(""INSERT INTO ",A1," ",Liste((A3:D3)), " VALUES\n""")</f>
        <v xml:space="preserve">   .AddRangeValue("INSERT INTO WD_Weekdays (ID, Denotation, Abbreviation, Workday) VALUES\n"</v>
      </c>
      <c r="AC3" s="2" t="str" cm="1">
        <f t="array" ref="AC3">CONCATENATE("   .AddRangeValue(""INSERT INTO ",F1," ",Liste((F3:I3)), " VALUES\n""")</f>
        <v xml:space="preserve">   .AddRangeValue("INSERT INTO WD_Months (ID, Denotation, Abbreviation, Quarter) VALUES\n"</v>
      </c>
    </row>
    <row r="4" spans="1:33" x14ac:dyDescent="0.45">
      <c r="A4">
        <v>0</v>
      </c>
      <c r="B4" s="3" t="s">
        <v>550</v>
      </c>
      <c r="C4" s="3" t="s">
        <v>557</v>
      </c>
      <c r="D4">
        <v>1</v>
      </c>
      <c r="F4">
        <v>1</v>
      </c>
      <c r="G4" s="3" t="s">
        <v>564</v>
      </c>
      <c r="H4" s="3" t="s">
        <v>576</v>
      </c>
      <c r="I4">
        <v>1</v>
      </c>
      <c r="K4" s="10">
        <v>44197</v>
      </c>
      <c r="L4" t="str">
        <f>CONCATENATE("'",TEXT(K4,"jjjj-MM-tt"),"'")</f>
        <v>'2021-01-01'</v>
      </c>
      <c r="M4" s="3" t="s">
        <v>529</v>
      </c>
      <c r="N4">
        <v>100</v>
      </c>
      <c r="R4" s="10">
        <v>46023</v>
      </c>
      <c r="S4" t="str">
        <f>CONCATENATE("'",TEXT(R4,"jjjj-MM-tt"),"'")</f>
        <v>'2026-01-01'</v>
      </c>
      <c r="T4">
        <f>WEEKDAY(R4,3)</f>
        <v>3</v>
      </c>
      <c r="U4">
        <f>_xlfn.ISOWEEKNUM(R4)</f>
        <v>1</v>
      </c>
      <c r="V4">
        <f>YEAR(R4)</f>
        <v>2026</v>
      </c>
      <c r="W4">
        <f>MONTH(R4)</f>
        <v>1</v>
      </c>
      <c r="X4">
        <f>DAY(R4)</f>
        <v>1</v>
      </c>
      <c r="Y4">
        <f>IF(AND(W4&gt;=1,W4&lt;=3),0,IF(AND(W4&gt;=4,W4&lt;=6),1,IF(AND(W4&gt;=7,W4&lt;=8),2,IF(AND(W4&gt;=9,W4&lt;=12),3,-1))))</f>
        <v>0</v>
      </c>
      <c r="AA4" s="2" t="str" cm="1">
        <f t="array" ref="AA4">CONCATENATE("                  ""    ",Liste(A4:D4),IF(D5&lt;&gt;"",", \n""",""")"))</f>
        <v xml:space="preserve">                  "    (0, 'Montag', 'Mo', 1), \n"</v>
      </c>
      <c r="AC4" s="2" t="str" cm="1">
        <f t="array" ref="AC4">CONCATENATE("                  ""    ",Liste(F4:I4),IF(I5&lt;&gt;"",", \n""",""")"))</f>
        <v xml:space="preserve">                  "    (1, 'Januar', 'Jan', 1), \n"</v>
      </c>
      <c r="AE4" s="2" t="str" cm="1">
        <f t="array" ref="AE4">CONCATENATE($AE$2,Liste(S4:U4),";")</f>
        <v>INSERT INTO WD_Workdays (CalendarDay, CalendarWeekday, CalendarWeek) VALUES ('2026-01-01', 3, 1);</v>
      </c>
      <c r="AF4" s="2"/>
      <c r="AG4" s="2" t="str" cm="1">
        <f t="array" ref="AG4">CONCATENATE($AG$2,Liste(L4:O4),";")</f>
        <v>INSERT INTO WD_Holidays (CalendarDay, Donation, Share) VALUES ('2021-01-01', 'Neujahr', 100);</v>
      </c>
    </row>
    <row r="5" spans="1:33" x14ac:dyDescent="0.45">
      <c r="A5">
        <v>1</v>
      </c>
      <c r="B5" s="3" t="s">
        <v>551</v>
      </c>
      <c r="C5" s="3" t="s">
        <v>558</v>
      </c>
      <c r="D5">
        <v>1</v>
      </c>
      <c r="F5">
        <v>2</v>
      </c>
      <c r="G5" s="3" t="s">
        <v>565</v>
      </c>
      <c r="H5" s="3" t="s">
        <v>586</v>
      </c>
      <c r="I5">
        <v>1</v>
      </c>
      <c r="K5" s="10">
        <v>44263</v>
      </c>
      <c r="L5" t="str">
        <f t="shared" ref="L5:L11" si="0">CONCATENATE("'",TEXT(K5,"jjjj-MM-tt"),"'")</f>
        <v>'2021-03-08'</v>
      </c>
      <c r="M5" s="3" t="s">
        <v>602</v>
      </c>
      <c r="N5">
        <v>100</v>
      </c>
      <c r="R5" s="10">
        <f>R4+1</f>
        <v>46024</v>
      </c>
      <c r="S5" t="str">
        <f t="shared" ref="S5:S68" si="1">CONCATENATE("'",TEXT(R5,"jjjj-MM-tt"),"'")</f>
        <v>'2026-01-02'</v>
      </c>
      <c r="T5">
        <f>WEEKDAY(R5,3)</f>
        <v>4</v>
      </c>
      <c r="U5">
        <f t="shared" ref="U5:U68" si="2">_xlfn.ISOWEEKNUM(R5)</f>
        <v>1</v>
      </c>
      <c r="V5">
        <f t="shared" ref="V5:V68" si="3">YEAR(R5)</f>
        <v>2026</v>
      </c>
      <c r="W5">
        <f t="shared" ref="W5:W68" si="4">MONTH(R5)</f>
        <v>1</v>
      </c>
      <c r="X5">
        <f t="shared" ref="X5:X68" si="5">DAY(R5)</f>
        <v>2</v>
      </c>
      <c r="Y5">
        <f t="shared" ref="Y5:Y68" si="6">IF(AND(W5&gt;=1,W5&lt;=3),0,IF(AND(W5&gt;=4,W5&lt;=6),1,IF(AND(W5&gt;=7,W5&lt;=8),2,IF(AND(W5&gt;=9,W5&lt;=12),3,-1))))</f>
        <v>0</v>
      </c>
      <c r="AA5" s="2" t="str" cm="1">
        <f t="array" ref="AA5">CONCATENATE("                  ""    ",Liste(A5:D5),IF(D6&lt;&gt;"",", \n""",""")"))</f>
        <v xml:space="preserve">                  "    (1, 'Dienstag', 'Di', 1), \n"</v>
      </c>
      <c r="AC5" s="2" t="str" cm="1">
        <f t="array" ref="AC5">CONCATENATE("                  ""    ",Liste(F5:I5),IF(I6&lt;&gt;"",", \n""",""")"))</f>
        <v xml:space="preserve">                  "    (2, 'Februar', 'Feb', 1), \n"</v>
      </c>
      <c r="AE5" s="2" t="str" cm="1">
        <f t="array" ref="AE5">CONCATENATE($AE$2,Liste(S5:U5),";")</f>
        <v>INSERT INTO WD_Workdays (CalendarDay, CalendarWeekday, CalendarWeek) VALUES ('2026-01-02', 4, 1);</v>
      </c>
      <c r="AF5" s="2"/>
      <c r="AG5" s="2" t="str" cm="1">
        <f t="array" ref="AG5">CONCATENATE($AG$2,Liste(L5:O5),";")</f>
        <v>INSERT INTO WD_Holidays (CalendarDay, Donation, Share) VALUES ('2021-03-08', 'Internationaler Frauentag', 100);</v>
      </c>
    </row>
    <row r="6" spans="1:33" x14ac:dyDescent="0.45">
      <c r="A6">
        <v>2</v>
      </c>
      <c r="B6" s="3" t="s">
        <v>552</v>
      </c>
      <c r="C6" s="3" t="s">
        <v>559</v>
      </c>
      <c r="D6">
        <v>1</v>
      </c>
      <c r="F6">
        <v>3</v>
      </c>
      <c r="G6" s="3" t="s">
        <v>566</v>
      </c>
      <c r="H6" s="3" t="s">
        <v>577</v>
      </c>
      <c r="I6">
        <v>1</v>
      </c>
      <c r="K6" s="10">
        <v>44288</v>
      </c>
      <c r="L6" t="str">
        <f t="shared" si="0"/>
        <v>'2021-04-02'</v>
      </c>
      <c r="M6" s="3" t="s">
        <v>603</v>
      </c>
      <c r="N6">
        <v>100</v>
      </c>
      <c r="R6" s="10">
        <f t="shared" ref="R6:R69" si="7">R5+1</f>
        <v>46025</v>
      </c>
      <c r="S6" t="str">
        <f t="shared" si="1"/>
        <v>'2026-01-03'</v>
      </c>
      <c r="T6">
        <f t="shared" ref="T6:T68" si="8">WEEKDAY(R6,3)</f>
        <v>5</v>
      </c>
      <c r="U6">
        <f t="shared" si="2"/>
        <v>1</v>
      </c>
      <c r="V6">
        <f t="shared" si="3"/>
        <v>2026</v>
      </c>
      <c r="W6">
        <f t="shared" si="4"/>
        <v>1</v>
      </c>
      <c r="X6">
        <f t="shared" si="5"/>
        <v>3</v>
      </c>
      <c r="Y6">
        <f t="shared" si="6"/>
        <v>0</v>
      </c>
      <c r="AA6" s="2" t="str" cm="1">
        <f t="array" ref="AA6">CONCATENATE("                  ""    ",Liste(A6:D6),IF(D7&lt;&gt;"",", \n""",""")"))</f>
        <v xml:space="preserve">                  "    (2, 'Mittwoch', 'Mi', 1), \n"</v>
      </c>
      <c r="AC6" s="2" t="str" cm="1">
        <f t="array" ref="AC6">CONCATENATE("                  ""    ",Liste(F6:I6),IF(I7&lt;&gt;"",", \n""",""")"))</f>
        <v xml:space="preserve">                  "    (3, 'März', 'Mär', 1), \n"</v>
      </c>
      <c r="AE6" s="2" t="str" cm="1">
        <f t="array" ref="AE6">CONCATENATE($AE$2,Liste(S6:U6),";")</f>
        <v>INSERT INTO WD_Workdays (CalendarDay, CalendarWeekday, CalendarWeek) VALUES ('2026-01-03', 5, 1);</v>
      </c>
      <c r="AF6" s="2"/>
      <c r="AG6" s="2" t="str" cm="1">
        <f t="array" ref="AG6">CONCATENATE($AG$2,Liste(L6:O6),";")</f>
        <v>INSERT INTO WD_Holidays (CalendarDay, Donation, Share) VALUES ('2021-04-02', 'Karfreitag', 100);</v>
      </c>
    </row>
    <row r="7" spans="1:33" x14ac:dyDescent="0.45">
      <c r="A7">
        <v>3</v>
      </c>
      <c r="B7" s="3" t="s">
        <v>553</v>
      </c>
      <c r="C7" s="3" t="s">
        <v>560</v>
      </c>
      <c r="D7">
        <v>1</v>
      </c>
      <c r="F7">
        <v>4</v>
      </c>
      <c r="G7" s="3" t="s">
        <v>567</v>
      </c>
      <c r="H7" s="3" t="s">
        <v>578</v>
      </c>
      <c r="I7">
        <v>2</v>
      </c>
      <c r="K7" s="10">
        <v>44290</v>
      </c>
      <c r="L7" t="str">
        <f t="shared" si="0"/>
        <v>'2021-04-04'</v>
      </c>
      <c r="M7" s="3" t="s">
        <v>604</v>
      </c>
      <c r="N7">
        <v>100</v>
      </c>
      <c r="R7" s="10">
        <f t="shared" si="7"/>
        <v>46026</v>
      </c>
      <c r="S7" t="str">
        <f t="shared" si="1"/>
        <v>'2026-01-04'</v>
      </c>
      <c r="T7">
        <f t="shared" si="8"/>
        <v>6</v>
      </c>
      <c r="U7">
        <f t="shared" si="2"/>
        <v>1</v>
      </c>
      <c r="V7">
        <f t="shared" si="3"/>
        <v>2026</v>
      </c>
      <c r="W7">
        <f t="shared" si="4"/>
        <v>1</v>
      </c>
      <c r="X7">
        <f t="shared" si="5"/>
        <v>4</v>
      </c>
      <c r="Y7">
        <f t="shared" si="6"/>
        <v>0</v>
      </c>
      <c r="AA7" s="2" t="str" cm="1">
        <f t="array" ref="AA7">CONCATENATE("                  ""    ",Liste(A7:D7),IF(D8&lt;&gt;"",", \n""",""")"))</f>
        <v xml:space="preserve">                  "    (3, 'Donnerstag', 'Do', 1), \n"</v>
      </c>
      <c r="AC7" s="2" t="str" cm="1">
        <f t="array" ref="AC7">CONCATENATE("                  ""    ",Liste(F7:I7),IF(I8&lt;&gt;"",", \n""",""")"))</f>
        <v xml:space="preserve">                  "    (4, 'April', 'Apr', 2), \n"</v>
      </c>
      <c r="AE7" s="2" t="str" cm="1">
        <f t="array" ref="AE7">CONCATENATE($AE$2,Liste(S7:U7),";")</f>
        <v>INSERT INTO WD_Workdays (CalendarDay, CalendarWeekday, CalendarWeek) VALUES ('2026-01-04', 6, 1);</v>
      </c>
      <c r="AF7" s="2"/>
      <c r="AG7" s="2" t="str" cm="1">
        <f t="array" ref="AG7">CONCATENATE($AG$2,Liste(L7:O7),";")</f>
        <v>INSERT INTO WD_Holidays (CalendarDay, Donation, Share) VALUES ('2021-04-04', 'Ostersonntag', 100);</v>
      </c>
    </row>
    <row r="8" spans="1:33" x14ac:dyDescent="0.45">
      <c r="A8">
        <v>4</v>
      </c>
      <c r="B8" s="3" t="s">
        <v>554</v>
      </c>
      <c r="C8" s="3" t="s">
        <v>561</v>
      </c>
      <c r="D8">
        <v>1</v>
      </c>
      <c r="F8">
        <v>5</v>
      </c>
      <c r="G8" s="3" t="s">
        <v>568</v>
      </c>
      <c r="H8" s="3" t="s">
        <v>568</v>
      </c>
      <c r="I8">
        <v>2</v>
      </c>
      <c r="K8" s="10">
        <v>44291</v>
      </c>
      <c r="L8" t="str">
        <f t="shared" si="0"/>
        <v>'2021-04-05'</v>
      </c>
      <c r="M8" s="3" t="s">
        <v>605</v>
      </c>
      <c r="N8">
        <v>100</v>
      </c>
      <c r="R8" s="10">
        <f t="shared" si="7"/>
        <v>46027</v>
      </c>
      <c r="S8" t="str">
        <f t="shared" si="1"/>
        <v>'2026-01-05'</v>
      </c>
      <c r="T8">
        <f t="shared" si="8"/>
        <v>0</v>
      </c>
      <c r="U8">
        <f t="shared" si="2"/>
        <v>2</v>
      </c>
      <c r="V8">
        <f t="shared" si="3"/>
        <v>2026</v>
      </c>
      <c r="W8">
        <f t="shared" si="4"/>
        <v>1</v>
      </c>
      <c r="X8">
        <f t="shared" si="5"/>
        <v>5</v>
      </c>
      <c r="Y8">
        <f t="shared" si="6"/>
        <v>0</v>
      </c>
      <c r="AA8" s="2" t="str" cm="1">
        <f t="array" ref="AA8">CONCATENATE("                  ""    ",Liste(A8:D8),IF(D9&lt;&gt;"",", \n""",""")"))</f>
        <v xml:space="preserve">                  "    (4, 'Freitag', 'Fr', 1), \n"</v>
      </c>
      <c r="AC8" s="2" t="str" cm="1">
        <f t="array" ref="AC8">CONCATENATE("                  ""    ",Liste(F8:I8),IF(I9&lt;&gt;"",", \n""",""")"))</f>
        <v xml:space="preserve">                  "    (5, 'Mai', 'Mai', 2), \n"</v>
      </c>
      <c r="AE8" s="2" t="str" cm="1">
        <f t="array" ref="AE8">CONCATENATE($AE$2,Liste(S8:U8),";")</f>
        <v>INSERT INTO WD_Workdays (CalendarDay, CalendarWeekday, CalendarWeek) VALUES ('2026-01-05', 0, 2);</v>
      </c>
      <c r="AF8" s="2"/>
      <c r="AG8" s="2" t="str" cm="1">
        <f t="array" ref="AG8">CONCATENATE($AG$2,Liste(L8:O8),";")</f>
        <v>INSERT INTO WD_Holidays (CalendarDay, Donation, Share) VALUES ('2021-04-05', 'Ostermontag', 100);</v>
      </c>
    </row>
    <row r="9" spans="1:33" x14ac:dyDescent="0.45">
      <c r="A9">
        <v>5</v>
      </c>
      <c r="B9" s="3" t="s">
        <v>555</v>
      </c>
      <c r="C9" s="3" t="s">
        <v>562</v>
      </c>
      <c r="D9">
        <v>0</v>
      </c>
      <c r="F9">
        <v>6</v>
      </c>
      <c r="G9" s="3" t="s">
        <v>569</v>
      </c>
      <c r="H9" s="3" t="s">
        <v>579</v>
      </c>
      <c r="I9">
        <v>2</v>
      </c>
      <c r="K9" s="10">
        <v>44317</v>
      </c>
      <c r="L9" t="str">
        <f t="shared" si="0"/>
        <v>'2021-05-01'</v>
      </c>
      <c r="M9" s="3" t="s">
        <v>606</v>
      </c>
      <c r="N9">
        <v>100</v>
      </c>
      <c r="R9" s="10">
        <f t="shared" si="7"/>
        <v>46028</v>
      </c>
      <c r="S9" t="str">
        <f t="shared" si="1"/>
        <v>'2026-01-06'</v>
      </c>
      <c r="T9">
        <f t="shared" si="8"/>
        <v>1</v>
      </c>
      <c r="U9">
        <f t="shared" si="2"/>
        <v>2</v>
      </c>
      <c r="V9">
        <f t="shared" si="3"/>
        <v>2026</v>
      </c>
      <c r="W9">
        <f t="shared" si="4"/>
        <v>1</v>
      </c>
      <c r="X9">
        <f t="shared" si="5"/>
        <v>6</v>
      </c>
      <c r="Y9">
        <f t="shared" si="6"/>
        <v>0</v>
      </c>
      <c r="AA9" s="2" t="str" cm="1">
        <f t="array" ref="AA9">CONCATENATE("                  ""    ",Liste(A9:D9),IF(D10&lt;&gt;"",", \n""",""")"))</f>
        <v xml:space="preserve">                  "    (5, 'Sonnabend', 'Sa', 0), \n"</v>
      </c>
      <c r="AC9" s="2" t="str" cm="1">
        <f t="array" ref="AC9">CONCATENATE("                  ""    ",Liste(F9:I9),IF(I10&lt;&gt;"",", \n""",""")"))</f>
        <v xml:space="preserve">                  "    (6, 'Juni', 'Jun', 2), \n"</v>
      </c>
      <c r="AE9" s="2" t="str" cm="1">
        <f t="array" ref="AE9">CONCATENATE($AE$2,Liste(S9:U9),";")</f>
        <v>INSERT INTO WD_Workdays (CalendarDay, CalendarWeekday, CalendarWeek) VALUES ('2026-01-06', 1, 2);</v>
      </c>
      <c r="AF9" s="2"/>
      <c r="AG9" s="2" t="str" cm="1">
        <f t="array" ref="AG9">CONCATENATE($AG$2,Liste(L9:O9),";")</f>
        <v>INSERT INTO WD_Holidays (CalendarDay, Donation, Share) VALUES ('2021-05-01', 'Tag der Arbeit', 100);</v>
      </c>
    </row>
    <row r="10" spans="1:33" x14ac:dyDescent="0.45">
      <c r="A10">
        <v>6</v>
      </c>
      <c r="B10" s="3" t="s">
        <v>556</v>
      </c>
      <c r="C10" s="3" t="s">
        <v>563</v>
      </c>
      <c r="D10">
        <v>0</v>
      </c>
      <c r="F10">
        <v>7</v>
      </c>
      <c r="G10" s="3" t="s">
        <v>570</v>
      </c>
      <c r="H10" s="3" t="s">
        <v>580</v>
      </c>
      <c r="I10">
        <v>3</v>
      </c>
      <c r="K10" s="10">
        <v>44329</v>
      </c>
      <c r="L10" t="str">
        <f t="shared" si="0"/>
        <v>'2021-05-13'</v>
      </c>
      <c r="M10" s="3" t="s">
        <v>607</v>
      </c>
      <c r="N10">
        <v>100</v>
      </c>
      <c r="R10" s="10">
        <f t="shared" si="7"/>
        <v>46029</v>
      </c>
      <c r="S10" t="str">
        <f t="shared" si="1"/>
        <v>'2026-01-07'</v>
      </c>
      <c r="T10">
        <f t="shared" si="8"/>
        <v>2</v>
      </c>
      <c r="U10">
        <f t="shared" si="2"/>
        <v>2</v>
      </c>
      <c r="V10">
        <f t="shared" si="3"/>
        <v>2026</v>
      </c>
      <c r="W10">
        <f t="shared" si="4"/>
        <v>1</v>
      </c>
      <c r="X10">
        <f t="shared" si="5"/>
        <v>7</v>
      </c>
      <c r="Y10">
        <f t="shared" si="6"/>
        <v>0</v>
      </c>
      <c r="AA10" s="2" t="str" cm="1">
        <f t="array" ref="AA10">CONCATENATE("                  ""    ",Liste(A10:D10),IF(D11&lt;&gt;"",", \n""",""")"))</f>
        <v xml:space="preserve">                  "    (6, 'Sonntag', 'So', 0)")</v>
      </c>
      <c r="AC10" s="2" t="str" cm="1">
        <f t="array" ref="AC10">CONCATENATE("                  ""    ",Liste(F10:I10),IF(I11&lt;&gt;"",", \n""",""")"))</f>
        <v xml:space="preserve">                  "    (7, 'Juli', 'Jul', 3), \n"</v>
      </c>
      <c r="AE10" s="2" t="str" cm="1">
        <f t="array" ref="AE10">CONCATENATE($AE$2,Liste(S10:U10),";")</f>
        <v>INSERT INTO WD_Workdays (CalendarDay, CalendarWeekday, CalendarWeek) VALUES ('2026-01-07', 2, 2);</v>
      </c>
      <c r="AF10" s="2"/>
      <c r="AG10" s="2" t="str" cm="1">
        <f t="array" ref="AG10">CONCATENATE($AG$2,Liste(L10:O10),";")</f>
        <v>INSERT INTO WD_Holidays (CalendarDay, Donation, Share) VALUES ('2021-05-13', 'Christi Himmelfahrt', 100);</v>
      </c>
    </row>
    <row r="11" spans="1:33" x14ac:dyDescent="0.45">
      <c r="F11">
        <v>8</v>
      </c>
      <c r="G11" s="3" t="s">
        <v>571</v>
      </c>
      <c r="H11" s="3" t="s">
        <v>581</v>
      </c>
      <c r="I11">
        <v>3</v>
      </c>
      <c r="K11" s="10">
        <v>44339</v>
      </c>
      <c r="L11" t="str">
        <f t="shared" si="0"/>
        <v>'2021-05-23'</v>
      </c>
      <c r="M11" s="3" t="s">
        <v>850</v>
      </c>
      <c r="N11">
        <v>100</v>
      </c>
      <c r="R11" s="10">
        <f t="shared" si="7"/>
        <v>46030</v>
      </c>
      <c r="S11" t="str">
        <f t="shared" si="1"/>
        <v>'2026-01-08'</v>
      </c>
      <c r="T11">
        <f t="shared" si="8"/>
        <v>3</v>
      </c>
      <c r="U11">
        <f t="shared" si="2"/>
        <v>2</v>
      </c>
      <c r="V11">
        <f t="shared" si="3"/>
        <v>2026</v>
      </c>
      <c r="W11">
        <f t="shared" si="4"/>
        <v>1</v>
      </c>
      <c r="X11">
        <f t="shared" si="5"/>
        <v>8</v>
      </c>
      <c r="Y11">
        <f t="shared" si="6"/>
        <v>0</v>
      </c>
      <c r="AC11" s="2" t="str" cm="1">
        <f t="array" ref="AC11">CONCATENATE("                  ""    ",Liste(F11:I11),IF(I12&lt;&gt;"",", \n""",""")"))</f>
        <v xml:space="preserve">                  "    (8, 'August', 'Aug', 3), \n"</v>
      </c>
      <c r="AE11" s="2" t="str" cm="1">
        <f t="array" ref="AE11">CONCATENATE($AE$2,Liste(S11:U11),";")</f>
        <v>INSERT INTO WD_Workdays (CalendarDay, CalendarWeekday, CalendarWeek) VALUES ('2026-01-08', 3, 2);</v>
      </c>
      <c r="AF11" s="2"/>
      <c r="AG11" s="2" t="str" cm="1">
        <f t="array" ref="AG11">CONCATENATE($AG$2,Liste(L11:O11),";")</f>
        <v>INSERT INTO WD_Holidays (CalendarDay, Donation, Share) VALUES ('2021-05-23', 'Pfingstsonntag', 100);</v>
      </c>
    </row>
    <row r="12" spans="1:33" x14ac:dyDescent="0.45">
      <c r="F12">
        <v>9</v>
      </c>
      <c r="G12" s="3" t="s">
        <v>572</v>
      </c>
      <c r="H12" s="3" t="s">
        <v>582</v>
      </c>
      <c r="I12">
        <v>3</v>
      </c>
      <c r="K12" s="10">
        <v>44340</v>
      </c>
      <c r="L12" t="str">
        <f t="shared" ref="L12:L18" si="9">CONCATENATE("'",TEXT(K12,"jjjj-MM-tt"),"'")</f>
        <v>'2021-05-24'</v>
      </c>
      <c r="M12" s="3" t="s">
        <v>608</v>
      </c>
      <c r="N12">
        <v>100</v>
      </c>
      <c r="R12" s="10">
        <f t="shared" si="7"/>
        <v>46031</v>
      </c>
      <c r="S12" t="str">
        <f t="shared" si="1"/>
        <v>'2026-01-09'</v>
      </c>
      <c r="T12">
        <f t="shared" si="8"/>
        <v>4</v>
      </c>
      <c r="U12">
        <f t="shared" si="2"/>
        <v>2</v>
      </c>
      <c r="V12">
        <f t="shared" si="3"/>
        <v>2026</v>
      </c>
      <c r="W12">
        <f t="shared" si="4"/>
        <v>1</v>
      </c>
      <c r="X12">
        <f t="shared" si="5"/>
        <v>9</v>
      </c>
      <c r="Y12">
        <f t="shared" si="6"/>
        <v>0</v>
      </c>
      <c r="AC12" s="2" t="str" cm="1">
        <f t="array" ref="AC12">CONCATENATE("                  ""    ",Liste(F12:I12),IF(I13&lt;&gt;"",", \n""",""")"))</f>
        <v xml:space="preserve">                  "    (9, 'September', 'Sep', 3), \n"</v>
      </c>
      <c r="AE12" s="2" t="str" cm="1">
        <f t="array" ref="AE12">CONCATENATE($AE$2,Liste(S12:U12),";")</f>
        <v>INSERT INTO WD_Workdays (CalendarDay, CalendarWeekday, CalendarWeek) VALUES ('2026-01-09', 4, 2);</v>
      </c>
      <c r="AF12" s="2"/>
      <c r="AG12" s="2" t="str" cm="1">
        <f t="array" ref="AG12">CONCATENATE($AG$2,Liste(L12:O12),";")</f>
        <v>INSERT INTO WD_Holidays (CalendarDay, Donation, Share) VALUES ('2021-05-24', 'Pfingstmontag', 100);</v>
      </c>
    </row>
    <row r="13" spans="1:33" x14ac:dyDescent="0.45">
      <c r="F13">
        <v>10</v>
      </c>
      <c r="G13" s="3" t="s">
        <v>573</v>
      </c>
      <c r="H13" s="3" t="s">
        <v>583</v>
      </c>
      <c r="I13">
        <v>4</v>
      </c>
      <c r="K13" s="10">
        <v>44472</v>
      </c>
      <c r="L13" t="str">
        <f t="shared" si="9"/>
        <v>'2021-10-03'</v>
      </c>
      <c r="M13" s="3" t="s">
        <v>609</v>
      </c>
      <c r="N13">
        <v>100</v>
      </c>
      <c r="R13" s="10">
        <f t="shared" si="7"/>
        <v>46032</v>
      </c>
      <c r="S13" t="str">
        <f t="shared" si="1"/>
        <v>'2026-01-10'</v>
      </c>
      <c r="T13">
        <f t="shared" si="8"/>
        <v>5</v>
      </c>
      <c r="U13">
        <f t="shared" si="2"/>
        <v>2</v>
      </c>
      <c r="V13">
        <f t="shared" si="3"/>
        <v>2026</v>
      </c>
      <c r="W13">
        <f t="shared" si="4"/>
        <v>1</v>
      </c>
      <c r="X13">
        <f t="shared" si="5"/>
        <v>10</v>
      </c>
      <c r="Y13">
        <f t="shared" si="6"/>
        <v>0</v>
      </c>
      <c r="AC13" s="2" t="str" cm="1">
        <f t="array" ref="AC13">CONCATENATE("                  ""    ",Liste(F13:I13),IF(I14&lt;&gt;"",", \n""",""")"))</f>
        <v xml:space="preserve">                  "    (10, 'Oktober', 'Okt', 4), \n"</v>
      </c>
      <c r="AE13" s="2" t="str" cm="1">
        <f t="array" ref="AE13">CONCATENATE($AE$2,Liste(S13:U13),";")</f>
        <v>INSERT INTO WD_Workdays (CalendarDay, CalendarWeekday, CalendarWeek) VALUES ('2026-01-10', 5, 2);</v>
      </c>
      <c r="AF13" s="2"/>
      <c r="AG13" s="2" t="str" cm="1">
        <f t="array" ref="AG13">CONCATENATE($AG$2,Liste(L13:O13),";")</f>
        <v>INSERT INTO WD_Holidays (CalendarDay, Donation, Share) VALUES ('2021-10-03', 'Tag der Deutschen Einheit', 100);</v>
      </c>
    </row>
    <row r="14" spans="1:33" x14ac:dyDescent="0.45">
      <c r="F14">
        <v>11</v>
      </c>
      <c r="G14" s="3" t="s">
        <v>574</v>
      </c>
      <c r="H14" s="3" t="s">
        <v>584</v>
      </c>
      <c r="I14">
        <v>4</v>
      </c>
      <c r="K14" s="10">
        <v>44554</v>
      </c>
      <c r="L14" t="str">
        <f t="shared" si="9"/>
        <v>'2021-12-24'</v>
      </c>
      <c r="M14" s="3" t="s">
        <v>610</v>
      </c>
      <c r="N14">
        <v>50</v>
      </c>
      <c r="R14" s="10">
        <f t="shared" si="7"/>
        <v>46033</v>
      </c>
      <c r="S14" t="str">
        <f t="shared" si="1"/>
        <v>'2026-01-11'</v>
      </c>
      <c r="T14">
        <f t="shared" si="8"/>
        <v>6</v>
      </c>
      <c r="U14">
        <f t="shared" si="2"/>
        <v>2</v>
      </c>
      <c r="V14">
        <f t="shared" si="3"/>
        <v>2026</v>
      </c>
      <c r="W14">
        <f t="shared" si="4"/>
        <v>1</v>
      </c>
      <c r="X14">
        <f t="shared" si="5"/>
        <v>11</v>
      </c>
      <c r="Y14">
        <f t="shared" si="6"/>
        <v>0</v>
      </c>
      <c r="AA14" s="2"/>
      <c r="AC14" s="2" t="str" cm="1">
        <f t="array" ref="AC14">CONCATENATE("                  ""    ",Liste(F14:I14),IF(I15&lt;&gt;"",", \n""",""")"))</f>
        <v xml:space="preserve">                  "    (11, 'November', 'Nov', 4), \n"</v>
      </c>
      <c r="AE14" s="2" t="str" cm="1">
        <f t="array" ref="AE14">CONCATENATE($AE$2,Liste(S14:U14),";")</f>
        <v>INSERT INTO WD_Workdays (CalendarDay, CalendarWeekday, CalendarWeek) VALUES ('2026-01-11', 6, 2);</v>
      </c>
      <c r="AF14" s="2"/>
      <c r="AG14" s="2" t="str" cm="1">
        <f t="array" ref="AG14">CONCATENATE($AG$2,Liste(L14:O14),";")</f>
        <v>INSERT INTO WD_Holidays (CalendarDay, Donation, Share) VALUES ('2021-12-24', 'Heiligabend', 50);</v>
      </c>
    </row>
    <row r="15" spans="1:33" x14ac:dyDescent="0.45">
      <c r="F15">
        <v>12</v>
      </c>
      <c r="G15" s="3" t="s">
        <v>575</v>
      </c>
      <c r="H15" s="3" t="s">
        <v>585</v>
      </c>
      <c r="I15">
        <v>4</v>
      </c>
      <c r="K15" s="10">
        <v>44555</v>
      </c>
      <c r="L15" t="str">
        <f t="shared" si="9"/>
        <v>'2021-12-25'</v>
      </c>
      <c r="M15" s="3" t="s">
        <v>611</v>
      </c>
      <c r="N15">
        <v>100</v>
      </c>
      <c r="R15" s="10">
        <f t="shared" si="7"/>
        <v>46034</v>
      </c>
      <c r="S15" t="str">
        <f t="shared" si="1"/>
        <v>'2026-01-12'</v>
      </c>
      <c r="T15">
        <f t="shared" si="8"/>
        <v>0</v>
      </c>
      <c r="U15">
        <f t="shared" si="2"/>
        <v>3</v>
      </c>
      <c r="V15">
        <f t="shared" si="3"/>
        <v>2026</v>
      </c>
      <c r="W15">
        <f t="shared" si="4"/>
        <v>1</v>
      </c>
      <c r="X15">
        <f t="shared" si="5"/>
        <v>12</v>
      </c>
      <c r="Y15">
        <f t="shared" si="6"/>
        <v>0</v>
      </c>
      <c r="AC15" s="2" t="str" cm="1">
        <f t="array" ref="AC15">CONCATENATE("                  ""    ",Liste(F15:I15),IF(I16&lt;&gt;"",", \n""",""")"))</f>
        <v xml:space="preserve">                  "    (12, 'Dezember', 'Dez', 4)")</v>
      </c>
      <c r="AE15" s="2" t="str" cm="1">
        <f t="array" ref="AE15">CONCATENATE($AE$2,Liste(S15:U15),";")</f>
        <v>INSERT INTO WD_Workdays (CalendarDay, CalendarWeekday, CalendarWeek) VALUES ('2026-01-12', 0, 3);</v>
      </c>
      <c r="AF15" s="2"/>
      <c r="AG15" s="2" t="str" cm="1">
        <f t="array" ref="AG15">CONCATENATE($AG$2,Liste(L15:O15),";")</f>
        <v>INSERT INTO WD_Holidays (CalendarDay, Donation, Share) VALUES ('2021-12-25', '1. Weihnachtsfeiertag', 100);</v>
      </c>
    </row>
    <row r="16" spans="1:33" x14ac:dyDescent="0.45">
      <c r="K16" s="10">
        <v>44556</v>
      </c>
      <c r="L16" t="str">
        <f t="shared" si="9"/>
        <v>'2021-12-26'</v>
      </c>
      <c r="M16" s="3" t="s">
        <v>612</v>
      </c>
      <c r="N16">
        <v>100</v>
      </c>
      <c r="R16" s="10">
        <f t="shared" si="7"/>
        <v>46035</v>
      </c>
      <c r="S16" t="str">
        <f t="shared" si="1"/>
        <v>'2026-01-13'</v>
      </c>
      <c r="T16">
        <f t="shared" si="8"/>
        <v>1</v>
      </c>
      <c r="U16">
        <f t="shared" si="2"/>
        <v>3</v>
      </c>
      <c r="V16">
        <f t="shared" si="3"/>
        <v>2026</v>
      </c>
      <c r="W16">
        <f t="shared" si="4"/>
        <v>1</v>
      </c>
      <c r="X16">
        <f t="shared" si="5"/>
        <v>13</v>
      </c>
      <c r="Y16">
        <f t="shared" si="6"/>
        <v>0</v>
      </c>
      <c r="AE16" s="2" t="str" cm="1">
        <f t="array" ref="AE16">CONCATENATE($AE$2,Liste(S16:U16),";")</f>
        <v>INSERT INTO WD_Workdays (CalendarDay, CalendarWeekday, CalendarWeek) VALUES ('2026-01-13', 1, 3);</v>
      </c>
      <c r="AF16" s="2"/>
      <c r="AG16" s="2" t="str" cm="1">
        <f t="array" ref="AG16">CONCATENATE($AG$2,Liste(L16:O16),";")</f>
        <v>INSERT INTO WD_Holidays (CalendarDay, Donation, Share) VALUES ('2021-12-26', '2. Weihnachtsfeiertag', 100);</v>
      </c>
    </row>
    <row r="17" spans="11:33" x14ac:dyDescent="0.45">
      <c r="K17" s="10">
        <v>44561</v>
      </c>
      <c r="L17" t="str">
        <f t="shared" si="9"/>
        <v>'2021-12-31'</v>
      </c>
      <c r="M17" s="3" t="s">
        <v>613</v>
      </c>
      <c r="N17">
        <v>50</v>
      </c>
      <c r="R17" s="10">
        <f t="shared" si="7"/>
        <v>46036</v>
      </c>
      <c r="S17" t="str">
        <f t="shared" si="1"/>
        <v>'2026-01-14'</v>
      </c>
      <c r="T17">
        <f t="shared" si="8"/>
        <v>2</v>
      </c>
      <c r="U17">
        <f t="shared" si="2"/>
        <v>3</v>
      </c>
      <c r="V17">
        <f t="shared" si="3"/>
        <v>2026</v>
      </c>
      <c r="W17">
        <f t="shared" si="4"/>
        <v>1</v>
      </c>
      <c r="X17">
        <f t="shared" si="5"/>
        <v>14</v>
      </c>
      <c r="Y17">
        <f t="shared" si="6"/>
        <v>0</v>
      </c>
      <c r="AE17" s="2" t="str" cm="1">
        <f t="array" ref="AE17">CONCATENATE($AE$2,Liste(S17:U17),";")</f>
        <v>INSERT INTO WD_Workdays (CalendarDay, CalendarWeekday, CalendarWeek) VALUES ('2026-01-14', 2, 3);</v>
      </c>
      <c r="AF17" s="2"/>
      <c r="AG17" s="2" t="str" cm="1">
        <f t="array" ref="AG17">CONCATENATE($AG$2,Liste(L17:O17),";")</f>
        <v>INSERT INTO WD_Holidays (CalendarDay, Donation, Share) VALUES ('2021-12-31', 'Silvester', 50);</v>
      </c>
    </row>
    <row r="18" spans="11:33" x14ac:dyDescent="0.45">
      <c r="K18" s="10">
        <v>44562</v>
      </c>
      <c r="L18" t="str">
        <f t="shared" si="9"/>
        <v>'2022-01-01'</v>
      </c>
      <c r="M18" s="3" t="s">
        <v>529</v>
      </c>
      <c r="N18">
        <v>100</v>
      </c>
      <c r="R18" s="10">
        <f t="shared" si="7"/>
        <v>46037</v>
      </c>
      <c r="S18" t="str">
        <f t="shared" si="1"/>
        <v>'2026-01-15'</v>
      </c>
      <c r="T18">
        <f t="shared" si="8"/>
        <v>3</v>
      </c>
      <c r="U18">
        <f t="shared" si="2"/>
        <v>3</v>
      </c>
      <c r="V18">
        <f t="shared" si="3"/>
        <v>2026</v>
      </c>
      <c r="W18">
        <f t="shared" si="4"/>
        <v>1</v>
      </c>
      <c r="X18">
        <f t="shared" si="5"/>
        <v>15</v>
      </c>
      <c r="Y18">
        <f t="shared" si="6"/>
        <v>0</v>
      </c>
      <c r="AE18" s="2" t="str" cm="1">
        <f t="array" ref="AE18">CONCATENATE($AE$2,Liste(S18:U18),";")</f>
        <v>INSERT INTO WD_Workdays (CalendarDay, CalendarWeekday, CalendarWeek) VALUES ('2026-01-15', 3, 3);</v>
      </c>
      <c r="AF18" s="2"/>
      <c r="AG18" s="2" t="str" cm="1">
        <f t="array" ref="AG18">CONCATENATE($AG$2,Liste(L18:O18),";")</f>
        <v>INSERT INTO WD_Holidays (CalendarDay, Donation, Share) VALUES ('2022-01-01', 'Neujahr', 100);</v>
      </c>
    </row>
    <row r="19" spans="11:33" x14ac:dyDescent="0.45">
      <c r="K19" s="10">
        <v>44628</v>
      </c>
      <c r="L19" t="str">
        <f t="shared" ref="L19:L25" si="10">CONCATENATE("'",TEXT(K19,"jjjj-MM-tt"),"'")</f>
        <v>'2022-03-08'</v>
      </c>
      <c r="M19" s="3" t="s">
        <v>602</v>
      </c>
      <c r="N19">
        <v>100</v>
      </c>
      <c r="R19" s="10">
        <f t="shared" si="7"/>
        <v>46038</v>
      </c>
      <c r="S19" t="str">
        <f t="shared" si="1"/>
        <v>'2026-01-16'</v>
      </c>
      <c r="T19">
        <f t="shared" si="8"/>
        <v>4</v>
      </c>
      <c r="U19">
        <f t="shared" si="2"/>
        <v>3</v>
      </c>
      <c r="V19">
        <f t="shared" si="3"/>
        <v>2026</v>
      </c>
      <c r="W19">
        <f t="shared" si="4"/>
        <v>1</v>
      </c>
      <c r="X19">
        <f t="shared" si="5"/>
        <v>16</v>
      </c>
      <c r="Y19">
        <f t="shared" si="6"/>
        <v>0</v>
      </c>
      <c r="AE19" s="2" t="str" cm="1">
        <f t="array" ref="AE19">CONCATENATE($AE$2,Liste(S19:U19),";")</f>
        <v>INSERT INTO WD_Workdays (CalendarDay, CalendarWeekday, CalendarWeek) VALUES ('2026-01-16', 4, 3);</v>
      </c>
      <c r="AF19" s="2"/>
      <c r="AG19" s="2" t="str" cm="1">
        <f t="array" ref="AG19">CONCATENATE($AG$2,Liste(L19:O19),";")</f>
        <v>INSERT INTO WD_Holidays (CalendarDay, Donation, Share) VALUES ('2022-03-08', 'Internationaler Frauentag', 100);</v>
      </c>
    </row>
    <row r="20" spans="11:33" x14ac:dyDescent="0.45">
      <c r="K20" s="10">
        <v>44666</v>
      </c>
      <c r="L20" t="str">
        <f t="shared" si="10"/>
        <v>'2022-04-15'</v>
      </c>
      <c r="M20" s="3" t="s">
        <v>603</v>
      </c>
      <c r="N20">
        <v>100</v>
      </c>
      <c r="R20" s="10">
        <f t="shared" si="7"/>
        <v>46039</v>
      </c>
      <c r="S20" t="str">
        <f t="shared" si="1"/>
        <v>'2026-01-17'</v>
      </c>
      <c r="T20">
        <f t="shared" si="8"/>
        <v>5</v>
      </c>
      <c r="U20">
        <f t="shared" si="2"/>
        <v>3</v>
      </c>
      <c r="V20">
        <f t="shared" si="3"/>
        <v>2026</v>
      </c>
      <c r="W20">
        <f t="shared" si="4"/>
        <v>1</v>
      </c>
      <c r="X20">
        <f t="shared" si="5"/>
        <v>17</v>
      </c>
      <c r="Y20">
        <f t="shared" si="6"/>
        <v>0</v>
      </c>
      <c r="AE20" s="2" t="str" cm="1">
        <f t="array" ref="AE20">CONCATENATE($AE$2,Liste(S20:U20),";")</f>
        <v>INSERT INTO WD_Workdays (CalendarDay, CalendarWeekday, CalendarWeek) VALUES ('2026-01-17', 5, 3);</v>
      </c>
      <c r="AF20" s="2"/>
      <c r="AG20" s="2" t="str" cm="1">
        <f t="array" ref="AG20">CONCATENATE($AG$2,Liste(L20:O20),";")</f>
        <v>INSERT INTO WD_Holidays (CalendarDay, Donation, Share) VALUES ('2022-04-15', 'Karfreitag', 100);</v>
      </c>
    </row>
    <row r="21" spans="11:33" x14ac:dyDescent="0.45">
      <c r="K21" s="10">
        <v>44668</v>
      </c>
      <c r="L21" t="str">
        <f t="shared" si="10"/>
        <v>'2022-04-17'</v>
      </c>
      <c r="M21" s="3" t="s">
        <v>604</v>
      </c>
      <c r="N21">
        <v>100</v>
      </c>
      <c r="R21" s="10">
        <f t="shared" si="7"/>
        <v>46040</v>
      </c>
      <c r="S21" t="str">
        <f t="shared" si="1"/>
        <v>'2026-01-18'</v>
      </c>
      <c r="T21">
        <f t="shared" si="8"/>
        <v>6</v>
      </c>
      <c r="U21">
        <f t="shared" si="2"/>
        <v>3</v>
      </c>
      <c r="V21">
        <f t="shared" si="3"/>
        <v>2026</v>
      </c>
      <c r="W21">
        <f t="shared" si="4"/>
        <v>1</v>
      </c>
      <c r="X21">
        <f t="shared" si="5"/>
        <v>18</v>
      </c>
      <c r="Y21">
        <f t="shared" si="6"/>
        <v>0</v>
      </c>
      <c r="AE21" s="2" t="str" cm="1">
        <f t="array" ref="AE21">CONCATENATE($AE$2,Liste(S21:U21),";")</f>
        <v>INSERT INTO WD_Workdays (CalendarDay, CalendarWeekday, CalendarWeek) VALUES ('2026-01-18', 6, 3);</v>
      </c>
      <c r="AF21" s="2"/>
      <c r="AG21" s="2" t="str" cm="1">
        <f t="array" ref="AG21">CONCATENATE($AG$2,Liste(L21:O21),";")</f>
        <v>INSERT INTO WD_Holidays (CalendarDay, Donation, Share) VALUES ('2022-04-17', 'Ostersonntag', 100);</v>
      </c>
    </row>
    <row r="22" spans="11:33" x14ac:dyDescent="0.45">
      <c r="K22" s="10">
        <v>44669</v>
      </c>
      <c r="L22" t="str">
        <f t="shared" si="10"/>
        <v>'2022-04-18'</v>
      </c>
      <c r="M22" s="3" t="s">
        <v>605</v>
      </c>
      <c r="N22">
        <v>100</v>
      </c>
      <c r="R22" s="10">
        <f t="shared" si="7"/>
        <v>46041</v>
      </c>
      <c r="S22" t="str">
        <f t="shared" si="1"/>
        <v>'2026-01-19'</v>
      </c>
      <c r="T22">
        <f t="shared" si="8"/>
        <v>0</v>
      </c>
      <c r="U22">
        <f t="shared" si="2"/>
        <v>4</v>
      </c>
      <c r="V22">
        <f t="shared" si="3"/>
        <v>2026</v>
      </c>
      <c r="W22">
        <f t="shared" si="4"/>
        <v>1</v>
      </c>
      <c r="X22">
        <f t="shared" si="5"/>
        <v>19</v>
      </c>
      <c r="Y22">
        <f t="shared" si="6"/>
        <v>0</v>
      </c>
      <c r="AE22" s="2" t="str" cm="1">
        <f t="array" ref="AE22">CONCATENATE($AE$2,Liste(S22:U22),";")</f>
        <v>INSERT INTO WD_Workdays (CalendarDay, CalendarWeekday, CalendarWeek) VALUES ('2026-01-19', 0, 4);</v>
      </c>
      <c r="AF22" s="2"/>
      <c r="AG22" s="2" t="str" cm="1">
        <f t="array" ref="AG22">CONCATENATE($AG$2,Liste(L22:O22),";")</f>
        <v>INSERT INTO WD_Holidays (CalendarDay, Donation, Share) VALUES ('2022-04-18', 'Ostermontag', 100);</v>
      </c>
    </row>
    <row r="23" spans="11:33" x14ac:dyDescent="0.45">
      <c r="K23" s="10">
        <v>44682</v>
      </c>
      <c r="L23" t="str">
        <f t="shared" si="10"/>
        <v>'2022-05-01'</v>
      </c>
      <c r="M23" s="3" t="s">
        <v>606</v>
      </c>
      <c r="N23">
        <v>100</v>
      </c>
      <c r="R23" s="10">
        <f t="shared" si="7"/>
        <v>46042</v>
      </c>
      <c r="S23" t="str">
        <f t="shared" si="1"/>
        <v>'2026-01-20'</v>
      </c>
      <c r="T23">
        <f t="shared" si="8"/>
        <v>1</v>
      </c>
      <c r="U23">
        <f t="shared" si="2"/>
        <v>4</v>
      </c>
      <c r="V23">
        <f t="shared" si="3"/>
        <v>2026</v>
      </c>
      <c r="W23">
        <f t="shared" si="4"/>
        <v>1</v>
      </c>
      <c r="X23">
        <f t="shared" si="5"/>
        <v>20</v>
      </c>
      <c r="Y23">
        <f t="shared" si="6"/>
        <v>0</v>
      </c>
      <c r="AE23" s="2" t="str" cm="1">
        <f t="array" ref="AE23">CONCATENATE($AE$2,Liste(S23:U23),";")</f>
        <v>INSERT INTO WD_Workdays (CalendarDay, CalendarWeekday, CalendarWeek) VALUES ('2026-01-20', 1, 4);</v>
      </c>
      <c r="AF23" s="2"/>
      <c r="AG23" s="2" t="str" cm="1">
        <f t="array" ref="AG23">CONCATENATE($AG$2,Liste(L23:O23),";")</f>
        <v>INSERT INTO WD_Holidays (CalendarDay, Donation, Share) VALUES ('2022-05-01', 'Tag der Arbeit', 100);</v>
      </c>
    </row>
    <row r="24" spans="11:33" x14ac:dyDescent="0.45">
      <c r="K24" s="10">
        <v>44707</v>
      </c>
      <c r="L24" t="str">
        <f t="shared" si="10"/>
        <v>'2022-05-26'</v>
      </c>
      <c r="M24" s="3" t="s">
        <v>607</v>
      </c>
      <c r="N24">
        <v>100</v>
      </c>
      <c r="R24" s="10">
        <f t="shared" si="7"/>
        <v>46043</v>
      </c>
      <c r="S24" t="str">
        <f t="shared" si="1"/>
        <v>'2026-01-21'</v>
      </c>
      <c r="T24">
        <f t="shared" si="8"/>
        <v>2</v>
      </c>
      <c r="U24">
        <f t="shared" si="2"/>
        <v>4</v>
      </c>
      <c r="V24">
        <f t="shared" si="3"/>
        <v>2026</v>
      </c>
      <c r="W24">
        <f t="shared" si="4"/>
        <v>1</v>
      </c>
      <c r="X24">
        <f t="shared" si="5"/>
        <v>21</v>
      </c>
      <c r="Y24">
        <f t="shared" si="6"/>
        <v>0</v>
      </c>
      <c r="AE24" s="2" t="str" cm="1">
        <f t="array" ref="AE24">CONCATENATE($AE$2,Liste(S24:U24),";")</f>
        <v>INSERT INTO WD_Workdays (CalendarDay, CalendarWeekday, CalendarWeek) VALUES ('2026-01-21', 2, 4);</v>
      </c>
      <c r="AF24" s="2"/>
      <c r="AG24" s="2" t="str" cm="1">
        <f t="array" ref="AG24">CONCATENATE($AG$2,Liste(L24:O24),";")</f>
        <v>INSERT INTO WD_Holidays (CalendarDay, Donation, Share) VALUES ('2022-05-26', 'Christi Himmelfahrt', 100);</v>
      </c>
    </row>
    <row r="25" spans="11:33" x14ac:dyDescent="0.45">
      <c r="K25" s="10">
        <v>44717</v>
      </c>
      <c r="L25" t="str">
        <f t="shared" si="10"/>
        <v>'2022-06-05'</v>
      </c>
      <c r="M25" s="3" t="s">
        <v>850</v>
      </c>
      <c r="N25">
        <v>100</v>
      </c>
      <c r="R25" s="10">
        <f t="shared" si="7"/>
        <v>46044</v>
      </c>
      <c r="S25" t="str">
        <f t="shared" si="1"/>
        <v>'2026-01-22'</v>
      </c>
      <c r="T25">
        <f t="shared" si="8"/>
        <v>3</v>
      </c>
      <c r="U25">
        <f t="shared" si="2"/>
        <v>4</v>
      </c>
      <c r="V25">
        <f t="shared" si="3"/>
        <v>2026</v>
      </c>
      <c r="W25">
        <f t="shared" si="4"/>
        <v>1</v>
      </c>
      <c r="X25">
        <f t="shared" si="5"/>
        <v>22</v>
      </c>
      <c r="Y25">
        <f t="shared" si="6"/>
        <v>0</v>
      </c>
      <c r="AE25" s="2" t="str" cm="1">
        <f t="array" ref="AE25">CONCATENATE($AE$2,Liste(S25:U25),";")</f>
        <v>INSERT INTO WD_Workdays (CalendarDay, CalendarWeekday, CalendarWeek) VALUES ('2026-01-22', 3, 4);</v>
      </c>
      <c r="AF25" s="2"/>
      <c r="AG25" s="2" t="str" cm="1">
        <f t="array" ref="AG25">CONCATENATE($AG$2,Liste(L25:O25),";")</f>
        <v>INSERT INTO WD_Holidays (CalendarDay, Donation, Share) VALUES ('2022-06-05', 'Pfingstsonntag', 100);</v>
      </c>
    </row>
    <row r="26" spans="11:33" x14ac:dyDescent="0.45">
      <c r="K26" s="10">
        <v>44718</v>
      </c>
      <c r="L26" t="str">
        <f t="shared" ref="L26:L32" si="11">CONCATENATE("'",TEXT(K26,"jjjj-MM-tt"),"'")</f>
        <v>'2022-06-06'</v>
      </c>
      <c r="M26" s="3" t="s">
        <v>608</v>
      </c>
      <c r="N26">
        <v>100</v>
      </c>
      <c r="R26" s="10">
        <f t="shared" si="7"/>
        <v>46045</v>
      </c>
      <c r="S26" t="str">
        <f t="shared" si="1"/>
        <v>'2026-01-23'</v>
      </c>
      <c r="T26">
        <f t="shared" si="8"/>
        <v>4</v>
      </c>
      <c r="U26">
        <f t="shared" si="2"/>
        <v>4</v>
      </c>
      <c r="V26">
        <f t="shared" si="3"/>
        <v>2026</v>
      </c>
      <c r="W26">
        <f t="shared" si="4"/>
        <v>1</v>
      </c>
      <c r="X26">
        <f t="shared" si="5"/>
        <v>23</v>
      </c>
      <c r="Y26">
        <f t="shared" si="6"/>
        <v>0</v>
      </c>
      <c r="AE26" s="2" t="str" cm="1">
        <f t="array" ref="AE26">CONCATENATE($AE$2,Liste(S26:U26),";")</f>
        <v>INSERT INTO WD_Workdays (CalendarDay, CalendarWeekday, CalendarWeek) VALUES ('2026-01-23', 4, 4);</v>
      </c>
      <c r="AF26" s="2"/>
      <c r="AG26" s="2" t="str" cm="1">
        <f t="array" ref="AG26">CONCATENATE($AG$2,Liste(L26:O26),";")</f>
        <v>INSERT INTO WD_Holidays (CalendarDay, Donation, Share) VALUES ('2022-06-06', 'Pfingstmontag', 100);</v>
      </c>
    </row>
    <row r="27" spans="11:33" x14ac:dyDescent="0.45">
      <c r="K27" s="10">
        <v>44837</v>
      </c>
      <c r="L27" t="str">
        <f t="shared" si="11"/>
        <v>'2022-10-03'</v>
      </c>
      <c r="M27" s="3" t="s">
        <v>609</v>
      </c>
      <c r="N27">
        <v>100</v>
      </c>
      <c r="R27" s="10">
        <f t="shared" si="7"/>
        <v>46046</v>
      </c>
      <c r="S27" t="str">
        <f t="shared" si="1"/>
        <v>'2026-01-24'</v>
      </c>
      <c r="T27">
        <f t="shared" si="8"/>
        <v>5</v>
      </c>
      <c r="U27">
        <f t="shared" si="2"/>
        <v>4</v>
      </c>
      <c r="V27">
        <f t="shared" si="3"/>
        <v>2026</v>
      </c>
      <c r="W27">
        <f t="shared" si="4"/>
        <v>1</v>
      </c>
      <c r="X27">
        <f t="shared" si="5"/>
        <v>24</v>
      </c>
      <c r="Y27">
        <f t="shared" si="6"/>
        <v>0</v>
      </c>
      <c r="AE27" s="2" t="str" cm="1">
        <f t="array" ref="AE27">CONCATENATE($AE$2,Liste(S27:U27),";")</f>
        <v>INSERT INTO WD_Workdays (CalendarDay, CalendarWeekday, CalendarWeek) VALUES ('2026-01-24', 5, 4);</v>
      </c>
      <c r="AF27" s="2"/>
      <c r="AG27" s="2" t="str" cm="1">
        <f t="array" ref="AG27">CONCATENATE($AG$2,Liste(L27:O27),";")</f>
        <v>INSERT INTO WD_Holidays (CalendarDay, Donation, Share) VALUES ('2022-10-03', 'Tag der Deutschen Einheit', 100);</v>
      </c>
    </row>
    <row r="28" spans="11:33" x14ac:dyDescent="0.45">
      <c r="K28" s="10">
        <v>44919</v>
      </c>
      <c r="L28" t="str">
        <f t="shared" si="11"/>
        <v>'2022-12-24'</v>
      </c>
      <c r="M28" s="3" t="s">
        <v>610</v>
      </c>
      <c r="N28">
        <v>50</v>
      </c>
      <c r="R28" s="10">
        <f t="shared" si="7"/>
        <v>46047</v>
      </c>
      <c r="S28" t="str">
        <f t="shared" si="1"/>
        <v>'2026-01-25'</v>
      </c>
      <c r="T28">
        <f t="shared" si="8"/>
        <v>6</v>
      </c>
      <c r="U28">
        <f t="shared" si="2"/>
        <v>4</v>
      </c>
      <c r="V28">
        <f t="shared" si="3"/>
        <v>2026</v>
      </c>
      <c r="W28">
        <f t="shared" si="4"/>
        <v>1</v>
      </c>
      <c r="X28">
        <f t="shared" si="5"/>
        <v>25</v>
      </c>
      <c r="Y28">
        <f t="shared" si="6"/>
        <v>0</v>
      </c>
      <c r="AE28" s="2" t="str" cm="1">
        <f t="array" ref="AE28">CONCATENATE($AE$2,Liste(S28:U28),";")</f>
        <v>INSERT INTO WD_Workdays (CalendarDay, CalendarWeekday, CalendarWeek) VALUES ('2026-01-25', 6, 4);</v>
      </c>
      <c r="AF28" s="2"/>
      <c r="AG28" s="2" t="str" cm="1">
        <f t="array" ref="AG28">CONCATENATE($AG$2,Liste(L28:O28),";")</f>
        <v>INSERT INTO WD_Holidays (CalendarDay, Donation, Share) VALUES ('2022-12-24', 'Heiligabend', 50);</v>
      </c>
    </row>
    <row r="29" spans="11:33" x14ac:dyDescent="0.45">
      <c r="K29" s="10">
        <v>44920</v>
      </c>
      <c r="L29" t="str">
        <f t="shared" si="11"/>
        <v>'2022-12-25'</v>
      </c>
      <c r="M29" s="3" t="s">
        <v>611</v>
      </c>
      <c r="N29">
        <v>100</v>
      </c>
      <c r="R29" s="10">
        <f t="shared" si="7"/>
        <v>46048</v>
      </c>
      <c r="S29" t="str">
        <f t="shared" si="1"/>
        <v>'2026-01-26'</v>
      </c>
      <c r="T29">
        <f t="shared" si="8"/>
        <v>0</v>
      </c>
      <c r="U29">
        <f t="shared" si="2"/>
        <v>5</v>
      </c>
      <c r="V29">
        <f t="shared" si="3"/>
        <v>2026</v>
      </c>
      <c r="W29">
        <f t="shared" si="4"/>
        <v>1</v>
      </c>
      <c r="X29">
        <f t="shared" si="5"/>
        <v>26</v>
      </c>
      <c r="Y29">
        <f t="shared" si="6"/>
        <v>0</v>
      </c>
      <c r="AE29" s="2" t="str" cm="1">
        <f t="array" ref="AE29">CONCATENATE($AE$2,Liste(S29:U29),";")</f>
        <v>INSERT INTO WD_Workdays (CalendarDay, CalendarWeekday, CalendarWeek) VALUES ('2026-01-26', 0, 5);</v>
      </c>
      <c r="AF29" s="2"/>
      <c r="AG29" s="2" t="str" cm="1">
        <f t="array" ref="AG29">CONCATENATE($AG$2,Liste(L29:O29),";")</f>
        <v>INSERT INTO WD_Holidays (CalendarDay, Donation, Share) VALUES ('2022-12-25', '1. Weihnachtsfeiertag', 100);</v>
      </c>
    </row>
    <row r="30" spans="11:33" x14ac:dyDescent="0.45">
      <c r="K30" s="10">
        <v>44921</v>
      </c>
      <c r="L30" t="str">
        <f t="shared" si="11"/>
        <v>'2022-12-26'</v>
      </c>
      <c r="M30" s="3" t="s">
        <v>612</v>
      </c>
      <c r="N30">
        <v>100</v>
      </c>
      <c r="R30" s="10">
        <f t="shared" si="7"/>
        <v>46049</v>
      </c>
      <c r="S30" t="str">
        <f t="shared" si="1"/>
        <v>'2026-01-27'</v>
      </c>
      <c r="T30">
        <f t="shared" si="8"/>
        <v>1</v>
      </c>
      <c r="U30">
        <f t="shared" si="2"/>
        <v>5</v>
      </c>
      <c r="V30">
        <f t="shared" si="3"/>
        <v>2026</v>
      </c>
      <c r="W30">
        <f t="shared" si="4"/>
        <v>1</v>
      </c>
      <c r="X30">
        <f t="shared" si="5"/>
        <v>27</v>
      </c>
      <c r="Y30">
        <f t="shared" si="6"/>
        <v>0</v>
      </c>
      <c r="AE30" s="2" t="str" cm="1">
        <f t="array" ref="AE30">CONCATENATE($AE$2,Liste(S30:U30),";")</f>
        <v>INSERT INTO WD_Workdays (CalendarDay, CalendarWeekday, CalendarWeek) VALUES ('2026-01-27', 1, 5);</v>
      </c>
      <c r="AF30" s="2"/>
      <c r="AG30" s="2" t="str" cm="1">
        <f t="array" ref="AG30">CONCATENATE($AG$2,Liste(L30:O30),";")</f>
        <v>INSERT INTO WD_Holidays (CalendarDay, Donation, Share) VALUES ('2022-12-26', '2. Weihnachtsfeiertag', 100);</v>
      </c>
    </row>
    <row r="31" spans="11:33" x14ac:dyDescent="0.45">
      <c r="K31" s="10">
        <v>44926</v>
      </c>
      <c r="L31" t="str">
        <f t="shared" si="11"/>
        <v>'2022-12-31'</v>
      </c>
      <c r="M31" s="3" t="s">
        <v>613</v>
      </c>
      <c r="N31">
        <v>50</v>
      </c>
      <c r="R31" s="10">
        <f t="shared" si="7"/>
        <v>46050</v>
      </c>
      <c r="S31" t="str">
        <f t="shared" si="1"/>
        <v>'2026-01-28'</v>
      </c>
      <c r="T31">
        <f t="shared" si="8"/>
        <v>2</v>
      </c>
      <c r="U31">
        <f t="shared" si="2"/>
        <v>5</v>
      </c>
      <c r="V31">
        <f t="shared" si="3"/>
        <v>2026</v>
      </c>
      <c r="W31">
        <f t="shared" si="4"/>
        <v>1</v>
      </c>
      <c r="X31">
        <f t="shared" si="5"/>
        <v>28</v>
      </c>
      <c r="Y31">
        <f t="shared" si="6"/>
        <v>0</v>
      </c>
      <c r="AE31" s="2" t="str" cm="1">
        <f t="array" ref="AE31">CONCATENATE($AE$2,Liste(S31:U31),";")</f>
        <v>INSERT INTO WD_Workdays (CalendarDay, CalendarWeekday, CalendarWeek) VALUES ('2026-01-28', 2, 5);</v>
      </c>
      <c r="AF31" s="2"/>
      <c r="AG31" s="2" t="str" cm="1">
        <f t="array" ref="AG31">CONCATENATE($AG$2,Liste(L31:O31),";")</f>
        <v>INSERT INTO WD_Holidays (CalendarDay, Donation, Share) VALUES ('2022-12-31', 'Silvester', 50);</v>
      </c>
    </row>
    <row r="32" spans="11:33" x14ac:dyDescent="0.45">
      <c r="K32" s="10">
        <v>44927</v>
      </c>
      <c r="L32" t="str">
        <f t="shared" si="11"/>
        <v>'2023-01-01'</v>
      </c>
      <c r="M32" s="3" t="s">
        <v>529</v>
      </c>
      <c r="N32">
        <v>100</v>
      </c>
      <c r="R32" s="10">
        <f t="shared" si="7"/>
        <v>46051</v>
      </c>
      <c r="S32" t="str">
        <f t="shared" si="1"/>
        <v>'2026-01-29'</v>
      </c>
      <c r="T32">
        <f t="shared" si="8"/>
        <v>3</v>
      </c>
      <c r="U32">
        <f t="shared" si="2"/>
        <v>5</v>
      </c>
      <c r="V32">
        <f t="shared" si="3"/>
        <v>2026</v>
      </c>
      <c r="W32">
        <f t="shared" si="4"/>
        <v>1</v>
      </c>
      <c r="X32">
        <f t="shared" si="5"/>
        <v>29</v>
      </c>
      <c r="Y32">
        <f t="shared" si="6"/>
        <v>0</v>
      </c>
      <c r="AE32" s="2" t="str" cm="1">
        <f t="array" ref="AE32">CONCATENATE($AE$2,Liste(S32:U32),";")</f>
        <v>INSERT INTO WD_Workdays (CalendarDay, CalendarWeekday, CalendarWeek) VALUES ('2026-01-29', 3, 5);</v>
      </c>
      <c r="AF32" s="2"/>
      <c r="AG32" s="2" t="str" cm="1">
        <f t="array" ref="AG32">CONCATENATE($AG$2,Liste(L32:O32),";")</f>
        <v>INSERT INTO WD_Holidays (CalendarDay, Donation, Share) VALUES ('2023-01-01', 'Neujahr', 100);</v>
      </c>
    </row>
    <row r="33" spans="11:33" x14ac:dyDescent="0.45">
      <c r="K33" s="10">
        <v>44993</v>
      </c>
      <c r="L33" t="str">
        <f t="shared" ref="L33:L39" si="12">CONCATENATE("'",TEXT(K33,"jjjj-MM-tt"),"'")</f>
        <v>'2023-03-08'</v>
      </c>
      <c r="M33" s="3" t="s">
        <v>602</v>
      </c>
      <c r="N33">
        <v>100</v>
      </c>
      <c r="R33" s="10">
        <f t="shared" si="7"/>
        <v>46052</v>
      </c>
      <c r="S33" t="str">
        <f t="shared" si="1"/>
        <v>'2026-01-30'</v>
      </c>
      <c r="T33">
        <f t="shared" si="8"/>
        <v>4</v>
      </c>
      <c r="U33">
        <f t="shared" si="2"/>
        <v>5</v>
      </c>
      <c r="V33">
        <f t="shared" si="3"/>
        <v>2026</v>
      </c>
      <c r="W33">
        <f t="shared" si="4"/>
        <v>1</v>
      </c>
      <c r="X33">
        <f t="shared" si="5"/>
        <v>30</v>
      </c>
      <c r="Y33">
        <f t="shared" si="6"/>
        <v>0</v>
      </c>
      <c r="AE33" s="2" t="str" cm="1">
        <f t="array" ref="AE33">CONCATENATE($AE$2,Liste(S33:U33),";")</f>
        <v>INSERT INTO WD_Workdays (CalendarDay, CalendarWeekday, CalendarWeek) VALUES ('2026-01-30', 4, 5);</v>
      </c>
      <c r="AF33" s="2"/>
      <c r="AG33" s="2" t="str" cm="1">
        <f t="array" ref="AG33">CONCATENATE($AG$2,Liste(L33:O33),";")</f>
        <v>INSERT INTO WD_Holidays (CalendarDay, Donation, Share) VALUES ('2023-03-08', 'Internationaler Frauentag', 100);</v>
      </c>
    </row>
    <row r="34" spans="11:33" x14ac:dyDescent="0.45">
      <c r="K34" s="10">
        <v>45023</v>
      </c>
      <c r="L34" t="str">
        <f t="shared" si="12"/>
        <v>'2023-04-07'</v>
      </c>
      <c r="M34" s="3" t="s">
        <v>603</v>
      </c>
      <c r="N34">
        <v>100</v>
      </c>
      <c r="R34" s="10">
        <f t="shared" si="7"/>
        <v>46053</v>
      </c>
      <c r="S34" t="str">
        <f t="shared" si="1"/>
        <v>'2026-01-31'</v>
      </c>
      <c r="T34">
        <f t="shared" si="8"/>
        <v>5</v>
      </c>
      <c r="U34">
        <f t="shared" si="2"/>
        <v>5</v>
      </c>
      <c r="V34">
        <f t="shared" si="3"/>
        <v>2026</v>
      </c>
      <c r="W34">
        <f t="shared" si="4"/>
        <v>1</v>
      </c>
      <c r="X34">
        <f t="shared" si="5"/>
        <v>31</v>
      </c>
      <c r="Y34">
        <f t="shared" si="6"/>
        <v>0</v>
      </c>
      <c r="AE34" s="2" t="str" cm="1">
        <f t="array" ref="AE34">CONCATENATE($AE$2,Liste(S34:U34),";")</f>
        <v>INSERT INTO WD_Workdays (CalendarDay, CalendarWeekday, CalendarWeek) VALUES ('2026-01-31', 5, 5);</v>
      </c>
      <c r="AF34" s="2"/>
      <c r="AG34" s="2" t="str" cm="1">
        <f t="array" ref="AG34">CONCATENATE($AG$2,Liste(L34:O34),";")</f>
        <v>INSERT INTO WD_Holidays (CalendarDay, Donation, Share) VALUES ('2023-04-07', 'Karfreitag', 100);</v>
      </c>
    </row>
    <row r="35" spans="11:33" x14ac:dyDescent="0.45">
      <c r="K35" s="10">
        <v>45025</v>
      </c>
      <c r="L35" t="str">
        <f t="shared" si="12"/>
        <v>'2023-04-09'</v>
      </c>
      <c r="M35" s="3" t="s">
        <v>604</v>
      </c>
      <c r="N35">
        <v>100</v>
      </c>
      <c r="R35" s="10">
        <f t="shared" si="7"/>
        <v>46054</v>
      </c>
      <c r="S35" t="str">
        <f t="shared" si="1"/>
        <v>'2026-02-01'</v>
      </c>
      <c r="T35">
        <f t="shared" si="8"/>
        <v>6</v>
      </c>
      <c r="U35">
        <f t="shared" si="2"/>
        <v>5</v>
      </c>
      <c r="V35">
        <f t="shared" si="3"/>
        <v>2026</v>
      </c>
      <c r="W35">
        <f t="shared" si="4"/>
        <v>2</v>
      </c>
      <c r="X35">
        <f t="shared" si="5"/>
        <v>1</v>
      </c>
      <c r="Y35">
        <f t="shared" si="6"/>
        <v>0</v>
      </c>
      <c r="AE35" s="2" t="str" cm="1">
        <f t="array" ref="AE35">CONCATENATE($AE$2,Liste(S35:U35),";")</f>
        <v>INSERT INTO WD_Workdays (CalendarDay, CalendarWeekday, CalendarWeek) VALUES ('2026-02-01', 6, 5);</v>
      </c>
      <c r="AF35" s="2"/>
      <c r="AG35" s="2" t="str" cm="1">
        <f t="array" ref="AG35">CONCATENATE($AG$2,Liste(L35:O35),";")</f>
        <v>INSERT INTO WD_Holidays (CalendarDay, Donation, Share) VALUES ('2023-04-09', 'Ostersonntag', 100);</v>
      </c>
    </row>
    <row r="36" spans="11:33" x14ac:dyDescent="0.45">
      <c r="K36" s="10">
        <v>45026</v>
      </c>
      <c r="L36" t="str">
        <f t="shared" si="12"/>
        <v>'2023-04-10'</v>
      </c>
      <c r="M36" s="3" t="s">
        <v>605</v>
      </c>
      <c r="N36">
        <v>100</v>
      </c>
      <c r="R36" s="10">
        <f t="shared" si="7"/>
        <v>46055</v>
      </c>
      <c r="S36" t="str">
        <f t="shared" si="1"/>
        <v>'2026-02-02'</v>
      </c>
      <c r="T36">
        <f t="shared" si="8"/>
        <v>0</v>
      </c>
      <c r="U36">
        <f t="shared" si="2"/>
        <v>6</v>
      </c>
      <c r="V36">
        <f t="shared" si="3"/>
        <v>2026</v>
      </c>
      <c r="W36">
        <f t="shared" si="4"/>
        <v>2</v>
      </c>
      <c r="X36">
        <f t="shared" si="5"/>
        <v>2</v>
      </c>
      <c r="Y36">
        <f t="shared" si="6"/>
        <v>0</v>
      </c>
      <c r="AE36" s="2" t="str" cm="1">
        <f t="array" ref="AE36">CONCATENATE($AE$2,Liste(S36:U36),";")</f>
        <v>INSERT INTO WD_Workdays (CalendarDay, CalendarWeekday, CalendarWeek) VALUES ('2026-02-02', 0, 6);</v>
      </c>
      <c r="AF36" s="2"/>
      <c r="AG36" s="2" t="str" cm="1">
        <f t="array" ref="AG36">CONCATENATE($AG$2,Liste(L36:O36),";")</f>
        <v>INSERT INTO WD_Holidays (CalendarDay, Donation, Share) VALUES ('2023-04-10', 'Ostermontag', 100);</v>
      </c>
    </row>
    <row r="37" spans="11:33" x14ac:dyDescent="0.45">
      <c r="K37" s="10">
        <v>45047</v>
      </c>
      <c r="L37" t="str">
        <f t="shared" si="12"/>
        <v>'2023-05-01'</v>
      </c>
      <c r="M37" s="3" t="s">
        <v>606</v>
      </c>
      <c r="N37">
        <v>100</v>
      </c>
      <c r="R37" s="10">
        <f t="shared" si="7"/>
        <v>46056</v>
      </c>
      <c r="S37" t="str">
        <f t="shared" si="1"/>
        <v>'2026-02-03'</v>
      </c>
      <c r="T37">
        <f t="shared" si="8"/>
        <v>1</v>
      </c>
      <c r="U37">
        <f t="shared" si="2"/>
        <v>6</v>
      </c>
      <c r="V37">
        <f t="shared" si="3"/>
        <v>2026</v>
      </c>
      <c r="W37">
        <f t="shared" si="4"/>
        <v>2</v>
      </c>
      <c r="X37">
        <f t="shared" si="5"/>
        <v>3</v>
      </c>
      <c r="Y37">
        <f t="shared" si="6"/>
        <v>0</v>
      </c>
      <c r="AE37" s="2" t="str" cm="1">
        <f t="array" ref="AE37">CONCATENATE($AE$2,Liste(S37:U37),";")</f>
        <v>INSERT INTO WD_Workdays (CalendarDay, CalendarWeekday, CalendarWeek) VALUES ('2026-02-03', 1, 6);</v>
      </c>
      <c r="AF37" s="2"/>
      <c r="AG37" s="2" t="str" cm="1">
        <f t="array" ref="AG37">CONCATENATE($AG$2,Liste(L37:O37),";")</f>
        <v>INSERT INTO WD_Holidays (CalendarDay, Donation, Share) VALUES ('2023-05-01', 'Tag der Arbeit', 100);</v>
      </c>
    </row>
    <row r="38" spans="11:33" x14ac:dyDescent="0.45">
      <c r="K38" s="10">
        <v>45064</v>
      </c>
      <c r="L38" t="str">
        <f t="shared" si="12"/>
        <v>'2023-05-18'</v>
      </c>
      <c r="M38" s="3" t="s">
        <v>607</v>
      </c>
      <c r="N38">
        <v>100</v>
      </c>
      <c r="R38" s="10">
        <f t="shared" si="7"/>
        <v>46057</v>
      </c>
      <c r="S38" t="str">
        <f t="shared" si="1"/>
        <v>'2026-02-04'</v>
      </c>
      <c r="T38">
        <f t="shared" si="8"/>
        <v>2</v>
      </c>
      <c r="U38">
        <f t="shared" si="2"/>
        <v>6</v>
      </c>
      <c r="V38">
        <f t="shared" si="3"/>
        <v>2026</v>
      </c>
      <c r="W38">
        <f t="shared" si="4"/>
        <v>2</v>
      </c>
      <c r="X38">
        <f t="shared" si="5"/>
        <v>4</v>
      </c>
      <c r="Y38">
        <f t="shared" si="6"/>
        <v>0</v>
      </c>
      <c r="AE38" s="2" t="str" cm="1">
        <f t="array" ref="AE38">CONCATENATE($AE$2,Liste(S38:U38),";")</f>
        <v>INSERT INTO WD_Workdays (CalendarDay, CalendarWeekday, CalendarWeek) VALUES ('2026-02-04', 2, 6);</v>
      </c>
      <c r="AF38" s="2"/>
      <c r="AG38" s="2" t="str" cm="1">
        <f t="array" ref="AG38">CONCATENATE($AG$2,Liste(L38:O38),";")</f>
        <v>INSERT INTO WD_Holidays (CalendarDay, Donation, Share) VALUES ('2023-05-18', 'Christi Himmelfahrt', 100);</v>
      </c>
    </row>
    <row r="39" spans="11:33" x14ac:dyDescent="0.45">
      <c r="K39" s="10">
        <v>45074</v>
      </c>
      <c r="L39" t="str">
        <f t="shared" si="12"/>
        <v>'2023-05-28'</v>
      </c>
      <c r="M39" s="3" t="s">
        <v>850</v>
      </c>
      <c r="N39">
        <v>100</v>
      </c>
      <c r="R39" s="10">
        <f t="shared" si="7"/>
        <v>46058</v>
      </c>
      <c r="S39" t="str">
        <f t="shared" si="1"/>
        <v>'2026-02-05'</v>
      </c>
      <c r="T39">
        <f t="shared" si="8"/>
        <v>3</v>
      </c>
      <c r="U39">
        <f t="shared" si="2"/>
        <v>6</v>
      </c>
      <c r="V39">
        <f t="shared" si="3"/>
        <v>2026</v>
      </c>
      <c r="W39">
        <f t="shared" si="4"/>
        <v>2</v>
      </c>
      <c r="X39">
        <f t="shared" si="5"/>
        <v>5</v>
      </c>
      <c r="Y39">
        <f t="shared" si="6"/>
        <v>0</v>
      </c>
      <c r="AE39" s="2" t="str" cm="1">
        <f t="array" ref="AE39">CONCATENATE($AE$2,Liste(S39:U39),";")</f>
        <v>INSERT INTO WD_Workdays (CalendarDay, CalendarWeekday, CalendarWeek) VALUES ('2026-02-05', 3, 6);</v>
      </c>
      <c r="AF39" s="2"/>
      <c r="AG39" s="2" t="str" cm="1">
        <f t="array" ref="AG39">CONCATENATE($AG$2,Liste(L39:O39),";")</f>
        <v>INSERT INTO WD_Holidays (CalendarDay, Donation, Share) VALUES ('2023-05-28', 'Pfingstsonntag', 100);</v>
      </c>
    </row>
    <row r="40" spans="11:33" x14ac:dyDescent="0.45">
      <c r="K40" s="10">
        <v>45075</v>
      </c>
      <c r="L40" t="str">
        <f t="shared" ref="L40:L46" si="13">CONCATENATE("'",TEXT(K40,"jjjj-MM-tt"),"'")</f>
        <v>'2023-05-29'</v>
      </c>
      <c r="M40" s="3" t="s">
        <v>608</v>
      </c>
      <c r="N40">
        <v>100</v>
      </c>
      <c r="R40" s="10">
        <f t="shared" si="7"/>
        <v>46059</v>
      </c>
      <c r="S40" t="str">
        <f t="shared" si="1"/>
        <v>'2026-02-06'</v>
      </c>
      <c r="T40">
        <f t="shared" si="8"/>
        <v>4</v>
      </c>
      <c r="U40">
        <f t="shared" si="2"/>
        <v>6</v>
      </c>
      <c r="V40">
        <f t="shared" si="3"/>
        <v>2026</v>
      </c>
      <c r="W40">
        <f t="shared" si="4"/>
        <v>2</v>
      </c>
      <c r="X40">
        <f t="shared" si="5"/>
        <v>6</v>
      </c>
      <c r="Y40">
        <f t="shared" si="6"/>
        <v>0</v>
      </c>
      <c r="AE40" s="2" t="str" cm="1">
        <f t="array" ref="AE40">CONCATENATE($AE$2,Liste(S40:U40),";")</f>
        <v>INSERT INTO WD_Workdays (CalendarDay, CalendarWeekday, CalendarWeek) VALUES ('2026-02-06', 4, 6);</v>
      </c>
      <c r="AF40" s="2"/>
      <c r="AG40" s="2" t="str" cm="1">
        <f t="array" ref="AG40">CONCATENATE($AG$2,Liste(L40:O40),";")</f>
        <v>INSERT INTO WD_Holidays (CalendarDay, Donation, Share) VALUES ('2023-05-29', 'Pfingstmontag', 100);</v>
      </c>
    </row>
    <row r="41" spans="11:33" x14ac:dyDescent="0.45">
      <c r="K41" s="10">
        <v>45202</v>
      </c>
      <c r="L41" t="str">
        <f t="shared" si="13"/>
        <v>'2023-10-03'</v>
      </c>
      <c r="M41" s="3" t="s">
        <v>609</v>
      </c>
      <c r="N41">
        <v>100</v>
      </c>
      <c r="R41" s="10">
        <f t="shared" si="7"/>
        <v>46060</v>
      </c>
      <c r="S41" t="str">
        <f t="shared" si="1"/>
        <v>'2026-02-07'</v>
      </c>
      <c r="T41">
        <f t="shared" si="8"/>
        <v>5</v>
      </c>
      <c r="U41">
        <f t="shared" si="2"/>
        <v>6</v>
      </c>
      <c r="V41">
        <f t="shared" si="3"/>
        <v>2026</v>
      </c>
      <c r="W41">
        <f t="shared" si="4"/>
        <v>2</v>
      </c>
      <c r="X41">
        <f t="shared" si="5"/>
        <v>7</v>
      </c>
      <c r="Y41">
        <f t="shared" si="6"/>
        <v>0</v>
      </c>
      <c r="AE41" s="2" t="str" cm="1">
        <f t="array" ref="AE41">CONCATENATE($AE$2,Liste(S41:U41),";")</f>
        <v>INSERT INTO WD_Workdays (CalendarDay, CalendarWeekday, CalendarWeek) VALUES ('2026-02-07', 5, 6);</v>
      </c>
      <c r="AF41" s="2"/>
      <c r="AG41" s="2" t="str" cm="1">
        <f t="array" ref="AG41">CONCATENATE($AG$2,Liste(L41:O41),";")</f>
        <v>INSERT INTO WD_Holidays (CalendarDay, Donation, Share) VALUES ('2023-10-03', 'Tag der Deutschen Einheit', 100);</v>
      </c>
    </row>
    <row r="42" spans="11:33" x14ac:dyDescent="0.45">
      <c r="K42" s="10">
        <v>45284</v>
      </c>
      <c r="L42" t="str">
        <f t="shared" si="13"/>
        <v>'2023-12-24'</v>
      </c>
      <c r="M42" s="3" t="s">
        <v>610</v>
      </c>
      <c r="N42">
        <v>50</v>
      </c>
      <c r="R42" s="10">
        <f t="shared" si="7"/>
        <v>46061</v>
      </c>
      <c r="S42" t="str">
        <f t="shared" si="1"/>
        <v>'2026-02-08'</v>
      </c>
      <c r="T42">
        <f t="shared" si="8"/>
        <v>6</v>
      </c>
      <c r="U42">
        <f t="shared" si="2"/>
        <v>6</v>
      </c>
      <c r="V42">
        <f t="shared" si="3"/>
        <v>2026</v>
      </c>
      <c r="W42">
        <f t="shared" si="4"/>
        <v>2</v>
      </c>
      <c r="X42">
        <f t="shared" si="5"/>
        <v>8</v>
      </c>
      <c r="Y42">
        <f t="shared" si="6"/>
        <v>0</v>
      </c>
      <c r="AE42" s="2" t="str" cm="1">
        <f t="array" ref="AE42">CONCATENATE($AE$2,Liste(S42:U42),";")</f>
        <v>INSERT INTO WD_Workdays (CalendarDay, CalendarWeekday, CalendarWeek) VALUES ('2026-02-08', 6, 6);</v>
      </c>
      <c r="AF42" s="2"/>
      <c r="AG42" s="2" t="str" cm="1">
        <f t="array" ref="AG42">CONCATENATE($AG$2,Liste(L42:O42),";")</f>
        <v>INSERT INTO WD_Holidays (CalendarDay, Donation, Share) VALUES ('2023-12-24', 'Heiligabend', 50);</v>
      </c>
    </row>
    <row r="43" spans="11:33" x14ac:dyDescent="0.45">
      <c r="K43" s="10">
        <v>45285</v>
      </c>
      <c r="L43" t="str">
        <f t="shared" si="13"/>
        <v>'2023-12-25'</v>
      </c>
      <c r="M43" s="3" t="s">
        <v>611</v>
      </c>
      <c r="N43">
        <v>100</v>
      </c>
      <c r="R43" s="10">
        <f t="shared" si="7"/>
        <v>46062</v>
      </c>
      <c r="S43" t="str">
        <f t="shared" si="1"/>
        <v>'2026-02-09'</v>
      </c>
      <c r="T43">
        <f t="shared" si="8"/>
        <v>0</v>
      </c>
      <c r="U43">
        <f t="shared" si="2"/>
        <v>7</v>
      </c>
      <c r="V43">
        <f t="shared" si="3"/>
        <v>2026</v>
      </c>
      <c r="W43">
        <f t="shared" si="4"/>
        <v>2</v>
      </c>
      <c r="X43">
        <f t="shared" si="5"/>
        <v>9</v>
      </c>
      <c r="Y43">
        <f t="shared" si="6"/>
        <v>0</v>
      </c>
      <c r="AE43" s="2" t="str" cm="1">
        <f t="array" ref="AE43">CONCATENATE($AE$2,Liste(S43:U43),";")</f>
        <v>INSERT INTO WD_Workdays (CalendarDay, CalendarWeekday, CalendarWeek) VALUES ('2026-02-09', 0, 7);</v>
      </c>
      <c r="AF43" s="2"/>
      <c r="AG43" s="2" t="str" cm="1">
        <f t="array" ref="AG43">CONCATENATE($AG$2,Liste(L43:O43),";")</f>
        <v>INSERT INTO WD_Holidays (CalendarDay, Donation, Share) VALUES ('2023-12-25', '1. Weihnachtsfeiertag', 100);</v>
      </c>
    </row>
    <row r="44" spans="11:33" x14ac:dyDescent="0.45">
      <c r="K44" s="10">
        <v>45286</v>
      </c>
      <c r="L44" t="str">
        <f t="shared" si="13"/>
        <v>'2023-12-26'</v>
      </c>
      <c r="M44" s="3" t="s">
        <v>612</v>
      </c>
      <c r="N44">
        <v>100</v>
      </c>
      <c r="R44" s="10">
        <f t="shared" si="7"/>
        <v>46063</v>
      </c>
      <c r="S44" t="str">
        <f t="shared" si="1"/>
        <v>'2026-02-10'</v>
      </c>
      <c r="T44">
        <f t="shared" si="8"/>
        <v>1</v>
      </c>
      <c r="U44">
        <f t="shared" si="2"/>
        <v>7</v>
      </c>
      <c r="V44">
        <f t="shared" si="3"/>
        <v>2026</v>
      </c>
      <c r="W44">
        <f t="shared" si="4"/>
        <v>2</v>
      </c>
      <c r="X44">
        <f t="shared" si="5"/>
        <v>10</v>
      </c>
      <c r="Y44">
        <f t="shared" si="6"/>
        <v>0</v>
      </c>
      <c r="AE44" s="2" t="str" cm="1">
        <f t="array" ref="AE44">CONCATENATE($AE$2,Liste(S44:U44),";")</f>
        <v>INSERT INTO WD_Workdays (CalendarDay, CalendarWeekday, CalendarWeek) VALUES ('2026-02-10', 1, 7);</v>
      </c>
      <c r="AF44" s="2"/>
      <c r="AG44" s="2" t="str" cm="1">
        <f t="array" ref="AG44">CONCATENATE($AG$2,Liste(L44:O44),";")</f>
        <v>INSERT INTO WD_Holidays (CalendarDay, Donation, Share) VALUES ('2023-12-26', '2. Weihnachtsfeiertag', 100);</v>
      </c>
    </row>
    <row r="45" spans="11:33" x14ac:dyDescent="0.45">
      <c r="K45" s="10">
        <v>45291</v>
      </c>
      <c r="L45" t="str">
        <f t="shared" si="13"/>
        <v>'2023-12-31'</v>
      </c>
      <c r="M45" s="3" t="s">
        <v>613</v>
      </c>
      <c r="N45">
        <v>50</v>
      </c>
      <c r="R45" s="10">
        <f t="shared" si="7"/>
        <v>46064</v>
      </c>
      <c r="S45" t="str">
        <f t="shared" si="1"/>
        <v>'2026-02-11'</v>
      </c>
      <c r="T45">
        <f t="shared" si="8"/>
        <v>2</v>
      </c>
      <c r="U45">
        <f t="shared" si="2"/>
        <v>7</v>
      </c>
      <c r="V45">
        <f t="shared" si="3"/>
        <v>2026</v>
      </c>
      <c r="W45">
        <f t="shared" si="4"/>
        <v>2</v>
      </c>
      <c r="X45">
        <f t="shared" si="5"/>
        <v>11</v>
      </c>
      <c r="Y45">
        <f t="shared" si="6"/>
        <v>0</v>
      </c>
      <c r="AE45" s="2" t="str" cm="1">
        <f t="array" ref="AE45">CONCATENATE($AE$2,Liste(S45:U45),";")</f>
        <v>INSERT INTO WD_Workdays (CalendarDay, CalendarWeekday, CalendarWeek) VALUES ('2026-02-11', 2, 7);</v>
      </c>
      <c r="AF45" s="2"/>
      <c r="AG45" s="2" t="str" cm="1">
        <f t="array" ref="AG45">CONCATENATE($AG$2,Liste(L45:O45),";")</f>
        <v>INSERT INTO WD_Holidays (CalendarDay, Donation, Share) VALUES ('2023-12-31', 'Silvester', 50);</v>
      </c>
    </row>
    <row r="46" spans="11:33" x14ac:dyDescent="0.45">
      <c r="K46" s="10">
        <v>45292</v>
      </c>
      <c r="L46" t="str">
        <f t="shared" si="13"/>
        <v>'2024-01-01'</v>
      </c>
      <c r="M46" s="3" t="s">
        <v>529</v>
      </c>
      <c r="N46">
        <v>100</v>
      </c>
      <c r="R46" s="10">
        <f t="shared" si="7"/>
        <v>46065</v>
      </c>
      <c r="S46" t="str">
        <f t="shared" si="1"/>
        <v>'2026-02-12'</v>
      </c>
      <c r="T46">
        <f t="shared" si="8"/>
        <v>3</v>
      </c>
      <c r="U46">
        <f t="shared" si="2"/>
        <v>7</v>
      </c>
      <c r="V46">
        <f t="shared" si="3"/>
        <v>2026</v>
      </c>
      <c r="W46">
        <f t="shared" si="4"/>
        <v>2</v>
      </c>
      <c r="X46">
        <f t="shared" si="5"/>
        <v>12</v>
      </c>
      <c r="Y46">
        <f t="shared" si="6"/>
        <v>0</v>
      </c>
      <c r="AE46" s="2" t="str" cm="1">
        <f t="array" ref="AE46">CONCATENATE($AE$2,Liste(S46:U46),";")</f>
        <v>INSERT INTO WD_Workdays (CalendarDay, CalendarWeekday, CalendarWeek) VALUES ('2026-02-12', 3, 7);</v>
      </c>
      <c r="AF46" s="2"/>
      <c r="AG46" s="2" t="str" cm="1">
        <f t="array" ref="AG46">CONCATENATE($AG$2,Liste(L46:O46),";")</f>
        <v>INSERT INTO WD_Holidays (CalendarDay, Donation, Share) VALUES ('2024-01-01', 'Neujahr', 100);</v>
      </c>
    </row>
    <row r="47" spans="11:33" x14ac:dyDescent="0.45">
      <c r="K47" s="10">
        <v>45359</v>
      </c>
      <c r="L47" t="str">
        <f t="shared" ref="L47:L53" si="14">CONCATENATE("'",TEXT(K47,"jjjj-MM-tt"),"'")</f>
        <v>'2024-03-08'</v>
      </c>
      <c r="M47" s="3" t="s">
        <v>602</v>
      </c>
      <c r="N47">
        <v>100</v>
      </c>
      <c r="R47" s="10">
        <f t="shared" si="7"/>
        <v>46066</v>
      </c>
      <c r="S47" t="str">
        <f t="shared" si="1"/>
        <v>'2026-02-13'</v>
      </c>
      <c r="T47">
        <f t="shared" si="8"/>
        <v>4</v>
      </c>
      <c r="U47">
        <f t="shared" si="2"/>
        <v>7</v>
      </c>
      <c r="V47">
        <f t="shared" si="3"/>
        <v>2026</v>
      </c>
      <c r="W47">
        <f t="shared" si="4"/>
        <v>2</v>
      </c>
      <c r="X47">
        <f t="shared" si="5"/>
        <v>13</v>
      </c>
      <c r="Y47">
        <f t="shared" si="6"/>
        <v>0</v>
      </c>
      <c r="AE47" s="2" t="str" cm="1">
        <f t="array" ref="AE47">CONCATENATE($AE$2,Liste(S47:U47),";")</f>
        <v>INSERT INTO WD_Workdays (CalendarDay, CalendarWeekday, CalendarWeek) VALUES ('2026-02-13', 4, 7);</v>
      </c>
      <c r="AF47" s="2"/>
      <c r="AG47" s="2" t="str" cm="1">
        <f t="array" ref="AG47">CONCATENATE($AG$2,Liste(L47:O47),";")</f>
        <v>INSERT INTO WD_Holidays (CalendarDay, Donation, Share) VALUES ('2024-03-08', 'Internationaler Frauentag', 100);</v>
      </c>
    </row>
    <row r="48" spans="11:33" x14ac:dyDescent="0.45">
      <c r="K48" s="10">
        <v>45380</v>
      </c>
      <c r="L48" t="str">
        <f t="shared" si="14"/>
        <v>'2024-03-29'</v>
      </c>
      <c r="M48" s="3" t="s">
        <v>603</v>
      </c>
      <c r="N48">
        <v>100</v>
      </c>
      <c r="R48" s="10">
        <f t="shared" si="7"/>
        <v>46067</v>
      </c>
      <c r="S48" t="str">
        <f t="shared" si="1"/>
        <v>'2026-02-14'</v>
      </c>
      <c r="T48">
        <f t="shared" si="8"/>
        <v>5</v>
      </c>
      <c r="U48">
        <f t="shared" si="2"/>
        <v>7</v>
      </c>
      <c r="V48">
        <f t="shared" si="3"/>
        <v>2026</v>
      </c>
      <c r="W48">
        <f t="shared" si="4"/>
        <v>2</v>
      </c>
      <c r="X48">
        <f t="shared" si="5"/>
        <v>14</v>
      </c>
      <c r="Y48">
        <f t="shared" si="6"/>
        <v>0</v>
      </c>
      <c r="AE48" s="2" t="str" cm="1">
        <f t="array" ref="AE48">CONCATENATE($AE$2,Liste(S48:U48),";")</f>
        <v>INSERT INTO WD_Workdays (CalendarDay, CalendarWeekday, CalendarWeek) VALUES ('2026-02-14', 5, 7);</v>
      </c>
      <c r="AF48" s="2"/>
      <c r="AG48" s="2" t="str" cm="1">
        <f t="array" ref="AG48">CONCATENATE($AG$2,Liste(L48:O48),";")</f>
        <v>INSERT INTO WD_Holidays (CalendarDay, Donation, Share) VALUES ('2024-03-29', 'Karfreitag', 100);</v>
      </c>
    </row>
    <row r="49" spans="11:33" x14ac:dyDescent="0.45">
      <c r="K49" s="10">
        <v>45382</v>
      </c>
      <c r="L49" t="str">
        <f t="shared" si="14"/>
        <v>'2024-03-31'</v>
      </c>
      <c r="M49" s="3" t="s">
        <v>604</v>
      </c>
      <c r="N49">
        <v>100</v>
      </c>
      <c r="R49" s="10">
        <f t="shared" si="7"/>
        <v>46068</v>
      </c>
      <c r="S49" t="str">
        <f t="shared" si="1"/>
        <v>'2026-02-15'</v>
      </c>
      <c r="T49">
        <f t="shared" si="8"/>
        <v>6</v>
      </c>
      <c r="U49">
        <f t="shared" si="2"/>
        <v>7</v>
      </c>
      <c r="V49">
        <f t="shared" si="3"/>
        <v>2026</v>
      </c>
      <c r="W49">
        <f t="shared" si="4"/>
        <v>2</v>
      </c>
      <c r="X49">
        <f t="shared" si="5"/>
        <v>15</v>
      </c>
      <c r="Y49">
        <f t="shared" si="6"/>
        <v>0</v>
      </c>
      <c r="AE49" s="2" t="str" cm="1">
        <f t="array" ref="AE49">CONCATENATE($AE$2,Liste(S49:U49),";")</f>
        <v>INSERT INTO WD_Workdays (CalendarDay, CalendarWeekday, CalendarWeek) VALUES ('2026-02-15', 6, 7);</v>
      </c>
      <c r="AF49" s="2"/>
      <c r="AG49" s="2" t="str" cm="1">
        <f t="array" ref="AG49">CONCATENATE($AG$2,Liste(L49:O49),";")</f>
        <v>INSERT INTO WD_Holidays (CalendarDay, Donation, Share) VALUES ('2024-03-31', 'Ostersonntag', 100);</v>
      </c>
    </row>
    <row r="50" spans="11:33" x14ac:dyDescent="0.45">
      <c r="K50" s="10">
        <v>45383</v>
      </c>
      <c r="L50" t="str">
        <f t="shared" si="14"/>
        <v>'2024-04-01'</v>
      </c>
      <c r="M50" s="3" t="s">
        <v>605</v>
      </c>
      <c r="N50">
        <v>100</v>
      </c>
      <c r="R50" s="10">
        <f t="shared" si="7"/>
        <v>46069</v>
      </c>
      <c r="S50" t="str">
        <f t="shared" si="1"/>
        <v>'2026-02-16'</v>
      </c>
      <c r="T50">
        <f t="shared" si="8"/>
        <v>0</v>
      </c>
      <c r="U50">
        <f t="shared" si="2"/>
        <v>8</v>
      </c>
      <c r="V50">
        <f t="shared" si="3"/>
        <v>2026</v>
      </c>
      <c r="W50">
        <f t="shared" si="4"/>
        <v>2</v>
      </c>
      <c r="X50">
        <f t="shared" si="5"/>
        <v>16</v>
      </c>
      <c r="Y50">
        <f t="shared" si="6"/>
        <v>0</v>
      </c>
      <c r="AE50" s="2" t="str" cm="1">
        <f t="array" ref="AE50">CONCATENATE($AE$2,Liste(S50:U50),";")</f>
        <v>INSERT INTO WD_Workdays (CalendarDay, CalendarWeekday, CalendarWeek) VALUES ('2026-02-16', 0, 8);</v>
      </c>
      <c r="AF50" s="2"/>
      <c r="AG50" s="2" t="str" cm="1">
        <f t="array" ref="AG50">CONCATENATE($AG$2,Liste(L50:O50),";")</f>
        <v>INSERT INTO WD_Holidays (CalendarDay, Donation, Share) VALUES ('2024-04-01', 'Ostermontag', 100);</v>
      </c>
    </row>
    <row r="51" spans="11:33" x14ac:dyDescent="0.45">
      <c r="K51" s="10">
        <v>45413</v>
      </c>
      <c r="L51" t="str">
        <f t="shared" si="14"/>
        <v>'2024-05-01'</v>
      </c>
      <c r="M51" s="3" t="s">
        <v>606</v>
      </c>
      <c r="N51">
        <v>100</v>
      </c>
      <c r="R51" s="10">
        <f t="shared" si="7"/>
        <v>46070</v>
      </c>
      <c r="S51" t="str">
        <f t="shared" si="1"/>
        <v>'2026-02-17'</v>
      </c>
      <c r="T51">
        <f t="shared" si="8"/>
        <v>1</v>
      </c>
      <c r="U51">
        <f t="shared" si="2"/>
        <v>8</v>
      </c>
      <c r="V51">
        <f t="shared" si="3"/>
        <v>2026</v>
      </c>
      <c r="W51">
        <f t="shared" si="4"/>
        <v>2</v>
      </c>
      <c r="X51">
        <f t="shared" si="5"/>
        <v>17</v>
      </c>
      <c r="Y51">
        <f t="shared" si="6"/>
        <v>0</v>
      </c>
      <c r="AE51" s="2" t="str" cm="1">
        <f t="array" ref="AE51">CONCATENATE($AE$2,Liste(S51:U51),";")</f>
        <v>INSERT INTO WD_Workdays (CalendarDay, CalendarWeekday, CalendarWeek) VALUES ('2026-02-17', 1, 8);</v>
      </c>
      <c r="AF51" s="2"/>
      <c r="AG51" s="2" t="str" cm="1">
        <f t="array" ref="AG51">CONCATENATE($AG$2,Liste(L51:O51),";")</f>
        <v>INSERT INTO WD_Holidays (CalendarDay, Donation, Share) VALUES ('2024-05-01', 'Tag der Arbeit', 100);</v>
      </c>
    </row>
    <row r="52" spans="11:33" x14ac:dyDescent="0.45">
      <c r="K52" s="10">
        <v>45421</v>
      </c>
      <c r="L52" t="str">
        <f t="shared" si="14"/>
        <v>'2024-05-09'</v>
      </c>
      <c r="M52" s="3" t="s">
        <v>607</v>
      </c>
      <c r="N52">
        <v>100</v>
      </c>
      <c r="R52" s="10">
        <f t="shared" si="7"/>
        <v>46071</v>
      </c>
      <c r="S52" t="str">
        <f t="shared" si="1"/>
        <v>'2026-02-18'</v>
      </c>
      <c r="T52">
        <f t="shared" si="8"/>
        <v>2</v>
      </c>
      <c r="U52">
        <f t="shared" si="2"/>
        <v>8</v>
      </c>
      <c r="V52">
        <f t="shared" si="3"/>
        <v>2026</v>
      </c>
      <c r="W52">
        <f t="shared" si="4"/>
        <v>2</v>
      </c>
      <c r="X52">
        <f t="shared" si="5"/>
        <v>18</v>
      </c>
      <c r="Y52">
        <f t="shared" si="6"/>
        <v>0</v>
      </c>
      <c r="AE52" s="2" t="str" cm="1">
        <f t="array" ref="AE52">CONCATENATE($AE$2,Liste(S52:U52),";")</f>
        <v>INSERT INTO WD_Workdays (CalendarDay, CalendarWeekday, CalendarWeek) VALUES ('2026-02-18', 2, 8);</v>
      </c>
      <c r="AF52" s="2"/>
      <c r="AG52" s="2" t="str" cm="1">
        <f t="array" ref="AG52">CONCATENATE($AG$2,Liste(L52:O52),";")</f>
        <v>INSERT INTO WD_Holidays (CalendarDay, Donation, Share) VALUES ('2024-05-09', 'Christi Himmelfahrt', 100);</v>
      </c>
    </row>
    <row r="53" spans="11:33" x14ac:dyDescent="0.45">
      <c r="K53" s="10">
        <v>45431</v>
      </c>
      <c r="L53" t="str">
        <f t="shared" si="14"/>
        <v>'2024-05-19'</v>
      </c>
      <c r="M53" s="3" t="s">
        <v>850</v>
      </c>
      <c r="N53">
        <v>100</v>
      </c>
      <c r="R53" s="10">
        <f t="shared" si="7"/>
        <v>46072</v>
      </c>
      <c r="S53" t="str">
        <f t="shared" si="1"/>
        <v>'2026-02-19'</v>
      </c>
      <c r="T53">
        <f t="shared" si="8"/>
        <v>3</v>
      </c>
      <c r="U53">
        <f t="shared" si="2"/>
        <v>8</v>
      </c>
      <c r="V53">
        <f t="shared" si="3"/>
        <v>2026</v>
      </c>
      <c r="W53">
        <f t="shared" si="4"/>
        <v>2</v>
      </c>
      <c r="X53">
        <f t="shared" si="5"/>
        <v>19</v>
      </c>
      <c r="Y53">
        <f t="shared" si="6"/>
        <v>0</v>
      </c>
      <c r="AE53" s="2" t="str" cm="1">
        <f t="array" ref="AE53">CONCATENATE($AE$2,Liste(S53:U53),";")</f>
        <v>INSERT INTO WD_Workdays (CalendarDay, CalendarWeekday, CalendarWeek) VALUES ('2026-02-19', 3, 8);</v>
      </c>
      <c r="AF53" s="2"/>
      <c r="AG53" s="2" t="str" cm="1">
        <f t="array" ref="AG53">CONCATENATE($AG$2,Liste(L53:O53),";")</f>
        <v>INSERT INTO WD_Holidays (CalendarDay, Donation, Share) VALUES ('2024-05-19', 'Pfingstsonntag', 100);</v>
      </c>
    </row>
    <row r="54" spans="11:33" x14ac:dyDescent="0.45">
      <c r="K54" s="10">
        <v>45432</v>
      </c>
      <c r="L54" t="str">
        <f t="shared" ref="L54:L60" si="15">CONCATENATE("'",TEXT(K54,"jjjj-MM-tt"),"'")</f>
        <v>'2024-05-20'</v>
      </c>
      <c r="M54" s="3" t="s">
        <v>608</v>
      </c>
      <c r="N54">
        <v>100</v>
      </c>
      <c r="R54" s="10">
        <f t="shared" si="7"/>
        <v>46073</v>
      </c>
      <c r="S54" t="str">
        <f t="shared" si="1"/>
        <v>'2026-02-20'</v>
      </c>
      <c r="T54">
        <f t="shared" si="8"/>
        <v>4</v>
      </c>
      <c r="U54">
        <f t="shared" si="2"/>
        <v>8</v>
      </c>
      <c r="V54">
        <f t="shared" si="3"/>
        <v>2026</v>
      </c>
      <c r="W54">
        <f t="shared" si="4"/>
        <v>2</v>
      </c>
      <c r="X54">
        <f t="shared" si="5"/>
        <v>20</v>
      </c>
      <c r="Y54">
        <f t="shared" si="6"/>
        <v>0</v>
      </c>
      <c r="AE54" s="2" t="str" cm="1">
        <f t="array" ref="AE54">CONCATENATE($AE$2,Liste(S54:U54),";")</f>
        <v>INSERT INTO WD_Workdays (CalendarDay, CalendarWeekday, CalendarWeek) VALUES ('2026-02-20', 4, 8);</v>
      </c>
      <c r="AF54" s="2"/>
      <c r="AG54" s="2" t="str" cm="1">
        <f t="array" ref="AG54">CONCATENATE($AG$2,Liste(L54:O54),";")</f>
        <v>INSERT INTO WD_Holidays (CalendarDay, Donation, Share) VALUES ('2024-05-20', 'Pfingstmontag', 100);</v>
      </c>
    </row>
    <row r="55" spans="11:33" x14ac:dyDescent="0.45">
      <c r="K55" s="10">
        <v>45568</v>
      </c>
      <c r="L55" t="str">
        <f t="shared" si="15"/>
        <v>'2024-10-03'</v>
      </c>
      <c r="M55" s="3" t="s">
        <v>609</v>
      </c>
      <c r="N55">
        <v>100</v>
      </c>
      <c r="R55" s="10">
        <f t="shared" si="7"/>
        <v>46074</v>
      </c>
      <c r="S55" t="str">
        <f t="shared" si="1"/>
        <v>'2026-02-21'</v>
      </c>
      <c r="T55">
        <f t="shared" si="8"/>
        <v>5</v>
      </c>
      <c r="U55">
        <f t="shared" si="2"/>
        <v>8</v>
      </c>
      <c r="V55">
        <f t="shared" si="3"/>
        <v>2026</v>
      </c>
      <c r="W55">
        <f t="shared" si="4"/>
        <v>2</v>
      </c>
      <c r="X55">
        <f t="shared" si="5"/>
        <v>21</v>
      </c>
      <c r="Y55">
        <f t="shared" si="6"/>
        <v>0</v>
      </c>
      <c r="AE55" s="2" t="str" cm="1">
        <f t="array" ref="AE55">CONCATENATE($AE$2,Liste(S55:U55),";")</f>
        <v>INSERT INTO WD_Workdays (CalendarDay, CalendarWeekday, CalendarWeek) VALUES ('2026-02-21', 5, 8);</v>
      </c>
      <c r="AF55" s="2"/>
      <c r="AG55" s="2" t="str" cm="1">
        <f t="array" ref="AG55">CONCATENATE($AG$2,Liste(L55:O55),";")</f>
        <v>INSERT INTO WD_Holidays (CalendarDay, Donation, Share) VALUES ('2024-10-03', 'Tag der Deutschen Einheit', 100);</v>
      </c>
    </row>
    <row r="56" spans="11:33" x14ac:dyDescent="0.45">
      <c r="K56" s="10">
        <v>45650</v>
      </c>
      <c r="L56" t="str">
        <f t="shared" si="15"/>
        <v>'2024-12-24'</v>
      </c>
      <c r="M56" s="3" t="s">
        <v>610</v>
      </c>
      <c r="N56">
        <v>100</v>
      </c>
      <c r="R56" s="10">
        <f t="shared" si="7"/>
        <v>46075</v>
      </c>
      <c r="S56" t="str">
        <f t="shared" si="1"/>
        <v>'2026-02-22'</v>
      </c>
      <c r="T56">
        <f t="shared" si="8"/>
        <v>6</v>
      </c>
      <c r="U56">
        <f t="shared" si="2"/>
        <v>8</v>
      </c>
      <c r="V56">
        <f t="shared" si="3"/>
        <v>2026</v>
      </c>
      <c r="W56">
        <f t="shared" si="4"/>
        <v>2</v>
      </c>
      <c r="X56">
        <f t="shared" si="5"/>
        <v>22</v>
      </c>
      <c r="Y56">
        <f t="shared" si="6"/>
        <v>0</v>
      </c>
      <c r="AE56" s="2" t="str" cm="1">
        <f t="array" ref="AE56">CONCATENATE($AE$2,Liste(S56:U56),";")</f>
        <v>INSERT INTO WD_Workdays (CalendarDay, CalendarWeekday, CalendarWeek) VALUES ('2026-02-22', 6, 8);</v>
      </c>
      <c r="AF56" s="2"/>
      <c r="AG56" s="2" t="str" cm="1">
        <f t="array" ref="AG56">CONCATENATE($AG$2,Liste(L56:O56),";")</f>
        <v>INSERT INTO WD_Holidays (CalendarDay, Donation, Share) VALUES ('2024-12-24', 'Heiligabend', 100);</v>
      </c>
    </row>
    <row r="57" spans="11:33" x14ac:dyDescent="0.45">
      <c r="K57" s="10">
        <v>45651</v>
      </c>
      <c r="L57" t="str">
        <f t="shared" si="15"/>
        <v>'2024-12-25'</v>
      </c>
      <c r="M57" s="3" t="s">
        <v>611</v>
      </c>
      <c r="N57">
        <v>100</v>
      </c>
      <c r="R57" s="10">
        <f t="shared" si="7"/>
        <v>46076</v>
      </c>
      <c r="S57" t="str">
        <f t="shared" si="1"/>
        <v>'2026-02-23'</v>
      </c>
      <c r="T57">
        <f t="shared" si="8"/>
        <v>0</v>
      </c>
      <c r="U57">
        <f t="shared" si="2"/>
        <v>9</v>
      </c>
      <c r="V57">
        <f t="shared" si="3"/>
        <v>2026</v>
      </c>
      <c r="W57">
        <f t="shared" si="4"/>
        <v>2</v>
      </c>
      <c r="X57">
        <f t="shared" si="5"/>
        <v>23</v>
      </c>
      <c r="Y57">
        <f t="shared" si="6"/>
        <v>0</v>
      </c>
      <c r="AE57" s="2" t="str" cm="1">
        <f t="array" ref="AE57">CONCATENATE($AE$2,Liste(S57:U57),";")</f>
        <v>INSERT INTO WD_Workdays (CalendarDay, CalendarWeekday, CalendarWeek) VALUES ('2026-02-23', 0, 9);</v>
      </c>
      <c r="AF57" s="2"/>
      <c r="AG57" s="2" t="str" cm="1">
        <f t="array" ref="AG57">CONCATENATE($AG$2,Liste(L57:O57),";")</f>
        <v>INSERT INTO WD_Holidays (CalendarDay, Donation, Share) VALUES ('2024-12-25', '1. Weihnachtsfeiertag', 100);</v>
      </c>
    </row>
    <row r="58" spans="11:33" x14ac:dyDescent="0.45">
      <c r="K58" s="10">
        <v>45652</v>
      </c>
      <c r="L58" t="str">
        <f t="shared" si="15"/>
        <v>'2024-12-26'</v>
      </c>
      <c r="M58" s="3" t="s">
        <v>612</v>
      </c>
      <c r="N58">
        <v>100</v>
      </c>
      <c r="R58" s="10">
        <f t="shared" si="7"/>
        <v>46077</v>
      </c>
      <c r="S58" t="str">
        <f t="shared" si="1"/>
        <v>'2026-02-24'</v>
      </c>
      <c r="T58">
        <f t="shared" si="8"/>
        <v>1</v>
      </c>
      <c r="U58">
        <f t="shared" si="2"/>
        <v>9</v>
      </c>
      <c r="V58">
        <f t="shared" si="3"/>
        <v>2026</v>
      </c>
      <c r="W58">
        <f t="shared" si="4"/>
        <v>2</v>
      </c>
      <c r="X58">
        <f t="shared" si="5"/>
        <v>24</v>
      </c>
      <c r="Y58">
        <f t="shared" si="6"/>
        <v>0</v>
      </c>
      <c r="AE58" s="2" t="str" cm="1">
        <f t="array" ref="AE58">CONCATENATE($AE$2,Liste(S58:U58),";")</f>
        <v>INSERT INTO WD_Workdays (CalendarDay, CalendarWeekday, CalendarWeek) VALUES ('2026-02-24', 1, 9);</v>
      </c>
      <c r="AF58" s="2"/>
      <c r="AG58" s="2" t="str" cm="1">
        <f t="array" ref="AG58">CONCATENATE($AG$2,Liste(L58:O58),";")</f>
        <v>INSERT INTO WD_Holidays (CalendarDay, Donation, Share) VALUES ('2024-12-26', '2. Weihnachtsfeiertag', 100);</v>
      </c>
    </row>
    <row r="59" spans="11:33" x14ac:dyDescent="0.45">
      <c r="K59" s="10">
        <v>45657</v>
      </c>
      <c r="L59" t="str">
        <f t="shared" si="15"/>
        <v>'2024-12-31'</v>
      </c>
      <c r="M59" s="3" t="s">
        <v>613</v>
      </c>
      <c r="N59">
        <v>100</v>
      </c>
      <c r="R59" s="10">
        <f t="shared" si="7"/>
        <v>46078</v>
      </c>
      <c r="S59" t="str">
        <f t="shared" si="1"/>
        <v>'2026-02-25'</v>
      </c>
      <c r="T59">
        <f t="shared" si="8"/>
        <v>2</v>
      </c>
      <c r="U59">
        <f t="shared" si="2"/>
        <v>9</v>
      </c>
      <c r="V59">
        <f t="shared" si="3"/>
        <v>2026</v>
      </c>
      <c r="W59">
        <f t="shared" si="4"/>
        <v>2</v>
      </c>
      <c r="X59">
        <f t="shared" si="5"/>
        <v>25</v>
      </c>
      <c r="Y59">
        <f t="shared" si="6"/>
        <v>0</v>
      </c>
      <c r="AE59" s="2" t="str" cm="1">
        <f t="array" ref="AE59">CONCATENATE($AE$2,Liste(S59:U59),";")</f>
        <v>INSERT INTO WD_Workdays (CalendarDay, CalendarWeekday, CalendarWeek) VALUES ('2026-02-25', 2, 9);</v>
      </c>
      <c r="AF59" s="2"/>
      <c r="AG59" s="2" t="str" cm="1">
        <f t="array" ref="AG59">CONCATENATE($AG$2,Liste(L59:O59),";")</f>
        <v>INSERT INTO WD_Holidays (CalendarDay, Donation, Share) VALUES ('2024-12-31', 'Silvester', 100);</v>
      </c>
    </row>
    <row r="60" spans="11:33" x14ac:dyDescent="0.45">
      <c r="K60" s="10">
        <v>45658</v>
      </c>
      <c r="L60" t="str">
        <f t="shared" si="15"/>
        <v>'2025-01-01'</v>
      </c>
      <c r="M60" s="3" t="s">
        <v>529</v>
      </c>
      <c r="N60">
        <v>100</v>
      </c>
      <c r="R60" s="10">
        <f t="shared" si="7"/>
        <v>46079</v>
      </c>
      <c r="S60" t="str">
        <f t="shared" si="1"/>
        <v>'2026-02-26'</v>
      </c>
      <c r="T60">
        <f t="shared" si="8"/>
        <v>3</v>
      </c>
      <c r="U60">
        <f t="shared" si="2"/>
        <v>9</v>
      </c>
      <c r="V60">
        <f t="shared" si="3"/>
        <v>2026</v>
      </c>
      <c r="W60">
        <f t="shared" si="4"/>
        <v>2</v>
      </c>
      <c r="X60">
        <f t="shared" si="5"/>
        <v>26</v>
      </c>
      <c r="Y60">
        <f t="shared" si="6"/>
        <v>0</v>
      </c>
      <c r="AE60" s="2" t="str" cm="1">
        <f t="array" ref="AE60">CONCATENATE($AE$2,Liste(S60:U60),";")</f>
        <v>INSERT INTO WD_Workdays (CalendarDay, CalendarWeekday, CalendarWeek) VALUES ('2026-02-26', 3, 9);</v>
      </c>
      <c r="AF60" s="2"/>
      <c r="AG60" s="2" t="str" cm="1">
        <f t="array" ref="AG60">CONCATENATE($AG$2,Liste(L60:O60),";")</f>
        <v>INSERT INTO WD_Holidays (CalendarDay, Donation, Share) VALUES ('2025-01-01', 'Neujahr', 100);</v>
      </c>
    </row>
    <row r="61" spans="11:33" x14ac:dyDescent="0.45">
      <c r="K61" s="10">
        <v>45724</v>
      </c>
      <c r="L61" t="str">
        <f t="shared" ref="L61:L67" si="16">CONCATENATE("'",TEXT(K61,"jjjj-MM-tt"),"'")</f>
        <v>'2025-03-08'</v>
      </c>
      <c r="M61" s="3" t="s">
        <v>602</v>
      </c>
      <c r="N61">
        <v>100</v>
      </c>
      <c r="R61" s="10">
        <f t="shared" si="7"/>
        <v>46080</v>
      </c>
      <c r="S61" t="str">
        <f t="shared" si="1"/>
        <v>'2026-02-27'</v>
      </c>
      <c r="T61">
        <f t="shared" si="8"/>
        <v>4</v>
      </c>
      <c r="U61">
        <f t="shared" si="2"/>
        <v>9</v>
      </c>
      <c r="V61">
        <f t="shared" si="3"/>
        <v>2026</v>
      </c>
      <c r="W61">
        <f t="shared" si="4"/>
        <v>2</v>
      </c>
      <c r="X61">
        <f t="shared" si="5"/>
        <v>27</v>
      </c>
      <c r="Y61">
        <f t="shared" si="6"/>
        <v>0</v>
      </c>
      <c r="AE61" s="2" t="str" cm="1">
        <f t="array" ref="AE61">CONCATENATE($AE$2,Liste(S61:U61),";")</f>
        <v>INSERT INTO WD_Workdays (CalendarDay, CalendarWeekday, CalendarWeek) VALUES ('2026-02-27', 4, 9);</v>
      </c>
      <c r="AF61" s="2"/>
      <c r="AG61" s="2" t="str" cm="1">
        <f t="array" ref="AG61">CONCATENATE($AG$2,Liste(L61:O61),";")</f>
        <v>INSERT INTO WD_Holidays (CalendarDay, Donation, Share) VALUES ('2025-03-08', 'Internationaler Frauentag', 100);</v>
      </c>
    </row>
    <row r="62" spans="11:33" x14ac:dyDescent="0.45">
      <c r="K62" s="10">
        <v>45765</v>
      </c>
      <c r="L62" t="str">
        <f t="shared" si="16"/>
        <v>'2025-04-18'</v>
      </c>
      <c r="M62" s="3" t="s">
        <v>603</v>
      </c>
      <c r="N62">
        <v>100</v>
      </c>
      <c r="R62" s="10">
        <f t="shared" si="7"/>
        <v>46081</v>
      </c>
      <c r="S62" t="str">
        <f t="shared" si="1"/>
        <v>'2026-02-28'</v>
      </c>
      <c r="T62">
        <f t="shared" si="8"/>
        <v>5</v>
      </c>
      <c r="U62">
        <f t="shared" si="2"/>
        <v>9</v>
      </c>
      <c r="V62">
        <f t="shared" si="3"/>
        <v>2026</v>
      </c>
      <c r="W62">
        <f t="shared" si="4"/>
        <v>2</v>
      </c>
      <c r="X62">
        <f t="shared" si="5"/>
        <v>28</v>
      </c>
      <c r="Y62">
        <f t="shared" si="6"/>
        <v>0</v>
      </c>
      <c r="AE62" s="2" t="str" cm="1">
        <f t="array" ref="AE62">CONCATENATE($AE$2,Liste(S62:U62),";")</f>
        <v>INSERT INTO WD_Workdays (CalendarDay, CalendarWeekday, CalendarWeek) VALUES ('2026-02-28', 5, 9);</v>
      </c>
      <c r="AF62" s="2"/>
      <c r="AG62" s="2" t="str" cm="1">
        <f t="array" ref="AG62">CONCATENATE($AG$2,Liste(L62:O62),";")</f>
        <v>INSERT INTO WD_Holidays (CalendarDay, Donation, Share) VALUES ('2025-04-18', 'Karfreitag', 100);</v>
      </c>
    </row>
    <row r="63" spans="11:33" x14ac:dyDescent="0.45">
      <c r="K63" s="10">
        <v>45767</v>
      </c>
      <c r="L63" t="str">
        <f t="shared" si="16"/>
        <v>'2025-04-20'</v>
      </c>
      <c r="M63" s="3" t="s">
        <v>604</v>
      </c>
      <c r="N63">
        <v>100</v>
      </c>
      <c r="R63" s="10">
        <f t="shared" si="7"/>
        <v>46082</v>
      </c>
      <c r="S63" t="str">
        <f t="shared" si="1"/>
        <v>'2026-03-01'</v>
      </c>
      <c r="T63">
        <f t="shared" si="8"/>
        <v>6</v>
      </c>
      <c r="U63">
        <f t="shared" si="2"/>
        <v>9</v>
      </c>
      <c r="V63">
        <f t="shared" si="3"/>
        <v>2026</v>
      </c>
      <c r="W63">
        <f t="shared" si="4"/>
        <v>3</v>
      </c>
      <c r="X63">
        <f t="shared" si="5"/>
        <v>1</v>
      </c>
      <c r="Y63">
        <f t="shared" si="6"/>
        <v>0</v>
      </c>
      <c r="AE63" s="2" t="str" cm="1">
        <f t="array" ref="AE63">CONCATENATE($AE$2,Liste(S63:U63),";")</f>
        <v>INSERT INTO WD_Workdays (CalendarDay, CalendarWeekday, CalendarWeek) VALUES ('2026-03-01', 6, 9);</v>
      </c>
      <c r="AF63" s="2"/>
      <c r="AG63" s="2" t="str" cm="1">
        <f t="array" ref="AG63">CONCATENATE($AG$2,Liste(L63:O63),";")</f>
        <v>INSERT INTO WD_Holidays (CalendarDay, Donation, Share) VALUES ('2025-04-20', 'Ostersonntag', 100);</v>
      </c>
    </row>
    <row r="64" spans="11:33" x14ac:dyDescent="0.45">
      <c r="K64" s="10">
        <v>45768</v>
      </c>
      <c r="L64" t="str">
        <f t="shared" si="16"/>
        <v>'2025-04-21'</v>
      </c>
      <c r="M64" s="3" t="s">
        <v>605</v>
      </c>
      <c r="N64">
        <v>100</v>
      </c>
      <c r="R64" s="10">
        <f t="shared" si="7"/>
        <v>46083</v>
      </c>
      <c r="S64" t="str">
        <f t="shared" si="1"/>
        <v>'2026-03-02'</v>
      </c>
      <c r="T64">
        <f t="shared" si="8"/>
        <v>0</v>
      </c>
      <c r="U64">
        <f t="shared" si="2"/>
        <v>10</v>
      </c>
      <c r="V64">
        <f t="shared" si="3"/>
        <v>2026</v>
      </c>
      <c r="W64">
        <f t="shared" si="4"/>
        <v>3</v>
      </c>
      <c r="X64">
        <f t="shared" si="5"/>
        <v>2</v>
      </c>
      <c r="Y64">
        <f t="shared" si="6"/>
        <v>0</v>
      </c>
      <c r="AE64" s="2" t="str" cm="1">
        <f t="array" ref="AE64">CONCATENATE($AE$2,Liste(S64:U64),";")</f>
        <v>INSERT INTO WD_Workdays (CalendarDay, CalendarWeekday, CalendarWeek) VALUES ('2026-03-02', 0, 10);</v>
      </c>
      <c r="AF64" s="2"/>
      <c r="AG64" s="2" t="str" cm="1">
        <f t="array" ref="AG64">CONCATENATE($AG$2,Liste(L64:O64),";")</f>
        <v>INSERT INTO WD_Holidays (CalendarDay, Donation, Share) VALUES ('2025-04-21', 'Ostermontag', 100);</v>
      </c>
    </row>
    <row r="65" spans="11:33" x14ac:dyDescent="0.45">
      <c r="K65" s="10">
        <v>45778</v>
      </c>
      <c r="L65" t="str">
        <f t="shared" si="16"/>
        <v>'2025-05-01'</v>
      </c>
      <c r="M65" s="3" t="s">
        <v>606</v>
      </c>
      <c r="N65">
        <v>100</v>
      </c>
      <c r="R65" s="10">
        <f t="shared" si="7"/>
        <v>46084</v>
      </c>
      <c r="S65" t="str">
        <f t="shared" si="1"/>
        <v>'2026-03-03'</v>
      </c>
      <c r="T65">
        <f t="shared" si="8"/>
        <v>1</v>
      </c>
      <c r="U65">
        <f t="shared" si="2"/>
        <v>10</v>
      </c>
      <c r="V65">
        <f t="shared" si="3"/>
        <v>2026</v>
      </c>
      <c r="W65">
        <f t="shared" si="4"/>
        <v>3</v>
      </c>
      <c r="X65">
        <f t="shared" si="5"/>
        <v>3</v>
      </c>
      <c r="Y65">
        <f t="shared" si="6"/>
        <v>0</v>
      </c>
      <c r="AE65" s="2" t="str" cm="1">
        <f t="array" ref="AE65">CONCATENATE($AE$2,Liste(S65:U65),";")</f>
        <v>INSERT INTO WD_Workdays (CalendarDay, CalendarWeekday, CalendarWeek) VALUES ('2026-03-03', 1, 10);</v>
      </c>
      <c r="AF65" s="2"/>
      <c r="AG65" s="2" t="str" cm="1">
        <f t="array" ref="AG65">CONCATENATE($AG$2,Liste(L65:O65),";")</f>
        <v>INSERT INTO WD_Holidays (CalendarDay, Donation, Share) VALUES ('2025-05-01', 'Tag der Arbeit', 100);</v>
      </c>
    </row>
    <row r="66" spans="11:33" x14ac:dyDescent="0.45">
      <c r="K66" s="10">
        <v>45806</v>
      </c>
      <c r="L66" t="str">
        <f t="shared" si="16"/>
        <v>'2025-05-29'</v>
      </c>
      <c r="M66" s="3" t="s">
        <v>607</v>
      </c>
      <c r="N66">
        <v>100</v>
      </c>
      <c r="R66" s="10">
        <f t="shared" si="7"/>
        <v>46085</v>
      </c>
      <c r="S66" t="str">
        <f t="shared" si="1"/>
        <v>'2026-03-04'</v>
      </c>
      <c r="T66">
        <f t="shared" si="8"/>
        <v>2</v>
      </c>
      <c r="U66">
        <f t="shared" si="2"/>
        <v>10</v>
      </c>
      <c r="V66">
        <f t="shared" si="3"/>
        <v>2026</v>
      </c>
      <c r="W66">
        <f t="shared" si="4"/>
        <v>3</v>
      </c>
      <c r="X66">
        <f t="shared" si="5"/>
        <v>4</v>
      </c>
      <c r="Y66">
        <f t="shared" si="6"/>
        <v>0</v>
      </c>
      <c r="AE66" s="2" t="str" cm="1">
        <f t="array" ref="AE66">CONCATENATE($AE$2,Liste(S66:U66),";")</f>
        <v>INSERT INTO WD_Workdays (CalendarDay, CalendarWeekday, CalendarWeek) VALUES ('2026-03-04', 2, 10);</v>
      </c>
      <c r="AF66" s="2"/>
      <c r="AG66" s="2" t="str" cm="1">
        <f t="array" ref="AG66">CONCATENATE($AG$2,Liste(L66:O66),";")</f>
        <v>INSERT INTO WD_Holidays (CalendarDay, Donation, Share) VALUES ('2025-05-29', 'Christi Himmelfahrt', 100);</v>
      </c>
    </row>
    <row r="67" spans="11:33" x14ac:dyDescent="0.45">
      <c r="K67" s="10">
        <v>45816</v>
      </c>
      <c r="L67" t="str">
        <f t="shared" si="16"/>
        <v>'2025-06-08'</v>
      </c>
      <c r="M67" s="3" t="s">
        <v>850</v>
      </c>
      <c r="N67">
        <v>100</v>
      </c>
      <c r="R67" s="10">
        <f t="shared" si="7"/>
        <v>46086</v>
      </c>
      <c r="S67" t="str">
        <f t="shared" si="1"/>
        <v>'2026-03-05'</v>
      </c>
      <c r="T67">
        <f t="shared" si="8"/>
        <v>3</v>
      </c>
      <c r="U67">
        <f t="shared" si="2"/>
        <v>10</v>
      </c>
      <c r="V67">
        <f t="shared" si="3"/>
        <v>2026</v>
      </c>
      <c r="W67">
        <f t="shared" si="4"/>
        <v>3</v>
      </c>
      <c r="X67">
        <f t="shared" si="5"/>
        <v>5</v>
      </c>
      <c r="Y67">
        <f t="shared" si="6"/>
        <v>0</v>
      </c>
      <c r="AE67" s="2" t="str" cm="1">
        <f t="array" ref="AE67">CONCATENATE($AE$2,Liste(S67:U67),";")</f>
        <v>INSERT INTO WD_Workdays (CalendarDay, CalendarWeekday, CalendarWeek) VALUES ('2026-03-05', 3, 10);</v>
      </c>
      <c r="AF67" s="2"/>
      <c r="AG67" s="2" t="str" cm="1">
        <f t="array" ref="AG67">CONCATENATE($AG$2,Liste(L67:O67),";")</f>
        <v>INSERT INTO WD_Holidays (CalendarDay, Donation, Share) VALUES ('2025-06-08', 'Pfingstsonntag', 100);</v>
      </c>
    </row>
    <row r="68" spans="11:33" x14ac:dyDescent="0.45">
      <c r="K68" s="10">
        <v>45817</v>
      </c>
      <c r="L68" t="str">
        <f t="shared" ref="L68:L74" si="17">CONCATENATE("'",TEXT(K68,"jjjj-MM-tt"),"'")</f>
        <v>'2025-06-09'</v>
      </c>
      <c r="M68" s="3" t="s">
        <v>608</v>
      </c>
      <c r="N68">
        <v>100</v>
      </c>
      <c r="R68" s="10">
        <f t="shared" si="7"/>
        <v>46087</v>
      </c>
      <c r="S68" t="str">
        <f t="shared" si="1"/>
        <v>'2026-03-06'</v>
      </c>
      <c r="T68">
        <f t="shared" si="8"/>
        <v>4</v>
      </c>
      <c r="U68">
        <f t="shared" si="2"/>
        <v>10</v>
      </c>
      <c r="V68">
        <f t="shared" si="3"/>
        <v>2026</v>
      </c>
      <c r="W68">
        <f t="shared" si="4"/>
        <v>3</v>
      </c>
      <c r="X68">
        <f t="shared" si="5"/>
        <v>6</v>
      </c>
      <c r="Y68">
        <f t="shared" si="6"/>
        <v>0</v>
      </c>
      <c r="AE68" s="2" t="str" cm="1">
        <f t="array" ref="AE68">CONCATENATE($AE$2,Liste(S68:U68),";")</f>
        <v>INSERT INTO WD_Workdays (CalendarDay, CalendarWeekday, CalendarWeek) VALUES ('2026-03-06', 4, 10);</v>
      </c>
      <c r="AF68" s="2"/>
      <c r="AG68" s="2" t="str" cm="1">
        <f t="array" ref="AG68">CONCATENATE($AG$2,Liste(L68:O68),";")</f>
        <v>INSERT INTO WD_Holidays (CalendarDay, Donation, Share) VALUES ('2025-06-09', 'Pfingstmontag', 100);</v>
      </c>
    </row>
    <row r="69" spans="11:33" x14ac:dyDescent="0.45">
      <c r="K69" s="10">
        <v>45933</v>
      </c>
      <c r="L69" t="str">
        <f t="shared" si="17"/>
        <v>'2025-10-03'</v>
      </c>
      <c r="M69" s="3" t="s">
        <v>609</v>
      </c>
      <c r="N69">
        <v>100</v>
      </c>
      <c r="R69" s="10">
        <f t="shared" si="7"/>
        <v>46088</v>
      </c>
      <c r="S69" t="str">
        <f t="shared" ref="S69:S132" si="18">CONCATENATE("'",TEXT(R69,"jjjj-MM-tt"),"'")</f>
        <v>'2026-03-07'</v>
      </c>
      <c r="T69">
        <f t="shared" ref="T69:T132" si="19">WEEKDAY(R69,3)</f>
        <v>5</v>
      </c>
      <c r="U69">
        <f t="shared" ref="U69:U132" si="20">_xlfn.ISOWEEKNUM(R69)</f>
        <v>10</v>
      </c>
      <c r="V69">
        <f t="shared" ref="V69:V132" si="21">YEAR(R69)</f>
        <v>2026</v>
      </c>
      <c r="W69">
        <f t="shared" ref="W69:W132" si="22">MONTH(R69)</f>
        <v>3</v>
      </c>
      <c r="X69">
        <f t="shared" ref="X69:X132" si="23">DAY(R69)</f>
        <v>7</v>
      </c>
      <c r="Y69">
        <f t="shared" ref="Y69:Y132" si="24">IF(AND(W69&gt;=1,W69&lt;=3),0,IF(AND(W69&gt;=4,W69&lt;=6),1,IF(AND(W69&gt;=7,W69&lt;=8),2,IF(AND(W69&gt;=9,W69&lt;=12),3,-1))))</f>
        <v>0</v>
      </c>
      <c r="AE69" s="2" t="str" cm="1">
        <f t="array" ref="AE69">CONCATENATE($AE$2,Liste(S69:U69),";")</f>
        <v>INSERT INTO WD_Workdays (CalendarDay, CalendarWeekday, CalendarWeek) VALUES ('2026-03-07', 5, 10);</v>
      </c>
      <c r="AF69" s="2"/>
      <c r="AG69" s="2" t="str" cm="1">
        <f t="array" ref="AG69">CONCATENATE($AG$2,Liste(L69:O69),";")</f>
        <v>INSERT INTO WD_Holidays (CalendarDay, Donation, Share) VALUES ('2025-10-03', 'Tag der Deutschen Einheit', 100);</v>
      </c>
    </row>
    <row r="70" spans="11:33" x14ac:dyDescent="0.45">
      <c r="K70" s="10">
        <v>46015</v>
      </c>
      <c r="L70" t="str">
        <f t="shared" si="17"/>
        <v>'2025-12-24'</v>
      </c>
      <c r="M70" s="3" t="s">
        <v>610</v>
      </c>
      <c r="N70">
        <v>100</v>
      </c>
      <c r="R70" s="10">
        <f t="shared" ref="R70:R133" si="25">R69+1</f>
        <v>46089</v>
      </c>
      <c r="S70" t="str">
        <f t="shared" si="18"/>
        <v>'2026-03-08'</v>
      </c>
      <c r="T70">
        <f t="shared" si="19"/>
        <v>6</v>
      </c>
      <c r="U70">
        <f t="shared" si="20"/>
        <v>10</v>
      </c>
      <c r="V70">
        <f t="shared" si="21"/>
        <v>2026</v>
      </c>
      <c r="W70">
        <f t="shared" si="22"/>
        <v>3</v>
      </c>
      <c r="X70">
        <f t="shared" si="23"/>
        <v>8</v>
      </c>
      <c r="Y70">
        <f t="shared" si="24"/>
        <v>0</v>
      </c>
      <c r="AE70" s="2" t="str" cm="1">
        <f t="array" ref="AE70">CONCATENATE($AE$2,Liste(S70:U70),";")</f>
        <v>INSERT INTO WD_Workdays (CalendarDay, CalendarWeekday, CalendarWeek) VALUES ('2026-03-08', 6, 10);</v>
      </c>
      <c r="AF70" s="2"/>
      <c r="AG70" s="2" t="str" cm="1">
        <f t="array" ref="AG70">CONCATENATE($AG$2,Liste(L70:O70),";")</f>
        <v>INSERT INTO WD_Holidays (CalendarDay, Donation, Share) VALUES ('2025-12-24', 'Heiligabend', 100);</v>
      </c>
    </row>
    <row r="71" spans="11:33" x14ac:dyDescent="0.45">
      <c r="K71" s="10">
        <v>46016</v>
      </c>
      <c r="L71" t="str">
        <f t="shared" si="17"/>
        <v>'2025-12-25'</v>
      </c>
      <c r="M71" s="3" t="s">
        <v>611</v>
      </c>
      <c r="N71">
        <v>100</v>
      </c>
      <c r="R71" s="10">
        <f t="shared" si="25"/>
        <v>46090</v>
      </c>
      <c r="S71" t="str">
        <f t="shared" si="18"/>
        <v>'2026-03-09'</v>
      </c>
      <c r="T71">
        <f t="shared" si="19"/>
        <v>0</v>
      </c>
      <c r="U71">
        <f t="shared" si="20"/>
        <v>11</v>
      </c>
      <c r="V71">
        <f t="shared" si="21"/>
        <v>2026</v>
      </c>
      <c r="W71">
        <f t="shared" si="22"/>
        <v>3</v>
      </c>
      <c r="X71">
        <f t="shared" si="23"/>
        <v>9</v>
      </c>
      <c r="Y71">
        <f t="shared" si="24"/>
        <v>0</v>
      </c>
      <c r="AE71" s="2" t="str" cm="1">
        <f t="array" ref="AE71">CONCATENATE($AE$2,Liste(S71:U71),";")</f>
        <v>INSERT INTO WD_Workdays (CalendarDay, CalendarWeekday, CalendarWeek) VALUES ('2026-03-09', 0, 11);</v>
      </c>
      <c r="AF71" s="2"/>
      <c r="AG71" s="2" t="str" cm="1">
        <f t="array" ref="AG71">CONCATENATE($AG$2,Liste(L71:O71),";")</f>
        <v>INSERT INTO WD_Holidays (CalendarDay, Donation, Share) VALUES ('2025-12-25', '1. Weihnachtsfeiertag', 100);</v>
      </c>
    </row>
    <row r="72" spans="11:33" x14ac:dyDescent="0.45">
      <c r="K72" s="10">
        <v>46017</v>
      </c>
      <c r="L72" t="str">
        <f t="shared" si="17"/>
        <v>'2025-12-26'</v>
      </c>
      <c r="M72" s="3" t="s">
        <v>612</v>
      </c>
      <c r="N72">
        <v>100</v>
      </c>
      <c r="R72" s="10">
        <f t="shared" si="25"/>
        <v>46091</v>
      </c>
      <c r="S72" t="str">
        <f t="shared" si="18"/>
        <v>'2026-03-10'</v>
      </c>
      <c r="T72">
        <f t="shared" si="19"/>
        <v>1</v>
      </c>
      <c r="U72">
        <f t="shared" si="20"/>
        <v>11</v>
      </c>
      <c r="V72">
        <f t="shared" si="21"/>
        <v>2026</v>
      </c>
      <c r="W72">
        <f t="shared" si="22"/>
        <v>3</v>
      </c>
      <c r="X72">
        <f t="shared" si="23"/>
        <v>10</v>
      </c>
      <c r="Y72">
        <f t="shared" si="24"/>
        <v>0</v>
      </c>
      <c r="AE72" s="2" t="str" cm="1">
        <f t="array" ref="AE72">CONCATENATE($AE$2,Liste(S72:U72),";")</f>
        <v>INSERT INTO WD_Workdays (CalendarDay, CalendarWeekday, CalendarWeek) VALUES ('2026-03-10', 1, 11);</v>
      </c>
      <c r="AF72" s="2"/>
      <c r="AG72" s="2" t="str" cm="1">
        <f t="array" ref="AG72">CONCATENATE($AG$2,Liste(L72:O72),";")</f>
        <v>INSERT INTO WD_Holidays (CalendarDay, Donation, Share) VALUES ('2025-12-26', '2. Weihnachtsfeiertag', 100);</v>
      </c>
    </row>
    <row r="73" spans="11:33" x14ac:dyDescent="0.45">
      <c r="K73" s="10">
        <v>46022</v>
      </c>
      <c r="L73" t="str">
        <f t="shared" si="17"/>
        <v>'2025-12-31'</v>
      </c>
      <c r="M73" s="3" t="s">
        <v>613</v>
      </c>
      <c r="N73">
        <v>100</v>
      </c>
      <c r="R73" s="10">
        <f t="shared" si="25"/>
        <v>46092</v>
      </c>
      <c r="S73" t="str">
        <f t="shared" si="18"/>
        <v>'2026-03-11'</v>
      </c>
      <c r="T73">
        <f t="shared" si="19"/>
        <v>2</v>
      </c>
      <c r="U73">
        <f t="shared" si="20"/>
        <v>11</v>
      </c>
      <c r="V73">
        <f t="shared" si="21"/>
        <v>2026</v>
      </c>
      <c r="W73">
        <f t="shared" si="22"/>
        <v>3</v>
      </c>
      <c r="X73">
        <f t="shared" si="23"/>
        <v>11</v>
      </c>
      <c r="Y73">
        <f t="shared" si="24"/>
        <v>0</v>
      </c>
      <c r="AE73" s="2" t="str" cm="1">
        <f t="array" ref="AE73">CONCATENATE($AE$2,Liste(S73:U73),";")</f>
        <v>INSERT INTO WD_Workdays (CalendarDay, CalendarWeekday, CalendarWeek) VALUES ('2026-03-11', 2, 11);</v>
      </c>
      <c r="AF73" s="2"/>
      <c r="AG73" s="2" t="str" cm="1">
        <f t="array" ref="AG73">CONCATENATE($AG$2,Liste(L73:O73),";")</f>
        <v>INSERT INTO WD_Holidays (CalendarDay, Donation, Share) VALUES ('2025-12-31', 'Silvester', 100);</v>
      </c>
    </row>
    <row r="74" spans="11:33" x14ac:dyDescent="0.45">
      <c r="K74" s="10">
        <v>46023</v>
      </c>
      <c r="L74" t="str">
        <f t="shared" si="17"/>
        <v>'2026-01-01'</v>
      </c>
      <c r="M74" s="3" t="s">
        <v>529</v>
      </c>
      <c r="N74">
        <v>100</v>
      </c>
      <c r="R74" s="10">
        <f t="shared" si="25"/>
        <v>46093</v>
      </c>
      <c r="S74" t="str">
        <f t="shared" si="18"/>
        <v>'2026-03-12'</v>
      </c>
      <c r="T74">
        <f t="shared" si="19"/>
        <v>3</v>
      </c>
      <c r="U74">
        <f t="shared" si="20"/>
        <v>11</v>
      </c>
      <c r="V74">
        <f t="shared" si="21"/>
        <v>2026</v>
      </c>
      <c r="W74">
        <f t="shared" si="22"/>
        <v>3</v>
      </c>
      <c r="X74">
        <f t="shared" si="23"/>
        <v>12</v>
      </c>
      <c r="Y74">
        <f t="shared" si="24"/>
        <v>0</v>
      </c>
      <c r="AE74" s="2" t="str" cm="1">
        <f t="array" ref="AE74">CONCATENATE($AE$2,Liste(S74:U74),";")</f>
        <v>INSERT INTO WD_Workdays (CalendarDay, CalendarWeekday, CalendarWeek) VALUES ('2026-03-12', 3, 11);</v>
      </c>
      <c r="AF74" s="2"/>
      <c r="AG74" s="2" t="str" cm="1">
        <f t="array" ref="AG74">CONCATENATE($AG$2,Liste(L74:O74),";")</f>
        <v>INSERT INTO WD_Holidays (CalendarDay, Donation, Share) VALUES ('2026-01-01', 'Neujahr', 100);</v>
      </c>
    </row>
    <row r="75" spans="11:33" x14ac:dyDescent="0.45">
      <c r="K75" s="10">
        <v>46089</v>
      </c>
      <c r="L75" t="str">
        <f t="shared" ref="L75:L81" si="26">CONCATENATE("'",TEXT(K75,"jjjj-MM-tt"),"'")</f>
        <v>'2026-03-08'</v>
      </c>
      <c r="M75" s="3" t="s">
        <v>602</v>
      </c>
      <c r="N75">
        <v>100</v>
      </c>
      <c r="R75" s="10">
        <f t="shared" si="25"/>
        <v>46094</v>
      </c>
      <c r="S75" t="str">
        <f t="shared" si="18"/>
        <v>'2026-03-13'</v>
      </c>
      <c r="T75">
        <f t="shared" si="19"/>
        <v>4</v>
      </c>
      <c r="U75">
        <f t="shared" si="20"/>
        <v>11</v>
      </c>
      <c r="V75">
        <f t="shared" si="21"/>
        <v>2026</v>
      </c>
      <c r="W75">
        <f t="shared" si="22"/>
        <v>3</v>
      </c>
      <c r="X75">
        <f t="shared" si="23"/>
        <v>13</v>
      </c>
      <c r="Y75">
        <f t="shared" si="24"/>
        <v>0</v>
      </c>
      <c r="AE75" s="2" t="str" cm="1">
        <f t="array" ref="AE75">CONCATENATE($AE$2,Liste(S75:U75),";")</f>
        <v>INSERT INTO WD_Workdays (CalendarDay, CalendarWeekday, CalendarWeek) VALUES ('2026-03-13', 4, 11);</v>
      </c>
      <c r="AF75" s="2"/>
      <c r="AG75" s="2" t="str" cm="1">
        <f t="array" ref="AG75">CONCATENATE($AG$2,Liste(L75:O75),";")</f>
        <v>INSERT INTO WD_Holidays (CalendarDay, Donation, Share) VALUES ('2026-03-08', 'Internationaler Frauentag', 100);</v>
      </c>
    </row>
    <row r="76" spans="11:33" x14ac:dyDescent="0.45">
      <c r="K76" s="10">
        <v>46115</v>
      </c>
      <c r="L76" t="str">
        <f t="shared" si="26"/>
        <v>'2026-04-03'</v>
      </c>
      <c r="M76" s="3" t="s">
        <v>603</v>
      </c>
      <c r="N76">
        <v>100</v>
      </c>
      <c r="R76" s="10">
        <f t="shared" si="25"/>
        <v>46095</v>
      </c>
      <c r="S76" t="str">
        <f t="shared" si="18"/>
        <v>'2026-03-14'</v>
      </c>
      <c r="T76">
        <f t="shared" si="19"/>
        <v>5</v>
      </c>
      <c r="U76">
        <f t="shared" si="20"/>
        <v>11</v>
      </c>
      <c r="V76">
        <f t="shared" si="21"/>
        <v>2026</v>
      </c>
      <c r="W76">
        <f t="shared" si="22"/>
        <v>3</v>
      </c>
      <c r="X76">
        <f t="shared" si="23"/>
        <v>14</v>
      </c>
      <c r="Y76">
        <f t="shared" si="24"/>
        <v>0</v>
      </c>
      <c r="AE76" s="2" t="str" cm="1">
        <f t="array" ref="AE76">CONCATENATE($AE$2,Liste(S76:U76),";")</f>
        <v>INSERT INTO WD_Workdays (CalendarDay, CalendarWeekday, CalendarWeek) VALUES ('2026-03-14', 5, 11);</v>
      </c>
      <c r="AF76" s="2"/>
      <c r="AG76" s="2" t="str" cm="1">
        <f t="array" ref="AG76">CONCATENATE($AG$2,Liste(L76:O76),";")</f>
        <v>INSERT INTO WD_Holidays (CalendarDay, Donation, Share) VALUES ('2026-04-03', 'Karfreitag', 100);</v>
      </c>
    </row>
    <row r="77" spans="11:33" x14ac:dyDescent="0.45">
      <c r="K77" s="10">
        <v>46117</v>
      </c>
      <c r="L77" t="str">
        <f t="shared" si="26"/>
        <v>'2026-04-05'</v>
      </c>
      <c r="M77" s="3" t="s">
        <v>604</v>
      </c>
      <c r="N77">
        <v>100</v>
      </c>
      <c r="R77" s="10">
        <f t="shared" si="25"/>
        <v>46096</v>
      </c>
      <c r="S77" t="str">
        <f t="shared" si="18"/>
        <v>'2026-03-15'</v>
      </c>
      <c r="T77">
        <f t="shared" si="19"/>
        <v>6</v>
      </c>
      <c r="U77">
        <f t="shared" si="20"/>
        <v>11</v>
      </c>
      <c r="V77">
        <f t="shared" si="21"/>
        <v>2026</v>
      </c>
      <c r="W77">
        <f t="shared" si="22"/>
        <v>3</v>
      </c>
      <c r="X77">
        <f t="shared" si="23"/>
        <v>15</v>
      </c>
      <c r="Y77">
        <f t="shared" si="24"/>
        <v>0</v>
      </c>
      <c r="AE77" s="2" t="str" cm="1">
        <f t="array" ref="AE77">CONCATENATE($AE$2,Liste(S77:U77),";")</f>
        <v>INSERT INTO WD_Workdays (CalendarDay, CalendarWeekday, CalendarWeek) VALUES ('2026-03-15', 6, 11);</v>
      </c>
      <c r="AF77" s="2"/>
      <c r="AG77" s="2" t="str" cm="1">
        <f t="array" ref="AG77">CONCATENATE($AG$2,Liste(L77:O77),";")</f>
        <v>INSERT INTO WD_Holidays (CalendarDay, Donation, Share) VALUES ('2026-04-05', 'Ostersonntag', 100);</v>
      </c>
    </row>
    <row r="78" spans="11:33" x14ac:dyDescent="0.45">
      <c r="K78" s="10">
        <v>46118</v>
      </c>
      <c r="L78" t="str">
        <f t="shared" si="26"/>
        <v>'2026-04-06'</v>
      </c>
      <c r="M78" s="3" t="s">
        <v>605</v>
      </c>
      <c r="N78">
        <v>100</v>
      </c>
      <c r="R78" s="10">
        <f t="shared" si="25"/>
        <v>46097</v>
      </c>
      <c r="S78" t="str">
        <f t="shared" si="18"/>
        <v>'2026-03-16'</v>
      </c>
      <c r="T78">
        <f t="shared" si="19"/>
        <v>0</v>
      </c>
      <c r="U78">
        <f t="shared" si="20"/>
        <v>12</v>
      </c>
      <c r="V78">
        <f t="shared" si="21"/>
        <v>2026</v>
      </c>
      <c r="W78">
        <f t="shared" si="22"/>
        <v>3</v>
      </c>
      <c r="X78">
        <f t="shared" si="23"/>
        <v>16</v>
      </c>
      <c r="Y78">
        <f t="shared" si="24"/>
        <v>0</v>
      </c>
      <c r="AE78" s="2" t="str" cm="1">
        <f t="array" ref="AE78">CONCATENATE($AE$2,Liste(S78:U78),";")</f>
        <v>INSERT INTO WD_Workdays (CalendarDay, CalendarWeekday, CalendarWeek) VALUES ('2026-03-16', 0, 12);</v>
      </c>
      <c r="AF78" s="2"/>
      <c r="AG78" s="2" t="str" cm="1">
        <f t="array" ref="AG78">CONCATENATE($AG$2,Liste(L78:O78),";")</f>
        <v>INSERT INTO WD_Holidays (CalendarDay, Donation, Share) VALUES ('2026-04-06', 'Ostermontag', 100);</v>
      </c>
    </row>
    <row r="79" spans="11:33" x14ac:dyDescent="0.45">
      <c r="K79" s="10">
        <v>46143</v>
      </c>
      <c r="L79" t="str">
        <f t="shared" si="26"/>
        <v>'2026-05-01'</v>
      </c>
      <c r="M79" s="3" t="s">
        <v>606</v>
      </c>
      <c r="N79">
        <v>100</v>
      </c>
      <c r="R79" s="10">
        <f t="shared" si="25"/>
        <v>46098</v>
      </c>
      <c r="S79" t="str">
        <f t="shared" si="18"/>
        <v>'2026-03-17'</v>
      </c>
      <c r="T79">
        <f t="shared" si="19"/>
        <v>1</v>
      </c>
      <c r="U79">
        <f t="shared" si="20"/>
        <v>12</v>
      </c>
      <c r="V79">
        <f t="shared" si="21"/>
        <v>2026</v>
      </c>
      <c r="W79">
        <f t="shared" si="22"/>
        <v>3</v>
      </c>
      <c r="X79">
        <f t="shared" si="23"/>
        <v>17</v>
      </c>
      <c r="Y79">
        <f t="shared" si="24"/>
        <v>0</v>
      </c>
      <c r="AE79" s="2" t="str" cm="1">
        <f t="array" ref="AE79">CONCATENATE($AE$2,Liste(S79:U79),";")</f>
        <v>INSERT INTO WD_Workdays (CalendarDay, CalendarWeekday, CalendarWeek) VALUES ('2026-03-17', 1, 12);</v>
      </c>
      <c r="AF79" s="2"/>
      <c r="AG79" s="2" t="str" cm="1">
        <f t="array" ref="AG79">CONCATENATE($AG$2,Liste(L79:O79),";")</f>
        <v>INSERT INTO WD_Holidays (CalendarDay, Donation, Share) VALUES ('2026-05-01', 'Tag der Arbeit', 100);</v>
      </c>
    </row>
    <row r="80" spans="11:33" x14ac:dyDescent="0.45">
      <c r="K80" s="10">
        <v>46156</v>
      </c>
      <c r="L80" t="str">
        <f t="shared" si="26"/>
        <v>'2026-05-14'</v>
      </c>
      <c r="M80" s="3" t="s">
        <v>607</v>
      </c>
      <c r="N80">
        <v>100</v>
      </c>
      <c r="R80" s="10">
        <f t="shared" si="25"/>
        <v>46099</v>
      </c>
      <c r="S80" t="str">
        <f t="shared" si="18"/>
        <v>'2026-03-18'</v>
      </c>
      <c r="T80">
        <f t="shared" si="19"/>
        <v>2</v>
      </c>
      <c r="U80">
        <f t="shared" si="20"/>
        <v>12</v>
      </c>
      <c r="V80">
        <f t="shared" si="21"/>
        <v>2026</v>
      </c>
      <c r="W80">
        <f t="shared" si="22"/>
        <v>3</v>
      </c>
      <c r="X80">
        <f t="shared" si="23"/>
        <v>18</v>
      </c>
      <c r="Y80">
        <f t="shared" si="24"/>
        <v>0</v>
      </c>
      <c r="AE80" s="2" t="str" cm="1">
        <f t="array" ref="AE80">CONCATENATE($AE$2,Liste(S80:U80),";")</f>
        <v>INSERT INTO WD_Workdays (CalendarDay, CalendarWeekday, CalendarWeek) VALUES ('2026-03-18', 2, 12);</v>
      </c>
      <c r="AF80" s="2"/>
      <c r="AG80" s="2" t="str" cm="1">
        <f t="array" ref="AG80">CONCATENATE($AG$2,Liste(L80:O80),";")</f>
        <v>INSERT INTO WD_Holidays (CalendarDay, Donation, Share) VALUES ('2026-05-14', 'Christi Himmelfahrt', 100);</v>
      </c>
    </row>
    <row r="81" spans="11:33" x14ac:dyDescent="0.45">
      <c r="K81" s="10">
        <v>46166</v>
      </c>
      <c r="L81" t="str">
        <f t="shared" si="26"/>
        <v>'2026-05-24'</v>
      </c>
      <c r="M81" s="3" t="s">
        <v>850</v>
      </c>
      <c r="N81">
        <v>100</v>
      </c>
      <c r="R81" s="10">
        <f t="shared" si="25"/>
        <v>46100</v>
      </c>
      <c r="S81" t="str">
        <f t="shared" si="18"/>
        <v>'2026-03-19'</v>
      </c>
      <c r="T81">
        <f t="shared" si="19"/>
        <v>3</v>
      </c>
      <c r="U81">
        <f t="shared" si="20"/>
        <v>12</v>
      </c>
      <c r="V81">
        <f t="shared" si="21"/>
        <v>2026</v>
      </c>
      <c r="W81">
        <f t="shared" si="22"/>
        <v>3</v>
      </c>
      <c r="X81">
        <f t="shared" si="23"/>
        <v>19</v>
      </c>
      <c r="Y81">
        <f t="shared" si="24"/>
        <v>0</v>
      </c>
      <c r="AE81" s="2" t="str" cm="1">
        <f t="array" ref="AE81">CONCATENATE($AE$2,Liste(S81:U81),";")</f>
        <v>INSERT INTO WD_Workdays (CalendarDay, CalendarWeekday, CalendarWeek) VALUES ('2026-03-19', 3, 12);</v>
      </c>
      <c r="AF81" s="2"/>
      <c r="AG81" s="2" t="str" cm="1">
        <f t="array" ref="AG81">CONCATENATE($AG$2,Liste(L81:O81),";")</f>
        <v>INSERT INTO WD_Holidays (CalendarDay, Donation, Share) VALUES ('2026-05-24', 'Pfingstsonntag', 100);</v>
      </c>
    </row>
    <row r="82" spans="11:33" x14ac:dyDescent="0.45">
      <c r="K82" s="10">
        <v>46167</v>
      </c>
      <c r="L82" t="str">
        <f t="shared" ref="L82:L87" si="27">CONCATENATE("'",TEXT(K82,"jjjj-MM-tt"),"'")</f>
        <v>'2026-05-25'</v>
      </c>
      <c r="M82" s="3" t="s">
        <v>608</v>
      </c>
      <c r="N82">
        <v>100</v>
      </c>
      <c r="R82" s="10">
        <f t="shared" si="25"/>
        <v>46101</v>
      </c>
      <c r="S82" t="str">
        <f t="shared" si="18"/>
        <v>'2026-03-20'</v>
      </c>
      <c r="T82">
        <f t="shared" si="19"/>
        <v>4</v>
      </c>
      <c r="U82">
        <f t="shared" si="20"/>
        <v>12</v>
      </c>
      <c r="V82">
        <f t="shared" si="21"/>
        <v>2026</v>
      </c>
      <c r="W82">
        <f t="shared" si="22"/>
        <v>3</v>
      </c>
      <c r="X82">
        <f t="shared" si="23"/>
        <v>20</v>
      </c>
      <c r="Y82">
        <f t="shared" si="24"/>
        <v>0</v>
      </c>
      <c r="AE82" s="2" t="str" cm="1">
        <f t="array" ref="AE82">CONCATENATE($AE$2,Liste(S82:U82),";")</f>
        <v>INSERT INTO WD_Workdays (CalendarDay, CalendarWeekday, CalendarWeek) VALUES ('2026-03-20', 4, 12);</v>
      </c>
      <c r="AF82" s="2"/>
      <c r="AG82" s="2" t="str" cm="1">
        <f t="array" ref="AG82">CONCATENATE($AG$2,Liste(L82:O82),";")</f>
        <v>INSERT INTO WD_Holidays (CalendarDay, Donation, Share) VALUES ('2026-05-25', 'Pfingstmontag', 100);</v>
      </c>
    </row>
    <row r="83" spans="11:33" x14ac:dyDescent="0.45">
      <c r="K83" s="10">
        <v>46298</v>
      </c>
      <c r="L83" t="str">
        <f t="shared" si="27"/>
        <v>'2026-10-03'</v>
      </c>
      <c r="M83" s="3" t="s">
        <v>609</v>
      </c>
      <c r="N83">
        <v>100</v>
      </c>
      <c r="R83" s="10">
        <f t="shared" si="25"/>
        <v>46102</v>
      </c>
      <c r="S83" t="str">
        <f t="shared" si="18"/>
        <v>'2026-03-21'</v>
      </c>
      <c r="T83">
        <f t="shared" si="19"/>
        <v>5</v>
      </c>
      <c r="U83">
        <f t="shared" si="20"/>
        <v>12</v>
      </c>
      <c r="V83">
        <f t="shared" si="21"/>
        <v>2026</v>
      </c>
      <c r="W83">
        <f t="shared" si="22"/>
        <v>3</v>
      </c>
      <c r="X83">
        <f t="shared" si="23"/>
        <v>21</v>
      </c>
      <c r="Y83">
        <f t="shared" si="24"/>
        <v>0</v>
      </c>
      <c r="AE83" s="2" t="str" cm="1">
        <f t="array" ref="AE83">CONCATENATE($AE$2,Liste(S83:U83),";")</f>
        <v>INSERT INTO WD_Workdays (CalendarDay, CalendarWeekday, CalendarWeek) VALUES ('2026-03-21', 5, 12);</v>
      </c>
      <c r="AF83" s="2"/>
      <c r="AG83" s="2" t="str" cm="1">
        <f t="array" ref="AG83">CONCATENATE($AG$2,Liste(L83:O83),";")</f>
        <v>INSERT INTO WD_Holidays (CalendarDay, Donation, Share) VALUES ('2026-10-03', 'Tag der Deutschen Einheit', 100);</v>
      </c>
    </row>
    <row r="84" spans="11:33" x14ac:dyDescent="0.45">
      <c r="K84" s="10">
        <v>46380</v>
      </c>
      <c r="L84" t="str">
        <f t="shared" si="27"/>
        <v>'2026-12-24'</v>
      </c>
      <c r="M84" s="3" t="s">
        <v>610</v>
      </c>
      <c r="N84">
        <v>100</v>
      </c>
      <c r="R84" s="10">
        <f t="shared" si="25"/>
        <v>46103</v>
      </c>
      <c r="S84" t="str">
        <f t="shared" si="18"/>
        <v>'2026-03-22'</v>
      </c>
      <c r="T84">
        <f t="shared" si="19"/>
        <v>6</v>
      </c>
      <c r="U84">
        <f t="shared" si="20"/>
        <v>12</v>
      </c>
      <c r="V84">
        <f t="shared" si="21"/>
        <v>2026</v>
      </c>
      <c r="W84">
        <f t="shared" si="22"/>
        <v>3</v>
      </c>
      <c r="X84">
        <f t="shared" si="23"/>
        <v>22</v>
      </c>
      <c r="Y84">
        <f t="shared" si="24"/>
        <v>0</v>
      </c>
      <c r="AE84" s="2" t="str" cm="1">
        <f t="array" ref="AE84">CONCATENATE($AE$2,Liste(S84:U84),";")</f>
        <v>INSERT INTO WD_Workdays (CalendarDay, CalendarWeekday, CalendarWeek) VALUES ('2026-03-22', 6, 12);</v>
      </c>
      <c r="AF84" s="2"/>
      <c r="AG84" s="2" t="str" cm="1">
        <f t="array" ref="AG84">CONCATENATE($AG$2,Liste(L84:O84),";")</f>
        <v>INSERT INTO WD_Holidays (CalendarDay, Donation, Share) VALUES ('2026-12-24', 'Heiligabend', 100);</v>
      </c>
    </row>
    <row r="85" spans="11:33" x14ac:dyDescent="0.45">
      <c r="K85" s="10">
        <v>46381</v>
      </c>
      <c r="L85" t="str">
        <f t="shared" si="27"/>
        <v>'2026-12-25'</v>
      </c>
      <c r="M85" s="3" t="s">
        <v>611</v>
      </c>
      <c r="N85">
        <v>100</v>
      </c>
      <c r="R85" s="10">
        <f t="shared" si="25"/>
        <v>46104</v>
      </c>
      <c r="S85" t="str">
        <f t="shared" si="18"/>
        <v>'2026-03-23'</v>
      </c>
      <c r="T85">
        <f t="shared" si="19"/>
        <v>0</v>
      </c>
      <c r="U85">
        <f t="shared" si="20"/>
        <v>13</v>
      </c>
      <c r="V85">
        <f t="shared" si="21"/>
        <v>2026</v>
      </c>
      <c r="W85">
        <f t="shared" si="22"/>
        <v>3</v>
      </c>
      <c r="X85">
        <f t="shared" si="23"/>
        <v>23</v>
      </c>
      <c r="Y85">
        <f t="shared" si="24"/>
        <v>0</v>
      </c>
      <c r="AE85" s="2" t="str" cm="1">
        <f t="array" ref="AE85">CONCATENATE($AE$2,Liste(S85:U85),";")</f>
        <v>INSERT INTO WD_Workdays (CalendarDay, CalendarWeekday, CalendarWeek) VALUES ('2026-03-23', 0, 13);</v>
      </c>
      <c r="AF85" s="2"/>
      <c r="AG85" s="2" t="str" cm="1">
        <f t="array" ref="AG85">CONCATENATE($AG$2,Liste(L85:O85),";")</f>
        <v>INSERT INTO WD_Holidays (CalendarDay, Donation, Share) VALUES ('2026-12-25', '1. Weihnachtsfeiertag', 100);</v>
      </c>
    </row>
    <row r="86" spans="11:33" x14ac:dyDescent="0.45">
      <c r="K86" s="10">
        <v>46382</v>
      </c>
      <c r="L86" t="str">
        <f t="shared" si="27"/>
        <v>'2026-12-26'</v>
      </c>
      <c r="M86" s="3" t="s">
        <v>612</v>
      </c>
      <c r="N86">
        <v>100</v>
      </c>
      <c r="R86" s="10">
        <f t="shared" si="25"/>
        <v>46105</v>
      </c>
      <c r="S86" t="str">
        <f t="shared" si="18"/>
        <v>'2026-03-24'</v>
      </c>
      <c r="T86">
        <f t="shared" si="19"/>
        <v>1</v>
      </c>
      <c r="U86">
        <f t="shared" si="20"/>
        <v>13</v>
      </c>
      <c r="V86">
        <f t="shared" si="21"/>
        <v>2026</v>
      </c>
      <c r="W86">
        <f t="shared" si="22"/>
        <v>3</v>
      </c>
      <c r="X86">
        <f t="shared" si="23"/>
        <v>24</v>
      </c>
      <c r="Y86">
        <f t="shared" si="24"/>
        <v>0</v>
      </c>
      <c r="AE86" s="2" t="str" cm="1">
        <f t="array" ref="AE86">CONCATENATE($AE$2,Liste(S86:U86),";")</f>
        <v>INSERT INTO WD_Workdays (CalendarDay, CalendarWeekday, CalendarWeek) VALUES ('2026-03-24', 1, 13);</v>
      </c>
      <c r="AF86" s="2"/>
      <c r="AG86" s="2" t="str" cm="1">
        <f t="array" ref="AG86">CONCATENATE($AG$2,Liste(L86:O86),";")</f>
        <v>INSERT INTO WD_Holidays (CalendarDay, Donation, Share) VALUES ('2026-12-26', '2. Weihnachtsfeiertag', 100);</v>
      </c>
    </row>
    <row r="87" spans="11:33" x14ac:dyDescent="0.45">
      <c r="K87" s="10">
        <v>46387</v>
      </c>
      <c r="L87" t="str">
        <f t="shared" si="27"/>
        <v>'2026-12-31'</v>
      </c>
      <c r="M87" s="3" t="s">
        <v>613</v>
      </c>
      <c r="N87">
        <v>100</v>
      </c>
      <c r="R87" s="10">
        <f t="shared" si="25"/>
        <v>46106</v>
      </c>
      <c r="S87" t="str">
        <f t="shared" si="18"/>
        <v>'2026-03-25'</v>
      </c>
      <c r="T87">
        <f t="shared" si="19"/>
        <v>2</v>
      </c>
      <c r="U87">
        <f t="shared" si="20"/>
        <v>13</v>
      </c>
      <c r="V87">
        <f t="shared" si="21"/>
        <v>2026</v>
      </c>
      <c r="W87">
        <f t="shared" si="22"/>
        <v>3</v>
      </c>
      <c r="X87">
        <f t="shared" si="23"/>
        <v>25</v>
      </c>
      <c r="Y87">
        <f t="shared" si="24"/>
        <v>0</v>
      </c>
      <c r="AE87" s="2" t="str" cm="1">
        <f t="array" ref="AE87">CONCATENATE($AE$2,Liste(S87:U87),";")</f>
        <v>INSERT INTO WD_Workdays (CalendarDay, CalendarWeekday, CalendarWeek) VALUES ('2026-03-25', 2, 13);</v>
      </c>
      <c r="AF87" s="2"/>
      <c r="AG87" s="2" t="str" cm="1">
        <f t="array" ref="AG87">CONCATENATE($AG$2,Liste(L87:O87),";")</f>
        <v>INSERT INTO WD_Holidays (CalendarDay, Donation, Share) VALUES ('2026-12-31', 'Silvester', 100);</v>
      </c>
    </row>
    <row r="88" spans="11:33" x14ac:dyDescent="0.45">
      <c r="R88" s="10">
        <f t="shared" si="25"/>
        <v>46107</v>
      </c>
      <c r="S88" t="str">
        <f t="shared" si="18"/>
        <v>'2026-03-26'</v>
      </c>
      <c r="T88">
        <f t="shared" si="19"/>
        <v>3</v>
      </c>
      <c r="U88">
        <f t="shared" si="20"/>
        <v>13</v>
      </c>
      <c r="V88">
        <f t="shared" si="21"/>
        <v>2026</v>
      </c>
      <c r="W88">
        <f t="shared" si="22"/>
        <v>3</v>
      </c>
      <c r="X88">
        <f t="shared" si="23"/>
        <v>26</v>
      </c>
      <c r="Y88">
        <f t="shared" si="24"/>
        <v>0</v>
      </c>
      <c r="AE88" s="2" t="str" cm="1">
        <f t="array" ref="AE88">CONCATENATE($AE$2,Liste(S88:U88),";")</f>
        <v>INSERT INTO WD_Workdays (CalendarDay, CalendarWeekday, CalendarWeek) VALUES ('2026-03-26', 3, 13);</v>
      </c>
      <c r="AF88" s="2"/>
      <c r="AG88" s="2"/>
    </row>
    <row r="89" spans="11:33" x14ac:dyDescent="0.45">
      <c r="R89" s="10">
        <f t="shared" si="25"/>
        <v>46108</v>
      </c>
      <c r="S89" t="str">
        <f t="shared" si="18"/>
        <v>'2026-03-27'</v>
      </c>
      <c r="T89">
        <f t="shared" si="19"/>
        <v>4</v>
      </c>
      <c r="U89">
        <f t="shared" si="20"/>
        <v>13</v>
      </c>
      <c r="V89">
        <f t="shared" si="21"/>
        <v>2026</v>
      </c>
      <c r="W89">
        <f t="shared" si="22"/>
        <v>3</v>
      </c>
      <c r="X89">
        <f t="shared" si="23"/>
        <v>27</v>
      </c>
      <c r="Y89">
        <f t="shared" si="24"/>
        <v>0</v>
      </c>
      <c r="AE89" s="2" t="str" cm="1">
        <f t="array" ref="AE89">CONCATENATE($AE$2,Liste(S89:U89),";")</f>
        <v>INSERT INTO WD_Workdays (CalendarDay, CalendarWeekday, CalendarWeek) VALUES ('2026-03-27', 4, 13);</v>
      </c>
      <c r="AF89" s="2"/>
      <c r="AG89" s="2"/>
    </row>
    <row r="90" spans="11:33" x14ac:dyDescent="0.45">
      <c r="R90" s="10">
        <f t="shared" si="25"/>
        <v>46109</v>
      </c>
      <c r="S90" t="str">
        <f t="shared" si="18"/>
        <v>'2026-03-28'</v>
      </c>
      <c r="T90">
        <f t="shared" si="19"/>
        <v>5</v>
      </c>
      <c r="U90">
        <f t="shared" si="20"/>
        <v>13</v>
      </c>
      <c r="V90">
        <f t="shared" si="21"/>
        <v>2026</v>
      </c>
      <c r="W90">
        <f t="shared" si="22"/>
        <v>3</v>
      </c>
      <c r="X90">
        <f t="shared" si="23"/>
        <v>28</v>
      </c>
      <c r="Y90">
        <f t="shared" si="24"/>
        <v>0</v>
      </c>
      <c r="AE90" s="2" t="str" cm="1">
        <f t="array" ref="AE90">CONCATENATE($AE$2,Liste(S90:U90),";")</f>
        <v>INSERT INTO WD_Workdays (CalendarDay, CalendarWeekday, CalendarWeek) VALUES ('2026-03-28', 5, 13);</v>
      </c>
      <c r="AF90" s="2"/>
      <c r="AG90" s="2"/>
    </row>
    <row r="91" spans="11:33" x14ac:dyDescent="0.45">
      <c r="R91" s="10">
        <f t="shared" si="25"/>
        <v>46110</v>
      </c>
      <c r="S91" t="str">
        <f t="shared" si="18"/>
        <v>'2026-03-29'</v>
      </c>
      <c r="T91">
        <f t="shared" si="19"/>
        <v>6</v>
      </c>
      <c r="U91">
        <f t="shared" si="20"/>
        <v>13</v>
      </c>
      <c r="V91">
        <f t="shared" si="21"/>
        <v>2026</v>
      </c>
      <c r="W91">
        <f t="shared" si="22"/>
        <v>3</v>
      </c>
      <c r="X91">
        <f t="shared" si="23"/>
        <v>29</v>
      </c>
      <c r="Y91">
        <f t="shared" si="24"/>
        <v>0</v>
      </c>
      <c r="AE91" s="2" t="str" cm="1">
        <f t="array" ref="AE91">CONCATENATE($AE$2,Liste(S91:U91),";")</f>
        <v>INSERT INTO WD_Workdays (CalendarDay, CalendarWeekday, CalendarWeek) VALUES ('2026-03-29', 6, 13);</v>
      </c>
      <c r="AF91" s="2"/>
      <c r="AG91" s="2"/>
    </row>
    <row r="92" spans="11:33" x14ac:dyDescent="0.45">
      <c r="R92" s="10">
        <f t="shared" si="25"/>
        <v>46111</v>
      </c>
      <c r="S92" t="str">
        <f t="shared" si="18"/>
        <v>'2026-03-30'</v>
      </c>
      <c r="T92">
        <f t="shared" si="19"/>
        <v>0</v>
      </c>
      <c r="U92">
        <f t="shared" si="20"/>
        <v>14</v>
      </c>
      <c r="V92">
        <f t="shared" si="21"/>
        <v>2026</v>
      </c>
      <c r="W92">
        <f t="shared" si="22"/>
        <v>3</v>
      </c>
      <c r="X92">
        <f t="shared" si="23"/>
        <v>30</v>
      </c>
      <c r="Y92">
        <f t="shared" si="24"/>
        <v>0</v>
      </c>
      <c r="AE92" s="2" t="str" cm="1">
        <f t="array" ref="AE92">CONCATENATE($AE$2,Liste(S92:U92),";")</f>
        <v>INSERT INTO WD_Workdays (CalendarDay, CalendarWeekday, CalendarWeek) VALUES ('2026-03-30', 0, 14);</v>
      </c>
      <c r="AF92" s="2"/>
      <c r="AG92" s="2"/>
    </row>
    <row r="93" spans="11:33" x14ac:dyDescent="0.45">
      <c r="R93" s="10">
        <f t="shared" si="25"/>
        <v>46112</v>
      </c>
      <c r="S93" t="str">
        <f t="shared" si="18"/>
        <v>'2026-03-31'</v>
      </c>
      <c r="T93">
        <f t="shared" si="19"/>
        <v>1</v>
      </c>
      <c r="U93">
        <f t="shared" si="20"/>
        <v>14</v>
      </c>
      <c r="V93">
        <f t="shared" si="21"/>
        <v>2026</v>
      </c>
      <c r="W93">
        <f t="shared" si="22"/>
        <v>3</v>
      </c>
      <c r="X93">
        <f t="shared" si="23"/>
        <v>31</v>
      </c>
      <c r="Y93">
        <f t="shared" si="24"/>
        <v>0</v>
      </c>
      <c r="AE93" s="2" t="str" cm="1">
        <f t="array" ref="AE93">CONCATENATE($AE$2,Liste(S93:U93),";")</f>
        <v>INSERT INTO WD_Workdays (CalendarDay, CalendarWeekday, CalendarWeek) VALUES ('2026-03-31', 1, 14);</v>
      </c>
      <c r="AF93" s="2"/>
      <c r="AG93" s="2"/>
    </row>
    <row r="94" spans="11:33" x14ac:dyDescent="0.45">
      <c r="R94" s="10">
        <f t="shared" si="25"/>
        <v>46113</v>
      </c>
      <c r="S94" t="str">
        <f t="shared" si="18"/>
        <v>'2026-04-01'</v>
      </c>
      <c r="T94">
        <f t="shared" si="19"/>
        <v>2</v>
      </c>
      <c r="U94">
        <f t="shared" si="20"/>
        <v>14</v>
      </c>
      <c r="V94">
        <f t="shared" si="21"/>
        <v>2026</v>
      </c>
      <c r="W94">
        <f t="shared" si="22"/>
        <v>4</v>
      </c>
      <c r="X94">
        <f t="shared" si="23"/>
        <v>1</v>
      </c>
      <c r="Y94">
        <f t="shared" si="24"/>
        <v>1</v>
      </c>
      <c r="AE94" s="2" t="str" cm="1">
        <f t="array" ref="AE94">CONCATENATE($AE$2,Liste(S94:U94),";")</f>
        <v>INSERT INTO WD_Workdays (CalendarDay, CalendarWeekday, CalendarWeek) VALUES ('2026-04-01', 2, 14);</v>
      </c>
      <c r="AF94" s="2"/>
      <c r="AG94" s="2"/>
    </row>
    <row r="95" spans="11:33" x14ac:dyDescent="0.45">
      <c r="R95" s="10">
        <f t="shared" si="25"/>
        <v>46114</v>
      </c>
      <c r="S95" t="str">
        <f t="shared" si="18"/>
        <v>'2026-04-02'</v>
      </c>
      <c r="T95">
        <f t="shared" si="19"/>
        <v>3</v>
      </c>
      <c r="U95">
        <f t="shared" si="20"/>
        <v>14</v>
      </c>
      <c r="V95">
        <f t="shared" si="21"/>
        <v>2026</v>
      </c>
      <c r="W95">
        <f t="shared" si="22"/>
        <v>4</v>
      </c>
      <c r="X95">
        <f t="shared" si="23"/>
        <v>2</v>
      </c>
      <c r="Y95">
        <f t="shared" si="24"/>
        <v>1</v>
      </c>
      <c r="AE95" s="2" t="str" cm="1">
        <f t="array" ref="AE95">CONCATENATE($AE$2,Liste(S95:U95),";")</f>
        <v>INSERT INTO WD_Workdays (CalendarDay, CalendarWeekday, CalendarWeek) VALUES ('2026-04-02', 3, 14);</v>
      </c>
      <c r="AF95" s="2"/>
      <c r="AG95" s="2"/>
    </row>
    <row r="96" spans="11:33" x14ac:dyDescent="0.45">
      <c r="R96" s="10">
        <f t="shared" si="25"/>
        <v>46115</v>
      </c>
      <c r="S96" t="str">
        <f t="shared" si="18"/>
        <v>'2026-04-03'</v>
      </c>
      <c r="T96">
        <f t="shared" si="19"/>
        <v>4</v>
      </c>
      <c r="U96">
        <f t="shared" si="20"/>
        <v>14</v>
      </c>
      <c r="V96">
        <f t="shared" si="21"/>
        <v>2026</v>
      </c>
      <c r="W96">
        <f t="shared" si="22"/>
        <v>4</v>
      </c>
      <c r="X96">
        <f t="shared" si="23"/>
        <v>3</v>
      </c>
      <c r="Y96">
        <f t="shared" si="24"/>
        <v>1</v>
      </c>
      <c r="AE96" s="2" t="str" cm="1">
        <f t="array" ref="AE96">CONCATENATE($AE$2,Liste(S96:U96),";")</f>
        <v>INSERT INTO WD_Workdays (CalendarDay, CalendarWeekday, CalendarWeek) VALUES ('2026-04-03', 4, 14);</v>
      </c>
      <c r="AF96" s="2"/>
      <c r="AG96" s="2"/>
    </row>
    <row r="97" spans="18:33" x14ac:dyDescent="0.45">
      <c r="R97" s="10">
        <f t="shared" si="25"/>
        <v>46116</v>
      </c>
      <c r="S97" t="str">
        <f t="shared" si="18"/>
        <v>'2026-04-04'</v>
      </c>
      <c r="T97">
        <f t="shared" si="19"/>
        <v>5</v>
      </c>
      <c r="U97">
        <f t="shared" si="20"/>
        <v>14</v>
      </c>
      <c r="V97">
        <f t="shared" si="21"/>
        <v>2026</v>
      </c>
      <c r="W97">
        <f t="shared" si="22"/>
        <v>4</v>
      </c>
      <c r="X97">
        <f t="shared" si="23"/>
        <v>4</v>
      </c>
      <c r="Y97">
        <f t="shared" si="24"/>
        <v>1</v>
      </c>
      <c r="AE97" s="2" t="str" cm="1">
        <f t="array" ref="AE97">CONCATENATE($AE$2,Liste(S97:U97),";")</f>
        <v>INSERT INTO WD_Workdays (CalendarDay, CalendarWeekday, CalendarWeek) VALUES ('2026-04-04', 5, 14);</v>
      </c>
      <c r="AF97" s="2"/>
      <c r="AG97" s="2"/>
    </row>
    <row r="98" spans="18:33" x14ac:dyDescent="0.45">
      <c r="R98" s="10">
        <f t="shared" si="25"/>
        <v>46117</v>
      </c>
      <c r="S98" t="str">
        <f t="shared" si="18"/>
        <v>'2026-04-05'</v>
      </c>
      <c r="T98">
        <f t="shared" si="19"/>
        <v>6</v>
      </c>
      <c r="U98">
        <f t="shared" si="20"/>
        <v>14</v>
      </c>
      <c r="V98">
        <f t="shared" si="21"/>
        <v>2026</v>
      </c>
      <c r="W98">
        <f t="shared" si="22"/>
        <v>4</v>
      </c>
      <c r="X98">
        <f t="shared" si="23"/>
        <v>5</v>
      </c>
      <c r="Y98">
        <f t="shared" si="24"/>
        <v>1</v>
      </c>
      <c r="AE98" s="2" t="str" cm="1">
        <f t="array" ref="AE98">CONCATENATE($AE$2,Liste(S98:U98),";")</f>
        <v>INSERT INTO WD_Workdays (CalendarDay, CalendarWeekday, CalendarWeek) VALUES ('2026-04-05', 6, 14);</v>
      </c>
      <c r="AF98" s="2"/>
      <c r="AG98" s="2"/>
    </row>
    <row r="99" spans="18:33" x14ac:dyDescent="0.45">
      <c r="R99" s="10">
        <f t="shared" si="25"/>
        <v>46118</v>
      </c>
      <c r="S99" t="str">
        <f t="shared" si="18"/>
        <v>'2026-04-06'</v>
      </c>
      <c r="T99">
        <f t="shared" si="19"/>
        <v>0</v>
      </c>
      <c r="U99">
        <f t="shared" si="20"/>
        <v>15</v>
      </c>
      <c r="V99">
        <f t="shared" si="21"/>
        <v>2026</v>
      </c>
      <c r="W99">
        <f t="shared" si="22"/>
        <v>4</v>
      </c>
      <c r="X99">
        <f t="shared" si="23"/>
        <v>6</v>
      </c>
      <c r="Y99">
        <f t="shared" si="24"/>
        <v>1</v>
      </c>
      <c r="AE99" s="2" t="str" cm="1">
        <f t="array" ref="AE99">CONCATENATE($AE$2,Liste(S99:U99),";")</f>
        <v>INSERT INTO WD_Workdays (CalendarDay, CalendarWeekday, CalendarWeek) VALUES ('2026-04-06', 0, 15);</v>
      </c>
      <c r="AF99" s="2"/>
      <c r="AG99" s="2"/>
    </row>
    <row r="100" spans="18:33" x14ac:dyDescent="0.45">
      <c r="R100" s="10">
        <f t="shared" si="25"/>
        <v>46119</v>
      </c>
      <c r="S100" t="str">
        <f t="shared" si="18"/>
        <v>'2026-04-07'</v>
      </c>
      <c r="T100">
        <f t="shared" si="19"/>
        <v>1</v>
      </c>
      <c r="U100">
        <f t="shared" si="20"/>
        <v>15</v>
      </c>
      <c r="V100">
        <f t="shared" si="21"/>
        <v>2026</v>
      </c>
      <c r="W100">
        <f t="shared" si="22"/>
        <v>4</v>
      </c>
      <c r="X100">
        <f t="shared" si="23"/>
        <v>7</v>
      </c>
      <c r="Y100">
        <f t="shared" si="24"/>
        <v>1</v>
      </c>
      <c r="AE100" s="2" t="str" cm="1">
        <f t="array" ref="AE100">CONCATENATE($AE$2,Liste(S100:U100),";")</f>
        <v>INSERT INTO WD_Workdays (CalendarDay, CalendarWeekday, CalendarWeek) VALUES ('2026-04-07', 1, 15);</v>
      </c>
      <c r="AF100" s="2"/>
      <c r="AG100" s="2"/>
    </row>
    <row r="101" spans="18:33" x14ac:dyDescent="0.45">
      <c r="R101" s="10">
        <f t="shared" si="25"/>
        <v>46120</v>
      </c>
      <c r="S101" t="str">
        <f t="shared" si="18"/>
        <v>'2026-04-08'</v>
      </c>
      <c r="T101">
        <f t="shared" si="19"/>
        <v>2</v>
      </c>
      <c r="U101">
        <f t="shared" si="20"/>
        <v>15</v>
      </c>
      <c r="V101">
        <f t="shared" si="21"/>
        <v>2026</v>
      </c>
      <c r="W101">
        <f t="shared" si="22"/>
        <v>4</v>
      </c>
      <c r="X101">
        <f t="shared" si="23"/>
        <v>8</v>
      </c>
      <c r="Y101">
        <f t="shared" si="24"/>
        <v>1</v>
      </c>
      <c r="AE101" s="2" t="str" cm="1">
        <f t="array" ref="AE101">CONCATENATE($AE$2,Liste(S101:U101),";")</f>
        <v>INSERT INTO WD_Workdays (CalendarDay, CalendarWeekday, CalendarWeek) VALUES ('2026-04-08', 2, 15);</v>
      </c>
      <c r="AF101" s="2"/>
      <c r="AG101" s="2"/>
    </row>
    <row r="102" spans="18:33" x14ac:dyDescent="0.45">
      <c r="R102" s="10">
        <f t="shared" si="25"/>
        <v>46121</v>
      </c>
      <c r="S102" t="str">
        <f t="shared" si="18"/>
        <v>'2026-04-09'</v>
      </c>
      <c r="T102">
        <f t="shared" si="19"/>
        <v>3</v>
      </c>
      <c r="U102">
        <f t="shared" si="20"/>
        <v>15</v>
      </c>
      <c r="V102">
        <f t="shared" si="21"/>
        <v>2026</v>
      </c>
      <c r="W102">
        <f t="shared" si="22"/>
        <v>4</v>
      </c>
      <c r="X102">
        <f t="shared" si="23"/>
        <v>9</v>
      </c>
      <c r="Y102">
        <f t="shared" si="24"/>
        <v>1</v>
      </c>
      <c r="AE102" s="2" t="str" cm="1">
        <f t="array" ref="AE102">CONCATENATE($AE$2,Liste(S102:U102),";")</f>
        <v>INSERT INTO WD_Workdays (CalendarDay, CalendarWeekday, CalendarWeek) VALUES ('2026-04-09', 3, 15);</v>
      </c>
      <c r="AF102" s="2"/>
      <c r="AG102" s="2"/>
    </row>
    <row r="103" spans="18:33" x14ac:dyDescent="0.45">
      <c r="R103" s="10">
        <f t="shared" si="25"/>
        <v>46122</v>
      </c>
      <c r="S103" t="str">
        <f t="shared" si="18"/>
        <v>'2026-04-10'</v>
      </c>
      <c r="T103">
        <f t="shared" si="19"/>
        <v>4</v>
      </c>
      <c r="U103">
        <f t="shared" si="20"/>
        <v>15</v>
      </c>
      <c r="V103">
        <f t="shared" si="21"/>
        <v>2026</v>
      </c>
      <c r="W103">
        <f t="shared" si="22"/>
        <v>4</v>
      </c>
      <c r="X103">
        <f t="shared" si="23"/>
        <v>10</v>
      </c>
      <c r="Y103">
        <f t="shared" si="24"/>
        <v>1</v>
      </c>
      <c r="AE103" s="2" t="str" cm="1">
        <f t="array" ref="AE103">CONCATENATE($AE$2,Liste(S103:U103),";")</f>
        <v>INSERT INTO WD_Workdays (CalendarDay, CalendarWeekday, CalendarWeek) VALUES ('2026-04-10', 4, 15);</v>
      </c>
      <c r="AF103" s="2"/>
      <c r="AG103" s="2"/>
    </row>
    <row r="104" spans="18:33" x14ac:dyDescent="0.45">
      <c r="R104" s="10">
        <f t="shared" si="25"/>
        <v>46123</v>
      </c>
      <c r="S104" t="str">
        <f t="shared" si="18"/>
        <v>'2026-04-11'</v>
      </c>
      <c r="T104">
        <f t="shared" si="19"/>
        <v>5</v>
      </c>
      <c r="U104">
        <f t="shared" si="20"/>
        <v>15</v>
      </c>
      <c r="V104">
        <f t="shared" si="21"/>
        <v>2026</v>
      </c>
      <c r="W104">
        <f t="shared" si="22"/>
        <v>4</v>
      </c>
      <c r="X104">
        <f t="shared" si="23"/>
        <v>11</v>
      </c>
      <c r="Y104">
        <f t="shared" si="24"/>
        <v>1</v>
      </c>
      <c r="AE104" s="2" t="str" cm="1">
        <f t="array" ref="AE104">CONCATENATE($AE$2,Liste(S104:U104),";")</f>
        <v>INSERT INTO WD_Workdays (CalendarDay, CalendarWeekday, CalendarWeek) VALUES ('2026-04-11', 5, 15);</v>
      </c>
      <c r="AF104" s="2"/>
      <c r="AG104" s="2"/>
    </row>
    <row r="105" spans="18:33" x14ac:dyDescent="0.45">
      <c r="R105" s="10">
        <f t="shared" si="25"/>
        <v>46124</v>
      </c>
      <c r="S105" t="str">
        <f t="shared" si="18"/>
        <v>'2026-04-12'</v>
      </c>
      <c r="T105">
        <f t="shared" si="19"/>
        <v>6</v>
      </c>
      <c r="U105">
        <f t="shared" si="20"/>
        <v>15</v>
      </c>
      <c r="V105">
        <f t="shared" si="21"/>
        <v>2026</v>
      </c>
      <c r="W105">
        <f t="shared" si="22"/>
        <v>4</v>
      </c>
      <c r="X105">
        <f t="shared" si="23"/>
        <v>12</v>
      </c>
      <c r="Y105">
        <f t="shared" si="24"/>
        <v>1</v>
      </c>
      <c r="AE105" s="2" t="str" cm="1">
        <f t="array" ref="AE105">CONCATENATE($AE$2,Liste(S105:U105),";")</f>
        <v>INSERT INTO WD_Workdays (CalendarDay, CalendarWeekday, CalendarWeek) VALUES ('2026-04-12', 6, 15);</v>
      </c>
      <c r="AF105" s="2"/>
      <c r="AG105" s="2"/>
    </row>
    <row r="106" spans="18:33" x14ac:dyDescent="0.45">
      <c r="R106" s="10">
        <f t="shared" si="25"/>
        <v>46125</v>
      </c>
      <c r="S106" t="str">
        <f t="shared" si="18"/>
        <v>'2026-04-13'</v>
      </c>
      <c r="T106">
        <f t="shared" si="19"/>
        <v>0</v>
      </c>
      <c r="U106">
        <f t="shared" si="20"/>
        <v>16</v>
      </c>
      <c r="V106">
        <f t="shared" si="21"/>
        <v>2026</v>
      </c>
      <c r="W106">
        <f t="shared" si="22"/>
        <v>4</v>
      </c>
      <c r="X106">
        <f t="shared" si="23"/>
        <v>13</v>
      </c>
      <c r="Y106">
        <f t="shared" si="24"/>
        <v>1</v>
      </c>
      <c r="AE106" s="2" t="str" cm="1">
        <f t="array" ref="AE106">CONCATENATE($AE$2,Liste(S106:U106),";")</f>
        <v>INSERT INTO WD_Workdays (CalendarDay, CalendarWeekday, CalendarWeek) VALUES ('2026-04-13', 0, 16);</v>
      </c>
      <c r="AF106" s="2"/>
      <c r="AG106" s="2"/>
    </row>
    <row r="107" spans="18:33" x14ac:dyDescent="0.45">
      <c r="R107" s="10">
        <f t="shared" si="25"/>
        <v>46126</v>
      </c>
      <c r="S107" t="str">
        <f t="shared" si="18"/>
        <v>'2026-04-14'</v>
      </c>
      <c r="T107">
        <f t="shared" si="19"/>
        <v>1</v>
      </c>
      <c r="U107">
        <f t="shared" si="20"/>
        <v>16</v>
      </c>
      <c r="V107">
        <f t="shared" si="21"/>
        <v>2026</v>
      </c>
      <c r="W107">
        <f t="shared" si="22"/>
        <v>4</v>
      </c>
      <c r="X107">
        <f t="shared" si="23"/>
        <v>14</v>
      </c>
      <c r="Y107">
        <f t="shared" si="24"/>
        <v>1</v>
      </c>
      <c r="AE107" s="2" t="str" cm="1">
        <f t="array" ref="AE107">CONCATENATE($AE$2,Liste(S107:U107),";")</f>
        <v>INSERT INTO WD_Workdays (CalendarDay, CalendarWeekday, CalendarWeek) VALUES ('2026-04-14', 1, 16);</v>
      </c>
      <c r="AF107" s="2"/>
      <c r="AG107" s="2"/>
    </row>
    <row r="108" spans="18:33" x14ac:dyDescent="0.45">
      <c r="R108" s="10">
        <f t="shared" si="25"/>
        <v>46127</v>
      </c>
      <c r="S108" t="str">
        <f t="shared" si="18"/>
        <v>'2026-04-15'</v>
      </c>
      <c r="T108">
        <f t="shared" si="19"/>
        <v>2</v>
      </c>
      <c r="U108">
        <f t="shared" si="20"/>
        <v>16</v>
      </c>
      <c r="V108">
        <f t="shared" si="21"/>
        <v>2026</v>
      </c>
      <c r="W108">
        <f t="shared" si="22"/>
        <v>4</v>
      </c>
      <c r="X108">
        <f t="shared" si="23"/>
        <v>15</v>
      </c>
      <c r="Y108">
        <f t="shared" si="24"/>
        <v>1</v>
      </c>
      <c r="AE108" s="2" t="str" cm="1">
        <f t="array" ref="AE108">CONCATENATE($AE$2,Liste(S108:U108),";")</f>
        <v>INSERT INTO WD_Workdays (CalendarDay, CalendarWeekday, CalendarWeek) VALUES ('2026-04-15', 2, 16);</v>
      </c>
      <c r="AF108" s="2"/>
      <c r="AG108" s="2"/>
    </row>
    <row r="109" spans="18:33" x14ac:dyDescent="0.45">
      <c r="R109" s="10">
        <f t="shared" si="25"/>
        <v>46128</v>
      </c>
      <c r="S109" t="str">
        <f t="shared" si="18"/>
        <v>'2026-04-16'</v>
      </c>
      <c r="T109">
        <f t="shared" si="19"/>
        <v>3</v>
      </c>
      <c r="U109">
        <f t="shared" si="20"/>
        <v>16</v>
      </c>
      <c r="V109">
        <f t="shared" si="21"/>
        <v>2026</v>
      </c>
      <c r="W109">
        <f t="shared" si="22"/>
        <v>4</v>
      </c>
      <c r="X109">
        <f t="shared" si="23"/>
        <v>16</v>
      </c>
      <c r="Y109">
        <f t="shared" si="24"/>
        <v>1</v>
      </c>
      <c r="AE109" s="2" t="str" cm="1">
        <f t="array" ref="AE109">CONCATENATE($AE$2,Liste(S109:U109),";")</f>
        <v>INSERT INTO WD_Workdays (CalendarDay, CalendarWeekday, CalendarWeek) VALUES ('2026-04-16', 3, 16);</v>
      </c>
      <c r="AF109" s="2"/>
      <c r="AG109" s="2"/>
    </row>
    <row r="110" spans="18:33" x14ac:dyDescent="0.45">
      <c r="R110" s="10">
        <f t="shared" si="25"/>
        <v>46129</v>
      </c>
      <c r="S110" t="str">
        <f t="shared" si="18"/>
        <v>'2026-04-17'</v>
      </c>
      <c r="T110">
        <f t="shared" si="19"/>
        <v>4</v>
      </c>
      <c r="U110">
        <f t="shared" si="20"/>
        <v>16</v>
      </c>
      <c r="V110">
        <f t="shared" si="21"/>
        <v>2026</v>
      </c>
      <c r="W110">
        <f t="shared" si="22"/>
        <v>4</v>
      </c>
      <c r="X110">
        <f t="shared" si="23"/>
        <v>17</v>
      </c>
      <c r="Y110">
        <f t="shared" si="24"/>
        <v>1</v>
      </c>
      <c r="AE110" s="2" t="str" cm="1">
        <f t="array" ref="AE110">CONCATENATE($AE$2,Liste(S110:U110),";")</f>
        <v>INSERT INTO WD_Workdays (CalendarDay, CalendarWeekday, CalendarWeek) VALUES ('2026-04-17', 4, 16);</v>
      </c>
      <c r="AF110" s="2"/>
      <c r="AG110" s="2"/>
    </row>
    <row r="111" spans="18:33" x14ac:dyDescent="0.45">
      <c r="R111" s="10">
        <f t="shared" si="25"/>
        <v>46130</v>
      </c>
      <c r="S111" t="str">
        <f t="shared" si="18"/>
        <v>'2026-04-18'</v>
      </c>
      <c r="T111">
        <f t="shared" si="19"/>
        <v>5</v>
      </c>
      <c r="U111">
        <f t="shared" si="20"/>
        <v>16</v>
      </c>
      <c r="V111">
        <f t="shared" si="21"/>
        <v>2026</v>
      </c>
      <c r="W111">
        <f t="shared" si="22"/>
        <v>4</v>
      </c>
      <c r="X111">
        <f t="shared" si="23"/>
        <v>18</v>
      </c>
      <c r="Y111">
        <f t="shared" si="24"/>
        <v>1</v>
      </c>
      <c r="AE111" s="2" t="str" cm="1">
        <f t="array" ref="AE111">CONCATENATE($AE$2,Liste(S111:U111),";")</f>
        <v>INSERT INTO WD_Workdays (CalendarDay, CalendarWeekday, CalendarWeek) VALUES ('2026-04-18', 5, 16);</v>
      </c>
      <c r="AF111" s="2"/>
      <c r="AG111" s="2"/>
    </row>
    <row r="112" spans="18:33" x14ac:dyDescent="0.45">
      <c r="R112" s="10">
        <f t="shared" si="25"/>
        <v>46131</v>
      </c>
      <c r="S112" t="str">
        <f t="shared" si="18"/>
        <v>'2026-04-19'</v>
      </c>
      <c r="T112">
        <f t="shared" si="19"/>
        <v>6</v>
      </c>
      <c r="U112">
        <f t="shared" si="20"/>
        <v>16</v>
      </c>
      <c r="V112">
        <f t="shared" si="21"/>
        <v>2026</v>
      </c>
      <c r="W112">
        <f t="shared" si="22"/>
        <v>4</v>
      </c>
      <c r="X112">
        <f t="shared" si="23"/>
        <v>19</v>
      </c>
      <c r="Y112">
        <f t="shared" si="24"/>
        <v>1</v>
      </c>
      <c r="AE112" s="2" t="str" cm="1">
        <f t="array" ref="AE112">CONCATENATE($AE$2,Liste(S112:U112),";")</f>
        <v>INSERT INTO WD_Workdays (CalendarDay, CalendarWeekday, CalendarWeek) VALUES ('2026-04-19', 6, 16);</v>
      </c>
      <c r="AF112" s="2"/>
      <c r="AG112" s="2"/>
    </row>
    <row r="113" spans="18:33" x14ac:dyDescent="0.45">
      <c r="R113" s="10">
        <f t="shared" si="25"/>
        <v>46132</v>
      </c>
      <c r="S113" t="str">
        <f t="shared" si="18"/>
        <v>'2026-04-20'</v>
      </c>
      <c r="T113">
        <f t="shared" si="19"/>
        <v>0</v>
      </c>
      <c r="U113">
        <f t="shared" si="20"/>
        <v>17</v>
      </c>
      <c r="V113">
        <f t="shared" si="21"/>
        <v>2026</v>
      </c>
      <c r="W113">
        <f t="shared" si="22"/>
        <v>4</v>
      </c>
      <c r="X113">
        <f t="shared" si="23"/>
        <v>20</v>
      </c>
      <c r="Y113">
        <f t="shared" si="24"/>
        <v>1</v>
      </c>
      <c r="AE113" s="2" t="str" cm="1">
        <f t="array" ref="AE113">CONCATENATE($AE$2,Liste(S113:U113),";")</f>
        <v>INSERT INTO WD_Workdays (CalendarDay, CalendarWeekday, CalendarWeek) VALUES ('2026-04-20', 0, 17);</v>
      </c>
      <c r="AF113" s="2"/>
      <c r="AG113" s="2"/>
    </row>
    <row r="114" spans="18:33" x14ac:dyDescent="0.45">
      <c r="R114" s="10">
        <f t="shared" si="25"/>
        <v>46133</v>
      </c>
      <c r="S114" t="str">
        <f t="shared" si="18"/>
        <v>'2026-04-21'</v>
      </c>
      <c r="T114">
        <f t="shared" si="19"/>
        <v>1</v>
      </c>
      <c r="U114">
        <f t="shared" si="20"/>
        <v>17</v>
      </c>
      <c r="V114">
        <f t="shared" si="21"/>
        <v>2026</v>
      </c>
      <c r="W114">
        <f t="shared" si="22"/>
        <v>4</v>
      </c>
      <c r="X114">
        <f t="shared" si="23"/>
        <v>21</v>
      </c>
      <c r="Y114">
        <f t="shared" si="24"/>
        <v>1</v>
      </c>
      <c r="AE114" s="2" t="str" cm="1">
        <f t="array" ref="AE114">CONCATENATE($AE$2,Liste(S114:U114),";")</f>
        <v>INSERT INTO WD_Workdays (CalendarDay, CalendarWeekday, CalendarWeek) VALUES ('2026-04-21', 1, 17);</v>
      </c>
      <c r="AF114" s="2"/>
      <c r="AG114" s="2"/>
    </row>
    <row r="115" spans="18:33" x14ac:dyDescent="0.45">
      <c r="R115" s="10">
        <f t="shared" si="25"/>
        <v>46134</v>
      </c>
      <c r="S115" t="str">
        <f t="shared" si="18"/>
        <v>'2026-04-22'</v>
      </c>
      <c r="T115">
        <f t="shared" si="19"/>
        <v>2</v>
      </c>
      <c r="U115">
        <f t="shared" si="20"/>
        <v>17</v>
      </c>
      <c r="V115">
        <f t="shared" si="21"/>
        <v>2026</v>
      </c>
      <c r="W115">
        <f t="shared" si="22"/>
        <v>4</v>
      </c>
      <c r="X115">
        <f t="shared" si="23"/>
        <v>22</v>
      </c>
      <c r="Y115">
        <f t="shared" si="24"/>
        <v>1</v>
      </c>
      <c r="AE115" s="2" t="str" cm="1">
        <f t="array" ref="AE115">CONCATENATE($AE$2,Liste(S115:U115),";")</f>
        <v>INSERT INTO WD_Workdays (CalendarDay, CalendarWeekday, CalendarWeek) VALUES ('2026-04-22', 2, 17);</v>
      </c>
      <c r="AF115" s="2"/>
    </row>
    <row r="116" spans="18:33" x14ac:dyDescent="0.45">
      <c r="R116" s="10">
        <f t="shared" si="25"/>
        <v>46135</v>
      </c>
      <c r="S116" t="str">
        <f t="shared" si="18"/>
        <v>'2026-04-23'</v>
      </c>
      <c r="T116">
        <f t="shared" si="19"/>
        <v>3</v>
      </c>
      <c r="U116">
        <f t="shared" si="20"/>
        <v>17</v>
      </c>
      <c r="V116">
        <f t="shared" si="21"/>
        <v>2026</v>
      </c>
      <c r="W116">
        <f t="shared" si="22"/>
        <v>4</v>
      </c>
      <c r="X116">
        <f t="shared" si="23"/>
        <v>23</v>
      </c>
      <c r="Y116">
        <f t="shared" si="24"/>
        <v>1</v>
      </c>
      <c r="AE116" s="2" t="str" cm="1">
        <f t="array" ref="AE116">CONCATENATE($AE$2,Liste(S116:U116),";")</f>
        <v>INSERT INTO WD_Workdays (CalendarDay, CalendarWeekday, CalendarWeek) VALUES ('2026-04-23', 3, 17);</v>
      </c>
      <c r="AF116" s="2"/>
    </row>
    <row r="117" spans="18:33" x14ac:dyDescent="0.45">
      <c r="R117" s="10">
        <f t="shared" si="25"/>
        <v>46136</v>
      </c>
      <c r="S117" t="str">
        <f t="shared" si="18"/>
        <v>'2026-04-24'</v>
      </c>
      <c r="T117">
        <f t="shared" si="19"/>
        <v>4</v>
      </c>
      <c r="U117">
        <f t="shared" si="20"/>
        <v>17</v>
      </c>
      <c r="V117">
        <f t="shared" si="21"/>
        <v>2026</v>
      </c>
      <c r="W117">
        <f t="shared" si="22"/>
        <v>4</v>
      </c>
      <c r="X117">
        <f t="shared" si="23"/>
        <v>24</v>
      </c>
      <c r="Y117">
        <f t="shared" si="24"/>
        <v>1</v>
      </c>
      <c r="AE117" s="2" t="str" cm="1">
        <f t="array" ref="AE117">CONCATENATE($AE$2,Liste(S117:U117),";")</f>
        <v>INSERT INTO WD_Workdays (CalendarDay, CalendarWeekday, CalendarWeek) VALUES ('2026-04-24', 4, 17);</v>
      </c>
      <c r="AF117" s="2"/>
    </row>
    <row r="118" spans="18:33" x14ac:dyDescent="0.45">
      <c r="R118" s="10">
        <f t="shared" si="25"/>
        <v>46137</v>
      </c>
      <c r="S118" t="str">
        <f t="shared" si="18"/>
        <v>'2026-04-25'</v>
      </c>
      <c r="T118">
        <f t="shared" si="19"/>
        <v>5</v>
      </c>
      <c r="U118">
        <f t="shared" si="20"/>
        <v>17</v>
      </c>
      <c r="V118">
        <f t="shared" si="21"/>
        <v>2026</v>
      </c>
      <c r="W118">
        <f t="shared" si="22"/>
        <v>4</v>
      </c>
      <c r="X118">
        <f t="shared" si="23"/>
        <v>25</v>
      </c>
      <c r="Y118">
        <f t="shared" si="24"/>
        <v>1</v>
      </c>
      <c r="AE118" s="2" t="str" cm="1">
        <f t="array" ref="AE118">CONCATENATE($AE$2,Liste(S118:U118),";")</f>
        <v>INSERT INTO WD_Workdays (CalendarDay, CalendarWeekday, CalendarWeek) VALUES ('2026-04-25', 5, 17);</v>
      </c>
      <c r="AF118" s="2"/>
    </row>
    <row r="119" spans="18:33" x14ac:dyDescent="0.45">
      <c r="R119" s="10">
        <f t="shared" si="25"/>
        <v>46138</v>
      </c>
      <c r="S119" t="str">
        <f t="shared" si="18"/>
        <v>'2026-04-26'</v>
      </c>
      <c r="T119">
        <f t="shared" si="19"/>
        <v>6</v>
      </c>
      <c r="U119">
        <f t="shared" si="20"/>
        <v>17</v>
      </c>
      <c r="V119">
        <f t="shared" si="21"/>
        <v>2026</v>
      </c>
      <c r="W119">
        <f t="shared" si="22"/>
        <v>4</v>
      </c>
      <c r="X119">
        <f t="shared" si="23"/>
        <v>26</v>
      </c>
      <c r="Y119">
        <f t="shared" si="24"/>
        <v>1</v>
      </c>
      <c r="AE119" s="2" t="str" cm="1">
        <f t="array" ref="AE119">CONCATENATE($AE$2,Liste(S119:U119),";")</f>
        <v>INSERT INTO WD_Workdays (CalendarDay, CalendarWeekday, CalendarWeek) VALUES ('2026-04-26', 6, 17);</v>
      </c>
      <c r="AF119" s="2"/>
    </row>
    <row r="120" spans="18:33" x14ac:dyDescent="0.45">
      <c r="R120" s="10">
        <f t="shared" si="25"/>
        <v>46139</v>
      </c>
      <c r="S120" t="str">
        <f t="shared" si="18"/>
        <v>'2026-04-27'</v>
      </c>
      <c r="T120">
        <f t="shared" si="19"/>
        <v>0</v>
      </c>
      <c r="U120">
        <f t="shared" si="20"/>
        <v>18</v>
      </c>
      <c r="V120">
        <f t="shared" si="21"/>
        <v>2026</v>
      </c>
      <c r="W120">
        <f t="shared" si="22"/>
        <v>4</v>
      </c>
      <c r="X120">
        <f t="shared" si="23"/>
        <v>27</v>
      </c>
      <c r="Y120">
        <f t="shared" si="24"/>
        <v>1</v>
      </c>
      <c r="AE120" s="2" t="str" cm="1">
        <f t="array" ref="AE120">CONCATENATE($AE$2,Liste(S120:U120),";")</f>
        <v>INSERT INTO WD_Workdays (CalendarDay, CalendarWeekday, CalendarWeek) VALUES ('2026-04-27', 0, 18);</v>
      </c>
      <c r="AF120" s="2"/>
    </row>
    <row r="121" spans="18:33" x14ac:dyDescent="0.45">
      <c r="R121" s="10">
        <f t="shared" si="25"/>
        <v>46140</v>
      </c>
      <c r="S121" t="str">
        <f t="shared" si="18"/>
        <v>'2026-04-28'</v>
      </c>
      <c r="T121">
        <f t="shared" si="19"/>
        <v>1</v>
      </c>
      <c r="U121">
        <f t="shared" si="20"/>
        <v>18</v>
      </c>
      <c r="V121">
        <f t="shared" si="21"/>
        <v>2026</v>
      </c>
      <c r="W121">
        <f t="shared" si="22"/>
        <v>4</v>
      </c>
      <c r="X121">
        <f t="shared" si="23"/>
        <v>28</v>
      </c>
      <c r="Y121">
        <f t="shared" si="24"/>
        <v>1</v>
      </c>
      <c r="AE121" s="2" t="str" cm="1">
        <f t="array" ref="AE121">CONCATENATE($AE$2,Liste(S121:U121),";")</f>
        <v>INSERT INTO WD_Workdays (CalendarDay, CalendarWeekday, CalendarWeek) VALUES ('2026-04-28', 1, 18);</v>
      </c>
      <c r="AF121" s="2"/>
    </row>
    <row r="122" spans="18:33" x14ac:dyDescent="0.45">
      <c r="R122" s="10">
        <f t="shared" si="25"/>
        <v>46141</v>
      </c>
      <c r="S122" t="str">
        <f t="shared" si="18"/>
        <v>'2026-04-29'</v>
      </c>
      <c r="T122">
        <f t="shared" si="19"/>
        <v>2</v>
      </c>
      <c r="U122">
        <f t="shared" si="20"/>
        <v>18</v>
      </c>
      <c r="V122">
        <f t="shared" si="21"/>
        <v>2026</v>
      </c>
      <c r="W122">
        <f t="shared" si="22"/>
        <v>4</v>
      </c>
      <c r="X122">
        <f t="shared" si="23"/>
        <v>29</v>
      </c>
      <c r="Y122">
        <f t="shared" si="24"/>
        <v>1</v>
      </c>
      <c r="AE122" s="2" t="str" cm="1">
        <f t="array" ref="AE122">CONCATENATE($AE$2,Liste(S122:U122),";")</f>
        <v>INSERT INTO WD_Workdays (CalendarDay, CalendarWeekday, CalendarWeek) VALUES ('2026-04-29', 2, 18);</v>
      </c>
      <c r="AF122" s="2"/>
    </row>
    <row r="123" spans="18:33" x14ac:dyDescent="0.45">
      <c r="R123" s="10">
        <f t="shared" si="25"/>
        <v>46142</v>
      </c>
      <c r="S123" t="str">
        <f t="shared" si="18"/>
        <v>'2026-04-30'</v>
      </c>
      <c r="T123">
        <f t="shared" si="19"/>
        <v>3</v>
      </c>
      <c r="U123">
        <f t="shared" si="20"/>
        <v>18</v>
      </c>
      <c r="V123">
        <f t="shared" si="21"/>
        <v>2026</v>
      </c>
      <c r="W123">
        <f t="shared" si="22"/>
        <v>4</v>
      </c>
      <c r="X123">
        <f t="shared" si="23"/>
        <v>30</v>
      </c>
      <c r="Y123">
        <f t="shared" si="24"/>
        <v>1</v>
      </c>
      <c r="AE123" s="2" t="str" cm="1">
        <f t="array" ref="AE123">CONCATENATE($AE$2,Liste(S123:U123),";")</f>
        <v>INSERT INTO WD_Workdays (CalendarDay, CalendarWeekday, CalendarWeek) VALUES ('2026-04-30', 3, 18);</v>
      </c>
      <c r="AF123" s="2"/>
    </row>
    <row r="124" spans="18:33" x14ac:dyDescent="0.45">
      <c r="R124" s="10">
        <f t="shared" si="25"/>
        <v>46143</v>
      </c>
      <c r="S124" t="str">
        <f t="shared" si="18"/>
        <v>'2026-05-01'</v>
      </c>
      <c r="T124">
        <f t="shared" si="19"/>
        <v>4</v>
      </c>
      <c r="U124">
        <f t="shared" si="20"/>
        <v>18</v>
      </c>
      <c r="V124">
        <f t="shared" si="21"/>
        <v>2026</v>
      </c>
      <c r="W124">
        <f t="shared" si="22"/>
        <v>5</v>
      </c>
      <c r="X124">
        <f t="shared" si="23"/>
        <v>1</v>
      </c>
      <c r="Y124">
        <f t="shared" si="24"/>
        <v>1</v>
      </c>
      <c r="AE124" s="2" t="str" cm="1">
        <f t="array" ref="AE124">CONCATENATE($AE$2,Liste(S124:U124),";")</f>
        <v>INSERT INTO WD_Workdays (CalendarDay, CalendarWeekday, CalendarWeek) VALUES ('2026-05-01', 4, 18);</v>
      </c>
      <c r="AF124" s="2"/>
    </row>
    <row r="125" spans="18:33" x14ac:dyDescent="0.45">
      <c r="R125" s="10">
        <f t="shared" si="25"/>
        <v>46144</v>
      </c>
      <c r="S125" t="str">
        <f t="shared" si="18"/>
        <v>'2026-05-02'</v>
      </c>
      <c r="T125">
        <f t="shared" si="19"/>
        <v>5</v>
      </c>
      <c r="U125">
        <f t="shared" si="20"/>
        <v>18</v>
      </c>
      <c r="V125">
        <f t="shared" si="21"/>
        <v>2026</v>
      </c>
      <c r="W125">
        <f t="shared" si="22"/>
        <v>5</v>
      </c>
      <c r="X125">
        <f t="shared" si="23"/>
        <v>2</v>
      </c>
      <c r="Y125">
        <f t="shared" si="24"/>
        <v>1</v>
      </c>
      <c r="AE125" s="2" t="str" cm="1">
        <f t="array" ref="AE125">CONCATENATE($AE$2,Liste(S125:U125),";")</f>
        <v>INSERT INTO WD_Workdays (CalendarDay, CalendarWeekday, CalendarWeek) VALUES ('2026-05-02', 5, 18);</v>
      </c>
      <c r="AF125" s="2"/>
    </row>
    <row r="126" spans="18:33" x14ac:dyDescent="0.45">
      <c r="R126" s="10">
        <f t="shared" si="25"/>
        <v>46145</v>
      </c>
      <c r="S126" t="str">
        <f t="shared" si="18"/>
        <v>'2026-05-03'</v>
      </c>
      <c r="T126">
        <f t="shared" si="19"/>
        <v>6</v>
      </c>
      <c r="U126">
        <f t="shared" si="20"/>
        <v>18</v>
      </c>
      <c r="V126">
        <f t="shared" si="21"/>
        <v>2026</v>
      </c>
      <c r="W126">
        <f t="shared" si="22"/>
        <v>5</v>
      </c>
      <c r="X126">
        <f t="shared" si="23"/>
        <v>3</v>
      </c>
      <c r="Y126">
        <f t="shared" si="24"/>
        <v>1</v>
      </c>
      <c r="AE126" s="2" t="str" cm="1">
        <f t="array" ref="AE126">CONCATENATE($AE$2,Liste(S126:U126),";")</f>
        <v>INSERT INTO WD_Workdays (CalendarDay, CalendarWeekday, CalendarWeek) VALUES ('2026-05-03', 6, 18);</v>
      </c>
      <c r="AF126" s="2"/>
    </row>
    <row r="127" spans="18:33" x14ac:dyDescent="0.45">
      <c r="R127" s="10">
        <f t="shared" si="25"/>
        <v>46146</v>
      </c>
      <c r="S127" t="str">
        <f t="shared" si="18"/>
        <v>'2026-05-04'</v>
      </c>
      <c r="T127">
        <f t="shared" si="19"/>
        <v>0</v>
      </c>
      <c r="U127">
        <f t="shared" si="20"/>
        <v>19</v>
      </c>
      <c r="V127">
        <f t="shared" si="21"/>
        <v>2026</v>
      </c>
      <c r="W127">
        <f t="shared" si="22"/>
        <v>5</v>
      </c>
      <c r="X127">
        <f t="shared" si="23"/>
        <v>4</v>
      </c>
      <c r="Y127">
        <f t="shared" si="24"/>
        <v>1</v>
      </c>
      <c r="AE127" s="2" t="str" cm="1">
        <f t="array" ref="AE127">CONCATENATE($AE$2,Liste(S127:U127),";")</f>
        <v>INSERT INTO WD_Workdays (CalendarDay, CalendarWeekday, CalendarWeek) VALUES ('2026-05-04', 0, 19);</v>
      </c>
      <c r="AF127" s="2"/>
    </row>
    <row r="128" spans="18:33" x14ac:dyDescent="0.45">
      <c r="R128" s="10">
        <f t="shared" si="25"/>
        <v>46147</v>
      </c>
      <c r="S128" t="str">
        <f t="shared" si="18"/>
        <v>'2026-05-05'</v>
      </c>
      <c r="T128">
        <f t="shared" si="19"/>
        <v>1</v>
      </c>
      <c r="U128">
        <f t="shared" si="20"/>
        <v>19</v>
      </c>
      <c r="V128">
        <f t="shared" si="21"/>
        <v>2026</v>
      </c>
      <c r="W128">
        <f t="shared" si="22"/>
        <v>5</v>
      </c>
      <c r="X128">
        <f t="shared" si="23"/>
        <v>5</v>
      </c>
      <c r="Y128">
        <f t="shared" si="24"/>
        <v>1</v>
      </c>
      <c r="AE128" s="2" t="str" cm="1">
        <f t="array" ref="AE128">CONCATENATE($AE$2,Liste(S128:U128),";")</f>
        <v>INSERT INTO WD_Workdays (CalendarDay, CalendarWeekday, CalendarWeek) VALUES ('2026-05-05', 1, 19);</v>
      </c>
      <c r="AF128" s="2"/>
    </row>
    <row r="129" spans="18:32" x14ac:dyDescent="0.45">
      <c r="R129" s="10">
        <f t="shared" si="25"/>
        <v>46148</v>
      </c>
      <c r="S129" t="str">
        <f t="shared" si="18"/>
        <v>'2026-05-06'</v>
      </c>
      <c r="T129">
        <f t="shared" si="19"/>
        <v>2</v>
      </c>
      <c r="U129">
        <f t="shared" si="20"/>
        <v>19</v>
      </c>
      <c r="V129">
        <f t="shared" si="21"/>
        <v>2026</v>
      </c>
      <c r="W129">
        <f t="shared" si="22"/>
        <v>5</v>
      </c>
      <c r="X129">
        <f t="shared" si="23"/>
        <v>6</v>
      </c>
      <c r="Y129">
        <f t="shared" si="24"/>
        <v>1</v>
      </c>
      <c r="AE129" s="2" t="str" cm="1">
        <f t="array" ref="AE129">CONCATENATE($AE$2,Liste(S129:U129),";")</f>
        <v>INSERT INTO WD_Workdays (CalendarDay, CalendarWeekday, CalendarWeek) VALUES ('2026-05-06', 2, 19);</v>
      </c>
      <c r="AF129" s="2"/>
    </row>
    <row r="130" spans="18:32" x14ac:dyDescent="0.45">
      <c r="R130" s="10">
        <f t="shared" si="25"/>
        <v>46149</v>
      </c>
      <c r="S130" t="str">
        <f t="shared" si="18"/>
        <v>'2026-05-07'</v>
      </c>
      <c r="T130">
        <f t="shared" si="19"/>
        <v>3</v>
      </c>
      <c r="U130">
        <f t="shared" si="20"/>
        <v>19</v>
      </c>
      <c r="V130">
        <f t="shared" si="21"/>
        <v>2026</v>
      </c>
      <c r="W130">
        <f t="shared" si="22"/>
        <v>5</v>
      </c>
      <c r="X130">
        <f t="shared" si="23"/>
        <v>7</v>
      </c>
      <c r="Y130">
        <f t="shared" si="24"/>
        <v>1</v>
      </c>
      <c r="AE130" s="2" t="str" cm="1">
        <f t="array" ref="AE130">CONCATENATE($AE$2,Liste(S130:U130),";")</f>
        <v>INSERT INTO WD_Workdays (CalendarDay, CalendarWeekday, CalendarWeek) VALUES ('2026-05-07', 3, 19);</v>
      </c>
      <c r="AF130" s="2"/>
    </row>
    <row r="131" spans="18:32" x14ac:dyDescent="0.45">
      <c r="R131" s="10">
        <f t="shared" si="25"/>
        <v>46150</v>
      </c>
      <c r="S131" t="str">
        <f t="shared" si="18"/>
        <v>'2026-05-08'</v>
      </c>
      <c r="T131">
        <f t="shared" si="19"/>
        <v>4</v>
      </c>
      <c r="U131">
        <f t="shared" si="20"/>
        <v>19</v>
      </c>
      <c r="V131">
        <f t="shared" si="21"/>
        <v>2026</v>
      </c>
      <c r="W131">
        <f t="shared" si="22"/>
        <v>5</v>
      </c>
      <c r="X131">
        <f t="shared" si="23"/>
        <v>8</v>
      </c>
      <c r="Y131">
        <f t="shared" si="24"/>
        <v>1</v>
      </c>
      <c r="AE131" s="2" t="str" cm="1">
        <f t="array" ref="AE131">CONCATENATE($AE$2,Liste(S131:U131),";")</f>
        <v>INSERT INTO WD_Workdays (CalendarDay, CalendarWeekday, CalendarWeek) VALUES ('2026-05-08', 4, 19);</v>
      </c>
      <c r="AF131" s="2"/>
    </row>
    <row r="132" spans="18:32" x14ac:dyDescent="0.45">
      <c r="R132" s="10">
        <f t="shared" si="25"/>
        <v>46151</v>
      </c>
      <c r="S132" t="str">
        <f t="shared" si="18"/>
        <v>'2026-05-09'</v>
      </c>
      <c r="T132">
        <f t="shared" si="19"/>
        <v>5</v>
      </c>
      <c r="U132">
        <f t="shared" si="20"/>
        <v>19</v>
      </c>
      <c r="V132">
        <f t="shared" si="21"/>
        <v>2026</v>
      </c>
      <c r="W132">
        <f t="shared" si="22"/>
        <v>5</v>
      </c>
      <c r="X132">
        <f t="shared" si="23"/>
        <v>9</v>
      </c>
      <c r="Y132">
        <f t="shared" si="24"/>
        <v>1</v>
      </c>
      <c r="AE132" s="2" t="str" cm="1">
        <f t="array" ref="AE132">CONCATENATE($AE$2,Liste(S132:U132),";")</f>
        <v>INSERT INTO WD_Workdays (CalendarDay, CalendarWeekday, CalendarWeek) VALUES ('2026-05-09', 5, 19);</v>
      </c>
      <c r="AF132" s="2"/>
    </row>
    <row r="133" spans="18:32" x14ac:dyDescent="0.45">
      <c r="R133" s="10">
        <f t="shared" si="25"/>
        <v>46152</v>
      </c>
      <c r="S133" t="str">
        <f t="shared" ref="S133:S196" si="28">CONCATENATE("'",TEXT(R133,"jjjj-MM-tt"),"'")</f>
        <v>'2026-05-10'</v>
      </c>
      <c r="T133">
        <f t="shared" ref="T133:T196" si="29">WEEKDAY(R133,3)</f>
        <v>6</v>
      </c>
      <c r="U133">
        <f t="shared" ref="U133:U196" si="30">_xlfn.ISOWEEKNUM(R133)</f>
        <v>19</v>
      </c>
      <c r="V133">
        <f t="shared" ref="V133:V196" si="31">YEAR(R133)</f>
        <v>2026</v>
      </c>
      <c r="W133">
        <f t="shared" ref="W133:W196" si="32">MONTH(R133)</f>
        <v>5</v>
      </c>
      <c r="X133">
        <f t="shared" ref="X133:X196" si="33">DAY(R133)</f>
        <v>10</v>
      </c>
      <c r="Y133">
        <f t="shared" ref="Y133:Y196" si="34">IF(AND(W133&gt;=1,W133&lt;=3),0,IF(AND(W133&gt;=4,W133&lt;=6),1,IF(AND(W133&gt;=7,W133&lt;=8),2,IF(AND(W133&gt;=9,W133&lt;=12),3,-1))))</f>
        <v>1</v>
      </c>
      <c r="AE133" s="2" t="str" cm="1">
        <f t="array" ref="AE133">CONCATENATE($AE$2,Liste(S133:U133),";")</f>
        <v>INSERT INTO WD_Workdays (CalendarDay, CalendarWeekday, CalendarWeek) VALUES ('2026-05-10', 6, 19);</v>
      </c>
      <c r="AF133" s="2"/>
    </row>
    <row r="134" spans="18:32" x14ac:dyDescent="0.45">
      <c r="R134" s="10">
        <f t="shared" ref="R134:R197" si="35">R133+1</f>
        <v>46153</v>
      </c>
      <c r="S134" t="str">
        <f t="shared" si="28"/>
        <v>'2026-05-11'</v>
      </c>
      <c r="T134">
        <f t="shared" si="29"/>
        <v>0</v>
      </c>
      <c r="U134">
        <f t="shared" si="30"/>
        <v>20</v>
      </c>
      <c r="V134">
        <f t="shared" si="31"/>
        <v>2026</v>
      </c>
      <c r="W134">
        <f t="shared" si="32"/>
        <v>5</v>
      </c>
      <c r="X134">
        <f t="shared" si="33"/>
        <v>11</v>
      </c>
      <c r="Y134">
        <f t="shared" si="34"/>
        <v>1</v>
      </c>
      <c r="AE134" s="2" t="str" cm="1">
        <f t="array" ref="AE134">CONCATENATE($AE$2,Liste(S134:U134),";")</f>
        <v>INSERT INTO WD_Workdays (CalendarDay, CalendarWeekday, CalendarWeek) VALUES ('2026-05-11', 0, 20);</v>
      </c>
      <c r="AF134" s="2"/>
    </row>
    <row r="135" spans="18:32" x14ac:dyDescent="0.45">
      <c r="R135" s="10">
        <f t="shared" si="35"/>
        <v>46154</v>
      </c>
      <c r="S135" t="str">
        <f t="shared" si="28"/>
        <v>'2026-05-12'</v>
      </c>
      <c r="T135">
        <f t="shared" si="29"/>
        <v>1</v>
      </c>
      <c r="U135">
        <f t="shared" si="30"/>
        <v>20</v>
      </c>
      <c r="V135">
        <f t="shared" si="31"/>
        <v>2026</v>
      </c>
      <c r="W135">
        <f t="shared" si="32"/>
        <v>5</v>
      </c>
      <c r="X135">
        <f t="shared" si="33"/>
        <v>12</v>
      </c>
      <c r="Y135">
        <f t="shared" si="34"/>
        <v>1</v>
      </c>
      <c r="AE135" s="2" t="str" cm="1">
        <f t="array" ref="AE135">CONCATENATE($AE$2,Liste(S135:U135),";")</f>
        <v>INSERT INTO WD_Workdays (CalendarDay, CalendarWeekday, CalendarWeek) VALUES ('2026-05-12', 1, 20);</v>
      </c>
      <c r="AF135" s="2"/>
    </row>
    <row r="136" spans="18:32" x14ac:dyDescent="0.45">
      <c r="R136" s="10">
        <f t="shared" si="35"/>
        <v>46155</v>
      </c>
      <c r="S136" t="str">
        <f t="shared" si="28"/>
        <v>'2026-05-13'</v>
      </c>
      <c r="T136">
        <f t="shared" si="29"/>
        <v>2</v>
      </c>
      <c r="U136">
        <f t="shared" si="30"/>
        <v>20</v>
      </c>
      <c r="V136">
        <f t="shared" si="31"/>
        <v>2026</v>
      </c>
      <c r="W136">
        <f t="shared" si="32"/>
        <v>5</v>
      </c>
      <c r="X136">
        <f t="shared" si="33"/>
        <v>13</v>
      </c>
      <c r="Y136">
        <f t="shared" si="34"/>
        <v>1</v>
      </c>
      <c r="AE136" s="2" t="str" cm="1">
        <f t="array" ref="AE136">CONCATENATE($AE$2,Liste(S136:U136),";")</f>
        <v>INSERT INTO WD_Workdays (CalendarDay, CalendarWeekday, CalendarWeek) VALUES ('2026-05-13', 2, 20);</v>
      </c>
      <c r="AF136" s="2"/>
    </row>
    <row r="137" spans="18:32" x14ac:dyDescent="0.45">
      <c r="R137" s="10">
        <f t="shared" si="35"/>
        <v>46156</v>
      </c>
      <c r="S137" t="str">
        <f t="shared" si="28"/>
        <v>'2026-05-14'</v>
      </c>
      <c r="T137">
        <f t="shared" si="29"/>
        <v>3</v>
      </c>
      <c r="U137">
        <f t="shared" si="30"/>
        <v>20</v>
      </c>
      <c r="V137">
        <f t="shared" si="31"/>
        <v>2026</v>
      </c>
      <c r="W137">
        <f t="shared" si="32"/>
        <v>5</v>
      </c>
      <c r="X137">
        <f t="shared" si="33"/>
        <v>14</v>
      </c>
      <c r="Y137">
        <f t="shared" si="34"/>
        <v>1</v>
      </c>
      <c r="AE137" s="2" t="str" cm="1">
        <f t="array" ref="AE137">CONCATENATE($AE$2,Liste(S137:U137),";")</f>
        <v>INSERT INTO WD_Workdays (CalendarDay, CalendarWeekday, CalendarWeek) VALUES ('2026-05-14', 3, 20);</v>
      </c>
      <c r="AF137" s="2"/>
    </row>
    <row r="138" spans="18:32" x14ac:dyDescent="0.45">
      <c r="R138" s="10">
        <f t="shared" si="35"/>
        <v>46157</v>
      </c>
      <c r="S138" t="str">
        <f t="shared" si="28"/>
        <v>'2026-05-15'</v>
      </c>
      <c r="T138">
        <f t="shared" si="29"/>
        <v>4</v>
      </c>
      <c r="U138">
        <f t="shared" si="30"/>
        <v>20</v>
      </c>
      <c r="V138">
        <f t="shared" si="31"/>
        <v>2026</v>
      </c>
      <c r="W138">
        <f t="shared" si="32"/>
        <v>5</v>
      </c>
      <c r="X138">
        <f t="shared" si="33"/>
        <v>15</v>
      </c>
      <c r="Y138">
        <f t="shared" si="34"/>
        <v>1</v>
      </c>
      <c r="AE138" s="2" t="str" cm="1">
        <f t="array" ref="AE138">CONCATENATE($AE$2,Liste(S138:U138),";")</f>
        <v>INSERT INTO WD_Workdays (CalendarDay, CalendarWeekday, CalendarWeek) VALUES ('2026-05-15', 4, 20);</v>
      </c>
      <c r="AF138" s="2"/>
    </row>
    <row r="139" spans="18:32" x14ac:dyDescent="0.45">
      <c r="R139" s="10">
        <f t="shared" si="35"/>
        <v>46158</v>
      </c>
      <c r="S139" t="str">
        <f t="shared" si="28"/>
        <v>'2026-05-16'</v>
      </c>
      <c r="T139">
        <f t="shared" si="29"/>
        <v>5</v>
      </c>
      <c r="U139">
        <f t="shared" si="30"/>
        <v>20</v>
      </c>
      <c r="V139">
        <f t="shared" si="31"/>
        <v>2026</v>
      </c>
      <c r="W139">
        <f t="shared" si="32"/>
        <v>5</v>
      </c>
      <c r="X139">
        <f t="shared" si="33"/>
        <v>16</v>
      </c>
      <c r="Y139">
        <f t="shared" si="34"/>
        <v>1</v>
      </c>
      <c r="AE139" s="2" t="str" cm="1">
        <f t="array" ref="AE139">CONCATENATE($AE$2,Liste(S139:U139),";")</f>
        <v>INSERT INTO WD_Workdays (CalendarDay, CalendarWeekday, CalendarWeek) VALUES ('2026-05-16', 5, 20);</v>
      </c>
      <c r="AF139" s="2"/>
    </row>
    <row r="140" spans="18:32" x14ac:dyDescent="0.45">
      <c r="R140" s="10">
        <f t="shared" si="35"/>
        <v>46159</v>
      </c>
      <c r="S140" t="str">
        <f t="shared" si="28"/>
        <v>'2026-05-17'</v>
      </c>
      <c r="T140">
        <f t="shared" si="29"/>
        <v>6</v>
      </c>
      <c r="U140">
        <f t="shared" si="30"/>
        <v>20</v>
      </c>
      <c r="V140">
        <f t="shared" si="31"/>
        <v>2026</v>
      </c>
      <c r="W140">
        <f t="shared" si="32"/>
        <v>5</v>
      </c>
      <c r="X140">
        <f t="shared" si="33"/>
        <v>17</v>
      </c>
      <c r="Y140">
        <f t="shared" si="34"/>
        <v>1</v>
      </c>
      <c r="AE140" s="2" t="str" cm="1">
        <f t="array" ref="AE140">CONCATENATE($AE$2,Liste(S140:U140),";")</f>
        <v>INSERT INTO WD_Workdays (CalendarDay, CalendarWeekday, CalendarWeek) VALUES ('2026-05-17', 6, 20);</v>
      </c>
      <c r="AF140" s="2"/>
    </row>
    <row r="141" spans="18:32" x14ac:dyDescent="0.45">
      <c r="R141" s="10">
        <f t="shared" si="35"/>
        <v>46160</v>
      </c>
      <c r="S141" t="str">
        <f t="shared" si="28"/>
        <v>'2026-05-18'</v>
      </c>
      <c r="T141">
        <f t="shared" si="29"/>
        <v>0</v>
      </c>
      <c r="U141">
        <f t="shared" si="30"/>
        <v>21</v>
      </c>
      <c r="V141">
        <f t="shared" si="31"/>
        <v>2026</v>
      </c>
      <c r="W141">
        <f t="shared" si="32"/>
        <v>5</v>
      </c>
      <c r="X141">
        <f t="shared" si="33"/>
        <v>18</v>
      </c>
      <c r="Y141">
        <f t="shared" si="34"/>
        <v>1</v>
      </c>
      <c r="AE141" s="2" t="str" cm="1">
        <f t="array" ref="AE141">CONCATENATE($AE$2,Liste(S141:U141),";")</f>
        <v>INSERT INTO WD_Workdays (CalendarDay, CalendarWeekday, CalendarWeek) VALUES ('2026-05-18', 0, 21);</v>
      </c>
      <c r="AF141" s="2"/>
    </row>
    <row r="142" spans="18:32" x14ac:dyDescent="0.45">
      <c r="R142" s="10">
        <f t="shared" si="35"/>
        <v>46161</v>
      </c>
      <c r="S142" t="str">
        <f t="shared" si="28"/>
        <v>'2026-05-19'</v>
      </c>
      <c r="T142">
        <f t="shared" si="29"/>
        <v>1</v>
      </c>
      <c r="U142">
        <f t="shared" si="30"/>
        <v>21</v>
      </c>
      <c r="V142">
        <f t="shared" si="31"/>
        <v>2026</v>
      </c>
      <c r="W142">
        <f t="shared" si="32"/>
        <v>5</v>
      </c>
      <c r="X142">
        <f t="shared" si="33"/>
        <v>19</v>
      </c>
      <c r="Y142">
        <f t="shared" si="34"/>
        <v>1</v>
      </c>
      <c r="AE142" s="2" t="str" cm="1">
        <f t="array" ref="AE142">CONCATENATE($AE$2,Liste(S142:U142),";")</f>
        <v>INSERT INTO WD_Workdays (CalendarDay, CalendarWeekday, CalendarWeek) VALUES ('2026-05-19', 1, 21);</v>
      </c>
      <c r="AF142" s="2"/>
    </row>
    <row r="143" spans="18:32" x14ac:dyDescent="0.45">
      <c r="R143" s="10">
        <f t="shared" si="35"/>
        <v>46162</v>
      </c>
      <c r="S143" t="str">
        <f t="shared" si="28"/>
        <v>'2026-05-20'</v>
      </c>
      <c r="T143">
        <f t="shared" si="29"/>
        <v>2</v>
      </c>
      <c r="U143">
        <f t="shared" si="30"/>
        <v>21</v>
      </c>
      <c r="V143">
        <f t="shared" si="31"/>
        <v>2026</v>
      </c>
      <c r="W143">
        <f t="shared" si="32"/>
        <v>5</v>
      </c>
      <c r="X143">
        <f t="shared" si="33"/>
        <v>20</v>
      </c>
      <c r="Y143">
        <f t="shared" si="34"/>
        <v>1</v>
      </c>
      <c r="AE143" s="2" t="str" cm="1">
        <f t="array" ref="AE143">CONCATENATE($AE$2,Liste(S143:U143),";")</f>
        <v>INSERT INTO WD_Workdays (CalendarDay, CalendarWeekday, CalendarWeek) VALUES ('2026-05-20', 2, 21);</v>
      </c>
      <c r="AF143" s="2"/>
    </row>
    <row r="144" spans="18:32" x14ac:dyDescent="0.45">
      <c r="R144" s="10">
        <f t="shared" si="35"/>
        <v>46163</v>
      </c>
      <c r="S144" t="str">
        <f t="shared" si="28"/>
        <v>'2026-05-21'</v>
      </c>
      <c r="T144">
        <f t="shared" si="29"/>
        <v>3</v>
      </c>
      <c r="U144">
        <f t="shared" si="30"/>
        <v>21</v>
      </c>
      <c r="V144">
        <f t="shared" si="31"/>
        <v>2026</v>
      </c>
      <c r="W144">
        <f t="shared" si="32"/>
        <v>5</v>
      </c>
      <c r="X144">
        <f t="shared" si="33"/>
        <v>21</v>
      </c>
      <c r="Y144">
        <f t="shared" si="34"/>
        <v>1</v>
      </c>
      <c r="AE144" s="2" t="str" cm="1">
        <f t="array" ref="AE144">CONCATENATE($AE$2,Liste(S144:U144),";")</f>
        <v>INSERT INTO WD_Workdays (CalendarDay, CalendarWeekday, CalendarWeek) VALUES ('2026-05-21', 3, 21);</v>
      </c>
      <c r="AF144" s="2"/>
    </row>
    <row r="145" spans="18:32" x14ac:dyDescent="0.45">
      <c r="R145" s="10">
        <f t="shared" si="35"/>
        <v>46164</v>
      </c>
      <c r="S145" t="str">
        <f t="shared" si="28"/>
        <v>'2026-05-22'</v>
      </c>
      <c r="T145">
        <f t="shared" si="29"/>
        <v>4</v>
      </c>
      <c r="U145">
        <f t="shared" si="30"/>
        <v>21</v>
      </c>
      <c r="V145">
        <f t="shared" si="31"/>
        <v>2026</v>
      </c>
      <c r="W145">
        <f t="shared" si="32"/>
        <v>5</v>
      </c>
      <c r="X145">
        <f t="shared" si="33"/>
        <v>22</v>
      </c>
      <c r="Y145">
        <f t="shared" si="34"/>
        <v>1</v>
      </c>
      <c r="AE145" s="2" t="str" cm="1">
        <f t="array" ref="AE145">CONCATENATE($AE$2,Liste(S145:U145),";")</f>
        <v>INSERT INTO WD_Workdays (CalendarDay, CalendarWeekday, CalendarWeek) VALUES ('2026-05-22', 4, 21);</v>
      </c>
      <c r="AF145" s="2"/>
    </row>
    <row r="146" spans="18:32" x14ac:dyDescent="0.45">
      <c r="R146" s="10">
        <f t="shared" si="35"/>
        <v>46165</v>
      </c>
      <c r="S146" t="str">
        <f t="shared" si="28"/>
        <v>'2026-05-23'</v>
      </c>
      <c r="T146">
        <f t="shared" si="29"/>
        <v>5</v>
      </c>
      <c r="U146">
        <f t="shared" si="30"/>
        <v>21</v>
      </c>
      <c r="V146">
        <f t="shared" si="31"/>
        <v>2026</v>
      </c>
      <c r="W146">
        <f t="shared" si="32"/>
        <v>5</v>
      </c>
      <c r="X146">
        <f t="shared" si="33"/>
        <v>23</v>
      </c>
      <c r="Y146">
        <f t="shared" si="34"/>
        <v>1</v>
      </c>
      <c r="AE146" s="2" t="str" cm="1">
        <f t="array" ref="AE146">CONCATENATE($AE$2,Liste(S146:U146),";")</f>
        <v>INSERT INTO WD_Workdays (CalendarDay, CalendarWeekday, CalendarWeek) VALUES ('2026-05-23', 5, 21);</v>
      </c>
      <c r="AF146" s="2"/>
    </row>
    <row r="147" spans="18:32" x14ac:dyDescent="0.45">
      <c r="R147" s="10">
        <f t="shared" si="35"/>
        <v>46166</v>
      </c>
      <c r="S147" t="str">
        <f t="shared" si="28"/>
        <v>'2026-05-24'</v>
      </c>
      <c r="T147">
        <f t="shared" si="29"/>
        <v>6</v>
      </c>
      <c r="U147">
        <f t="shared" si="30"/>
        <v>21</v>
      </c>
      <c r="V147">
        <f t="shared" si="31"/>
        <v>2026</v>
      </c>
      <c r="W147">
        <f t="shared" si="32"/>
        <v>5</v>
      </c>
      <c r="X147">
        <f t="shared" si="33"/>
        <v>24</v>
      </c>
      <c r="Y147">
        <f t="shared" si="34"/>
        <v>1</v>
      </c>
      <c r="AE147" s="2" t="str" cm="1">
        <f t="array" ref="AE147">CONCATENATE($AE$2,Liste(S147:U147),";")</f>
        <v>INSERT INTO WD_Workdays (CalendarDay, CalendarWeekday, CalendarWeek) VALUES ('2026-05-24', 6, 21);</v>
      </c>
      <c r="AF147" s="2"/>
    </row>
    <row r="148" spans="18:32" x14ac:dyDescent="0.45">
      <c r="R148" s="10">
        <f t="shared" si="35"/>
        <v>46167</v>
      </c>
      <c r="S148" t="str">
        <f t="shared" si="28"/>
        <v>'2026-05-25'</v>
      </c>
      <c r="T148">
        <f t="shared" si="29"/>
        <v>0</v>
      </c>
      <c r="U148">
        <f t="shared" si="30"/>
        <v>22</v>
      </c>
      <c r="V148">
        <f t="shared" si="31"/>
        <v>2026</v>
      </c>
      <c r="W148">
        <f t="shared" si="32"/>
        <v>5</v>
      </c>
      <c r="X148">
        <f t="shared" si="33"/>
        <v>25</v>
      </c>
      <c r="Y148">
        <f t="shared" si="34"/>
        <v>1</v>
      </c>
      <c r="AE148" s="2" t="str" cm="1">
        <f t="array" ref="AE148">CONCATENATE($AE$2,Liste(S148:U148),";")</f>
        <v>INSERT INTO WD_Workdays (CalendarDay, CalendarWeekday, CalendarWeek) VALUES ('2026-05-25', 0, 22);</v>
      </c>
      <c r="AF148" s="2"/>
    </row>
    <row r="149" spans="18:32" x14ac:dyDescent="0.45">
      <c r="R149" s="10">
        <f t="shared" si="35"/>
        <v>46168</v>
      </c>
      <c r="S149" t="str">
        <f t="shared" si="28"/>
        <v>'2026-05-26'</v>
      </c>
      <c r="T149">
        <f t="shared" si="29"/>
        <v>1</v>
      </c>
      <c r="U149">
        <f t="shared" si="30"/>
        <v>22</v>
      </c>
      <c r="V149">
        <f t="shared" si="31"/>
        <v>2026</v>
      </c>
      <c r="W149">
        <f t="shared" si="32"/>
        <v>5</v>
      </c>
      <c r="X149">
        <f t="shared" si="33"/>
        <v>26</v>
      </c>
      <c r="Y149">
        <f t="shared" si="34"/>
        <v>1</v>
      </c>
      <c r="AE149" s="2" t="str" cm="1">
        <f t="array" ref="AE149">CONCATENATE($AE$2,Liste(S149:U149),";")</f>
        <v>INSERT INTO WD_Workdays (CalendarDay, CalendarWeekday, CalendarWeek) VALUES ('2026-05-26', 1, 22);</v>
      </c>
      <c r="AF149" s="2"/>
    </row>
    <row r="150" spans="18:32" x14ac:dyDescent="0.45">
      <c r="R150" s="10">
        <f t="shared" si="35"/>
        <v>46169</v>
      </c>
      <c r="S150" t="str">
        <f t="shared" si="28"/>
        <v>'2026-05-27'</v>
      </c>
      <c r="T150">
        <f t="shared" si="29"/>
        <v>2</v>
      </c>
      <c r="U150">
        <f t="shared" si="30"/>
        <v>22</v>
      </c>
      <c r="V150">
        <f t="shared" si="31"/>
        <v>2026</v>
      </c>
      <c r="W150">
        <f t="shared" si="32"/>
        <v>5</v>
      </c>
      <c r="X150">
        <f t="shared" si="33"/>
        <v>27</v>
      </c>
      <c r="Y150">
        <f t="shared" si="34"/>
        <v>1</v>
      </c>
      <c r="AE150" s="2" t="str" cm="1">
        <f t="array" ref="AE150">CONCATENATE($AE$2,Liste(S150:U150),";")</f>
        <v>INSERT INTO WD_Workdays (CalendarDay, CalendarWeekday, CalendarWeek) VALUES ('2026-05-27', 2, 22);</v>
      </c>
      <c r="AF150" s="2"/>
    </row>
    <row r="151" spans="18:32" x14ac:dyDescent="0.45">
      <c r="R151" s="10">
        <f t="shared" si="35"/>
        <v>46170</v>
      </c>
      <c r="S151" t="str">
        <f t="shared" si="28"/>
        <v>'2026-05-28'</v>
      </c>
      <c r="T151">
        <f t="shared" si="29"/>
        <v>3</v>
      </c>
      <c r="U151">
        <f t="shared" si="30"/>
        <v>22</v>
      </c>
      <c r="V151">
        <f t="shared" si="31"/>
        <v>2026</v>
      </c>
      <c r="W151">
        <f t="shared" si="32"/>
        <v>5</v>
      </c>
      <c r="X151">
        <f t="shared" si="33"/>
        <v>28</v>
      </c>
      <c r="Y151">
        <f t="shared" si="34"/>
        <v>1</v>
      </c>
      <c r="AE151" s="2" t="str" cm="1">
        <f t="array" ref="AE151">CONCATENATE($AE$2,Liste(S151:U151),";")</f>
        <v>INSERT INTO WD_Workdays (CalendarDay, CalendarWeekday, CalendarWeek) VALUES ('2026-05-28', 3, 22);</v>
      </c>
      <c r="AF151" s="2"/>
    </row>
    <row r="152" spans="18:32" x14ac:dyDescent="0.45">
      <c r="R152" s="10">
        <f t="shared" si="35"/>
        <v>46171</v>
      </c>
      <c r="S152" t="str">
        <f t="shared" si="28"/>
        <v>'2026-05-29'</v>
      </c>
      <c r="T152">
        <f t="shared" si="29"/>
        <v>4</v>
      </c>
      <c r="U152">
        <f t="shared" si="30"/>
        <v>22</v>
      </c>
      <c r="V152">
        <f t="shared" si="31"/>
        <v>2026</v>
      </c>
      <c r="W152">
        <f t="shared" si="32"/>
        <v>5</v>
      </c>
      <c r="X152">
        <f t="shared" si="33"/>
        <v>29</v>
      </c>
      <c r="Y152">
        <f t="shared" si="34"/>
        <v>1</v>
      </c>
      <c r="AE152" s="2" t="str" cm="1">
        <f t="array" ref="AE152">CONCATENATE($AE$2,Liste(S152:U152),";")</f>
        <v>INSERT INTO WD_Workdays (CalendarDay, CalendarWeekday, CalendarWeek) VALUES ('2026-05-29', 4, 22);</v>
      </c>
      <c r="AF152" s="2"/>
    </row>
    <row r="153" spans="18:32" x14ac:dyDescent="0.45">
      <c r="R153" s="10">
        <f t="shared" si="35"/>
        <v>46172</v>
      </c>
      <c r="S153" t="str">
        <f t="shared" si="28"/>
        <v>'2026-05-30'</v>
      </c>
      <c r="T153">
        <f t="shared" si="29"/>
        <v>5</v>
      </c>
      <c r="U153">
        <f t="shared" si="30"/>
        <v>22</v>
      </c>
      <c r="V153">
        <f t="shared" si="31"/>
        <v>2026</v>
      </c>
      <c r="W153">
        <f t="shared" si="32"/>
        <v>5</v>
      </c>
      <c r="X153">
        <f t="shared" si="33"/>
        <v>30</v>
      </c>
      <c r="Y153">
        <f t="shared" si="34"/>
        <v>1</v>
      </c>
      <c r="AE153" s="2" t="str" cm="1">
        <f t="array" ref="AE153">CONCATENATE($AE$2,Liste(S153:U153),";")</f>
        <v>INSERT INTO WD_Workdays (CalendarDay, CalendarWeekday, CalendarWeek) VALUES ('2026-05-30', 5, 22);</v>
      </c>
      <c r="AF153" s="2"/>
    </row>
    <row r="154" spans="18:32" x14ac:dyDescent="0.45">
      <c r="R154" s="10">
        <f t="shared" si="35"/>
        <v>46173</v>
      </c>
      <c r="S154" t="str">
        <f t="shared" si="28"/>
        <v>'2026-05-31'</v>
      </c>
      <c r="T154">
        <f t="shared" si="29"/>
        <v>6</v>
      </c>
      <c r="U154">
        <f t="shared" si="30"/>
        <v>22</v>
      </c>
      <c r="V154">
        <f t="shared" si="31"/>
        <v>2026</v>
      </c>
      <c r="W154">
        <f t="shared" si="32"/>
        <v>5</v>
      </c>
      <c r="X154">
        <f t="shared" si="33"/>
        <v>31</v>
      </c>
      <c r="Y154">
        <f t="shared" si="34"/>
        <v>1</v>
      </c>
      <c r="AE154" s="2" t="str" cm="1">
        <f t="array" ref="AE154">CONCATENATE($AE$2,Liste(S154:U154),";")</f>
        <v>INSERT INTO WD_Workdays (CalendarDay, CalendarWeekday, CalendarWeek) VALUES ('2026-05-31', 6, 22);</v>
      </c>
      <c r="AF154" s="2"/>
    </row>
    <row r="155" spans="18:32" x14ac:dyDescent="0.45">
      <c r="R155" s="10">
        <f t="shared" si="35"/>
        <v>46174</v>
      </c>
      <c r="S155" t="str">
        <f t="shared" si="28"/>
        <v>'2026-06-01'</v>
      </c>
      <c r="T155">
        <f t="shared" si="29"/>
        <v>0</v>
      </c>
      <c r="U155">
        <f t="shared" si="30"/>
        <v>23</v>
      </c>
      <c r="V155">
        <f t="shared" si="31"/>
        <v>2026</v>
      </c>
      <c r="W155">
        <f t="shared" si="32"/>
        <v>6</v>
      </c>
      <c r="X155">
        <f t="shared" si="33"/>
        <v>1</v>
      </c>
      <c r="Y155">
        <f t="shared" si="34"/>
        <v>1</v>
      </c>
      <c r="AE155" s="2" t="str" cm="1">
        <f t="array" ref="AE155">CONCATENATE($AE$2,Liste(S155:U155),";")</f>
        <v>INSERT INTO WD_Workdays (CalendarDay, CalendarWeekday, CalendarWeek) VALUES ('2026-06-01', 0, 23);</v>
      </c>
      <c r="AF155" s="2"/>
    </row>
    <row r="156" spans="18:32" x14ac:dyDescent="0.45">
      <c r="R156" s="10">
        <f t="shared" si="35"/>
        <v>46175</v>
      </c>
      <c r="S156" t="str">
        <f t="shared" si="28"/>
        <v>'2026-06-02'</v>
      </c>
      <c r="T156">
        <f t="shared" si="29"/>
        <v>1</v>
      </c>
      <c r="U156">
        <f t="shared" si="30"/>
        <v>23</v>
      </c>
      <c r="V156">
        <f t="shared" si="31"/>
        <v>2026</v>
      </c>
      <c r="W156">
        <f t="shared" si="32"/>
        <v>6</v>
      </c>
      <c r="X156">
        <f t="shared" si="33"/>
        <v>2</v>
      </c>
      <c r="Y156">
        <f t="shared" si="34"/>
        <v>1</v>
      </c>
      <c r="AE156" s="2" t="str" cm="1">
        <f t="array" ref="AE156">CONCATENATE($AE$2,Liste(S156:U156),";")</f>
        <v>INSERT INTO WD_Workdays (CalendarDay, CalendarWeekday, CalendarWeek) VALUES ('2026-06-02', 1, 23);</v>
      </c>
      <c r="AF156" s="2"/>
    </row>
    <row r="157" spans="18:32" x14ac:dyDescent="0.45">
      <c r="R157" s="10">
        <f t="shared" si="35"/>
        <v>46176</v>
      </c>
      <c r="S157" t="str">
        <f t="shared" si="28"/>
        <v>'2026-06-03'</v>
      </c>
      <c r="T157">
        <f t="shared" si="29"/>
        <v>2</v>
      </c>
      <c r="U157">
        <f t="shared" si="30"/>
        <v>23</v>
      </c>
      <c r="V157">
        <f t="shared" si="31"/>
        <v>2026</v>
      </c>
      <c r="W157">
        <f t="shared" si="32"/>
        <v>6</v>
      </c>
      <c r="X157">
        <f t="shared" si="33"/>
        <v>3</v>
      </c>
      <c r="Y157">
        <f t="shared" si="34"/>
        <v>1</v>
      </c>
      <c r="AE157" s="2" t="str" cm="1">
        <f t="array" ref="AE157">CONCATENATE($AE$2,Liste(S157:U157),";")</f>
        <v>INSERT INTO WD_Workdays (CalendarDay, CalendarWeekday, CalendarWeek) VALUES ('2026-06-03', 2, 23);</v>
      </c>
      <c r="AF157" s="2"/>
    </row>
    <row r="158" spans="18:32" x14ac:dyDescent="0.45">
      <c r="R158" s="10">
        <f t="shared" si="35"/>
        <v>46177</v>
      </c>
      <c r="S158" t="str">
        <f t="shared" si="28"/>
        <v>'2026-06-04'</v>
      </c>
      <c r="T158">
        <f t="shared" si="29"/>
        <v>3</v>
      </c>
      <c r="U158">
        <f t="shared" si="30"/>
        <v>23</v>
      </c>
      <c r="V158">
        <f t="shared" si="31"/>
        <v>2026</v>
      </c>
      <c r="W158">
        <f t="shared" si="32"/>
        <v>6</v>
      </c>
      <c r="X158">
        <f t="shared" si="33"/>
        <v>4</v>
      </c>
      <c r="Y158">
        <f t="shared" si="34"/>
        <v>1</v>
      </c>
      <c r="AE158" s="2" t="str" cm="1">
        <f t="array" ref="AE158">CONCATENATE($AE$2,Liste(S158:U158),";")</f>
        <v>INSERT INTO WD_Workdays (CalendarDay, CalendarWeekday, CalendarWeek) VALUES ('2026-06-04', 3, 23);</v>
      </c>
      <c r="AF158" s="2"/>
    </row>
    <row r="159" spans="18:32" x14ac:dyDescent="0.45">
      <c r="R159" s="10">
        <f t="shared" si="35"/>
        <v>46178</v>
      </c>
      <c r="S159" t="str">
        <f t="shared" si="28"/>
        <v>'2026-06-05'</v>
      </c>
      <c r="T159">
        <f t="shared" si="29"/>
        <v>4</v>
      </c>
      <c r="U159">
        <f t="shared" si="30"/>
        <v>23</v>
      </c>
      <c r="V159">
        <f t="shared" si="31"/>
        <v>2026</v>
      </c>
      <c r="W159">
        <f t="shared" si="32"/>
        <v>6</v>
      </c>
      <c r="X159">
        <f t="shared" si="33"/>
        <v>5</v>
      </c>
      <c r="Y159">
        <f t="shared" si="34"/>
        <v>1</v>
      </c>
      <c r="AE159" s="2" t="str" cm="1">
        <f t="array" ref="AE159">CONCATENATE($AE$2,Liste(S159:U159),";")</f>
        <v>INSERT INTO WD_Workdays (CalendarDay, CalendarWeekday, CalendarWeek) VALUES ('2026-06-05', 4, 23);</v>
      </c>
      <c r="AF159" s="2"/>
    </row>
    <row r="160" spans="18:32" x14ac:dyDescent="0.45">
      <c r="R160" s="10">
        <f t="shared" si="35"/>
        <v>46179</v>
      </c>
      <c r="S160" t="str">
        <f t="shared" si="28"/>
        <v>'2026-06-06'</v>
      </c>
      <c r="T160">
        <f t="shared" si="29"/>
        <v>5</v>
      </c>
      <c r="U160">
        <f t="shared" si="30"/>
        <v>23</v>
      </c>
      <c r="V160">
        <f t="shared" si="31"/>
        <v>2026</v>
      </c>
      <c r="W160">
        <f t="shared" si="32"/>
        <v>6</v>
      </c>
      <c r="X160">
        <f t="shared" si="33"/>
        <v>6</v>
      </c>
      <c r="Y160">
        <f t="shared" si="34"/>
        <v>1</v>
      </c>
      <c r="AE160" s="2" t="str" cm="1">
        <f t="array" ref="AE160">CONCATENATE($AE$2,Liste(S160:U160),";")</f>
        <v>INSERT INTO WD_Workdays (CalendarDay, CalendarWeekday, CalendarWeek) VALUES ('2026-06-06', 5, 23);</v>
      </c>
      <c r="AF160" s="2"/>
    </row>
    <row r="161" spans="18:32" x14ac:dyDescent="0.45">
      <c r="R161" s="10">
        <f t="shared" si="35"/>
        <v>46180</v>
      </c>
      <c r="S161" t="str">
        <f t="shared" si="28"/>
        <v>'2026-06-07'</v>
      </c>
      <c r="T161">
        <f t="shared" si="29"/>
        <v>6</v>
      </c>
      <c r="U161">
        <f t="shared" si="30"/>
        <v>23</v>
      </c>
      <c r="V161">
        <f t="shared" si="31"/>
        <v>2026</v>
      </c>
      <c r="W161">
        <f t="shared" si="32"/>
        <v>6</v>
      </c>
      <c r="X161">
        <f t="shared" si="33"/>
        <v>7</v>
      </c>
      <c r="Y161">
        <f t="shared" si="34"/>
        <v>1</v>
      </c>
      <c r="AE161" s="2" t="str" cm="1">
        <f t="array" ref="AE161">CONCATENATE($AE$2,Liste(S161:U161),";")</f>
        <v>INSERT INTO WD_Workdays (CalendarDay, CalendarWeekday, CalendarWeek) VALUES ('2026-06-07', 6, 23);</v>
      </c>
      <c r="AF161" s="2"/>
    </row>
    <row r="162" spans="18:32" x14ac:dyDescent="0.45">
      <c r="R162" s="10">
        <f t="shared" si="35"/>
        <v>46181</v>
      </c>
      <c r="S162" t="str">
        <f t="shared" si="28"/>
        <v>'2026-06-08'</v>
      </c>
      <c r="T162">
        <f t="shared" si="29"/>
        <v>0</v>
      </c>
      <c r="U162">
        <f t="shared" si="30"/>
        <v>24</v>
      </c>
      <c r="V162">
        <f t="shared" si="31"/>
        <v>2026</v>
      </c>
      <c r="W162">
        <f t="shared" si="32"/>
        <v>6</v>
      </c>
      <c r="X162">
        <f t="shared" si="33"/>
        <v>8</v>
      </c>
      <c r="Y162">
        <f t="shared" si="34"/>
        <v>1</v>
      </c>
      <c r="AE162" s="2" t="str" cm="1">
        <f t="array" ref="AE162">CONCATENATE($AE$2,Liste(S162:U162),";")</f>
        <v>INSERT INTO WD_Workdays (CalendarDay, CalendarWeekday, CalendarWeek) VALUES ('2026-06-08', 0, 24);</v>
      </c>
      <c r="AF162" s="2"/>
    </row>
    <row r="163" spans="18:32" x14ac:dyDescent="0.45">
      <c r="R163" s="10">
        <f t="shared" si="35"/>
        <v>46182</v>
      </c>
      <c r="S163" t="str">
        <f t="shared" si="28"/>
        <v>'2026-06-09'</v>
      </c>
      <c r="T163">
        <f t="shared" si="29"/>
        <v>1</v>
      </c>
      <c r="U163">
        <f t="shared" si="30"/>
        <v>24</v>
      </c>
      <c r="V163">
        <f t="shared" si="31"/>
        <v>2026</v>
      </c>
      <c r="W163">
        <f t="shared" si="32"/>
        <v>6</v>
      </c>
      <c r="X163">
        <f t="shared" si="33"/>
        <v>9</v>
      </c>
      <c r="Y163">
        <f t="shared" si="34"/>
        <v>1</v>
      </c>
      <c r="AE163" s="2" t="str" cm="1">
        <f t="array" ref="AE163">CONCATENATE($AE$2,Liste(S163:U163),";")</f>
        <v>INSERT INTO WD_Workdays (CalendarDay, CalendarWeekday, CalendarWeek) VALUES ('2026-06-09', 1, 24);</v>
      </c>
      <c r="AF163" s="2"/>
    </row>
    <row r="164" spans="18:32" x14ac:dyDescent="0.45">
      <c r="R164" s="10">
        <f t="shared" si="35"/>
        <v>46183</v>
      </c>
      <c r="S164" t="str">
        <f t="shared" si="28"/>
        <v>'2026-06-10'</v>
      </c>
      <c r="T164">
        <f t="shared" si="29"/>
        <v>2</v>
      </c>
      <c r="U164">
        <f t="shared" si="30"/>
        <v>24</v>
      </c>
      <c r="V164">
        <f t="shared" si="31"/>
        <v>2026</v>
      </c>
      <c r="W164">
        <f t="shared" si="32"/>
        <v>6</v>
      </c>
      <c r="X164">
        <f t="shared" si="33"/>
        <v>10</v>
      </c>
      <c r="Y164">
        <f t="shared" si="34"/>
        <v>1</v>
      </c>
      <c r="AE164" s="2" t="str" cm="1">
        <f t="array" ref="AE164">CONCATENATE($AE$2,Liste(S164:U164),";")</f>
        <v>INSERT INTO WD_Workdays (CalendarDay, CalendarWeekday, CalendarWeek) VALUES ('2026-06-10', 2, 24);</v>
      </c>
      <c r="AF164" s="2"/>
    </row>
    <row r="165" spans="18:32" x14ac:dyDescent="0.45">
      <c r="R165" s="10">
        <f t="shared" si="35"/>
        <v>46184</v>
      </c>
      <c r="S165" t="str">
        <f t="shared" si="28"/>
        <v>'2026-06-11'</v>
      </c>
      <c r="T165">
        <f t="shared" si="29"/>
        <v>3</v>
      </c>
      <c r="U165">
        <f t="shared" si="30"/>
        <v>24</v>
      </c>
      <c r="V165">
        <f t="shared" si="31"/>
        <v>2026</v>
      </c>
      <c r="W165">
        <f t="shared" si="32"/>
        <v>6</v>
      </c>
      <c r="X165">
        <f t="shared" si="33"/>
        <v>11</v>
      </c>
      <c r="Y165">
        <f t="shared" si="34"/>
        <v>1</v>
      </c>
      <c r="AE165" s="2" t="str" cm="1">
        <f t="array" ref="AE165">CONCATENATE($AE$2,Liste(S165:U165),";")</f>
        <v>INSERT INTO WD_Workdays (CalendarDay, CalendarWeekday, CalendarWeek) VALUES ('2026-06-11', 3, 24);</v>
      </c>
      <c r="AF165" s="2"/>
    </row>
    <row r="166" spans="18:32" x14ac:dyDescent="0.45">
      <c r="R166" s="10">
        <f t="shared" si="35"/>
        <v>46185</v>
      </c>
      <c r="S166" t="str">
        <f t="shared" si="28"/>
        <v>'2026-06-12'</v>
      </c>
      <c r="T166">
        <f t="shared" si="29"/>
        <v>4</v>
      </c>
      <c r="U166">
        <f t="shared" si="30"/>
        <v>24</v>
      </c>
      <c r="V166">
        <f t="shared" si="31"/>
        <v>2026</v>
      </c>
      <c r="W166">
        <f t="shared" si="32"/>
        <v>6</v>
      </c>
      <c r="X166">
        <f t="shared" si="33"/>
        <v>12</v>
      </c>
      <c r="Y166">
        <f t="shared" si="34"/>
        <v>1</v>
      </c>
      <c r="AE166" s="2" t="str" cm="1">
        <f t="array" ref="AE166">CONCATENATE($AE$2,Liste(S166:U166),";")</f>
        <v>INSERT INTO WD_Workdays (CalendarDay, CalendarWeekday, CalendarWeek) VALUES ('2026-06-12', 4, 24);</v>
      </c>
      <c r="AF166" s="2"/>
    </row>
    <row r="167" spans="18:32" x14ac:dyDescent="0.45">
      <c r="R167" s="10">
        <f t="shared" si="35"/>
        <v>46186</v>
      </c>
      <c r="S167" t="str">
        <f t="shared" si="28"/>
        <v>'2026-06-13'</v>
      </c>
      <c r="T167">
        <f t="shared" si="29"/>
        <v>5</v>
      </c>
      <c r="U167">
        <f t="shared" si="30"/>
        <v>24</v>
      </c>
      <c r="V167">
        <f t="shared" si="31"/>
        <v>2026</v>
      </c>
      <c r="W167">
        <f t="shared" si="32"/>
        <v>6</v>
      </c>
      <c r="X167">
        <f t="shared" si="33"/>
        <v>13</v>
      </c>
      <c r="Y167">
        <f t="shared" si="34"/>
        <v>1</v>
      </c>
      <c r="AE167" s="2" t="str" cm="1">
        <f t="array" ref="AE167">CONCATENATE($AE$2,Liste(S167:U167),";")</f>
        <v>INSERT INTO WD_Workdays (CalendarDay, CalendarWeekday, CalendarWeek) VALUES ('2026-06-13', 5, 24);</v>
      </c>
      <c r="AF167" s="2"/>
    </row>
    <row r="168" spans="18:32" x14ac:dyDescent="0.45">
      <c r="R168" s="10">
        <f t="shared" si="35"/>
        <v>46187</v>
      </c>
      <c r="S168" t="str">
        <f t="shared" si="28"/>
        <v>'2026-06-14'</v>
      </c>
      <c r="T168">
        <f t="shared" si="29"/>
        <v>6</v>
      </c>
      <c r="U168">
        <f t="shared" si="30"/>
        <v>24</v>
      </c>
      <c r="V168">
        <f t="shared" si="31"/>
        <v>2026</v>
      </c>
      <c r="W168">
        <f t="shared" si="32"/>
        <v>6</v>
      </c>
      <c r="X168">
        <f t="shared" si="33"/>
        <v>14</v>
      </c>
      <c r="Y168">
        <f t="shared" si="34"/>
        <v>1</v>
      </c>
      <c r="AE168" s="2" t="str" cm="1">
        <f t="array" ref="AE168">CONCATENATE($AE$2,Liste(S168:U168),";")</f>
        <v>INSERT INTO WD_Workdays (CalendarDay, CalendarWeekday, CalendarWeek) VALUES ('2026-06-14', 6, 24);</v>
      </c>
      <c r="AF168" s="2"/>
    </row>
    <row r="169" spans="18:32" x14ac:dyDescent="0.45">
      <c r="R169" s="10">
        <f t="shared" si="35"/>
        <v>46188</v>
      </c>
      <c r="S169" t="str">
        <f t="shared" si="28"/>
        <v>'2026-06-15'</v>
      </c>
      <c r="T169">
        <f t="shared" si="29"/>
        <v>0</v>
      </c>
      <c r="U169">
        <f t="shared" si="30"/>
        <v>25</v>
      </c>
      <c r="V169">
        <f t="shared" si="31"/>
        <v>2026</v>
      </c>
      <c r="W169">
        <f t="shared" si="32"/>
        <v>6</v>
      </c>
      <c r="X169">
        <f t="shared" si="33"/>
        <v>15</v>
      </c>
      <c r="Y169">
        <f t="shared" si="34"/>
        <v>1</v>
      </c>
      <c r="AE169" s="2" t="str" cm="1">
        <f t="array" ref="AE169">CONCATENATE($AE$2,Liste(S169:U169),";")</f>
        <v>INSERT INTO WD_Workdays (CalendarDay, CalendarWeekday, CalendarWeek) VALUES ('2026-06-15', 0, 25);</v>
      </c>
      <c r="AF169" s="2"/>
    </row>
    <row r="170" spans="18:32" x14ac:dyDescent="0.45">
      <c r="R170" s="10">
        <f t="shared" si="35"/>
        <v>46189</v>
      </c>
      <c r="S170" t="str">
        <f t="shared" si="28"/>
        <v>'2026-06-16'</v>
      </c>
      <c r="T170">
        <f t="shared" si="29"/>
        <v>1</v>
      </c>
      <c r="U170">
        <f t="shared" si="30"/>
        <v>25</v>
      </c>
      <c r="V170">
        <f t="shared" si="31"/>
        <v>2026</v>
      </c>
      <c r="W170">
        <f t="shared" si="32"/>
        <v>6</v>
      </c>
      <c r="X170">
        <f t="shared" si="33"/>
        <v>16</v>
      </c>
      <c r="Y170">
        <f t="shared" si="34"/>
        <v>1</v>
      </c>
      <c r="AE170" s="2" t="str" cm="1">
        <f t="array" ref="AE170">CONCATENATE($AE$2,Liste(S170:U170),";")</f>
        <v>INSERT INTO WD_Workdays (CalendarDay, CalendarWeekday, CalendarWeek) VALUES ('2026-06-16', 1, 25);</v>
      </c>
      <c r="AF170" s="2"/>
    </row>
    <row r="171" spans="18:32" x14ac:dyDescent="0.45">
      <c r="R171" s="10">
        <f t="shared" si="35"/>
        <v>46190</v>
      </c>
      <c r="S171" t="str">
        <f t="shared" si="28"/>
        <v>'2026-06-17'</v>
      </c>
      <c r="T171">
        <f t="shared" si="29"/>
        <v>2</v>
      </c>
      <c r="U171">
        <f t="shared" si="30"/>
        <v>25</v>
      </c>
      <c r="V171">
        <f t="shared" si="31"/>
        <v>2026</v>
      </c>
      <c r="W171">
        <f t="shared" si="32"/>
        <v>6</v>
      </c>
      <c r="X171">
        <f t="shared" si="33"/>
        <v>17</v>
      </c>
      <c r="Y171">
        <f t="shared" si="34"/>
        <v>1</v>
      </c>
      <c r="AE171" s="2" t="str" cm="1">
        <f t="array" ref="AE171">CONCATENATE($AE$2,Liste(S171:U171),";")</f>
        <v>INSERT INTO WD_Workdays (CalendarDay, CalendarWeekday, CalendarWeek) VALUES ('2026-06-17', 2, 25);</v>
      </c>
      <c r="AF171" s="2"/>
    </row>
    <row r="172" spans="18:32" x14ac:dyDescent="0.45">
      <c r="R172" s="10">
        <f t="shared" si="35"/>
        <v>46191</v>
      </c>
      <c r="S172" t="str">
        <f t="shared" si="28"/>
        <v>'2026-06-18'</v>
      </c>
      <c r="T172">
        <f t="shared" si="29"/>
        <v>3</v>
      </c>
      <c r="U172">
        <f t="shared" si="30"/>
        <v>25</v>
      </c>
      <c r="V172">
        <f t="shared" si="31"/>
        <v>2026</v>
      </c>
      <c r="W172">
        <f t="shared" si="32"/>
        <v>6</v>
      </c>
      <c r="X172">
        <f t="shared" si="33"/>
        <v>18</v>
      </c>
      <c r="Y172">
        <f t="shared" si="34"/>
        <v>1</v>
      </c>
      <c r="AE172" s="2" t="str" cm="1">
        <f t="array" ref="AE172">CONCATENATE($AE$2,Liste(S172:U172),";")</f>
        <v>INSERT INTO WD_Workdays (CalendarDay, CalendarWeekday, CalendarWeek) VALUES ('2026-06-18', 3, 25);</v>
      </c>
      <c r="AF172" s="2"/>
    </row>
    <row r="173" spans="18:32" x14ac:dyDescent="0.45">
      <c r="R173" s="10">
        <f t="shared" si="35"/>
        <v>46192</v>
      </c>
      <c r="S173" t="str">
        <f t="shared" si="28"/>
        <v>'2026-06-19'</v>
      </c>
      <c r="T173">
        <f t="shared" si="29"/>
        <v>4</v>
      </c>
      <c r="U173">
        <f t="shared" si="30"/>
        <v>25</v>
      </c>
      <c r="V173">
        <f t="shared" si="31"/>
        <v>2026</v>
      </c>
      <c r="W173">
        <f t="shared" si="32"/>
        <v>6</v>
      </c>
      <c r="X173">
        <f t="shared" si="33"/>
        <v>19</v>
      </c>
      <c r="Y173">
        <f t="shared" si="34"/>
        <v>1</v>
      </c>
      <c r="AE173" s="2" t="str" cm="1">
        <f t="array" ref="AE173">CONCATENATE($AE$2,Liste(S173:U173),";")</f>
        <v>INSERT INTO WD_Workdays (CalendarDay, CalendarWeekday, CalendarWeek) VALUES ('2026-06-19', 4, 25);</v>
      </c>
      <c r="AF173" s="2"/>
    </row>
    <row r="174" spans="18:32" x14ac:dyDescent="0.45">
      <c r="R174" s="10">
        <f t="shared" si="35"/>
        <v>46193</v>
      </c>
      <c r="S174" t="str">
        <f t="shared" si="28"/>
        <v>'2026-06-20'</v>
      </c>
      <c r="T174">
        <f t="shared" si="29"/>
        <v>5</v>
      </c>
      <c r="U174">
        <f t="shared" si="30"/>
        <v>25</v>
      </c>
      <c r="V174">
        <f t="shared" si="31"/>
        <v>2026</v>
      </c>
      <c r="W174">
        <f t="shared" si="32"/>
        <v>6</v>
      </c>
      <c r="X174">
        <f t="shared" si="33"/>
        <v>20</v>
      </c>
      <c r="Y174">
        <f t="shared" si="34"/>
        <v>1</v>
      </c>
      <c r="AE174" s="2" t="str" cm="1">
        <f t="array" ref="AE174">CONCATENATE($AE$2,Liste(S174:U174),";")</f>
        <v>INSERT INTO WD_Workdays (CalendarDay, CalendarWeekday, CalendarWeek) VALUES ('2026-06-20', 5, 25);</v>
      </c>
      <c r="AF174" s="2"/>
    </row>
    <row r="175" spans="18:32" x14ac:dyDescent="0.45">
      <c r="R175" s="10">
        <f t="shared" si="35"/>
        <v>46194</v>
      </c>
      <c r="S175" t="str">
        <f t="shared" si="28"/>
        <v>'2026-06-21'</v>
      </c>
      <c r="T175">
        <f t="shared" si="29"/>
        <v>6</v>
      </c>
      <c r="U175">
        <f t="shared" si="30"/>
        <v>25</v>
      </c>
      <c r="V175">
        <f t="shared" si="31"/>
        <v>2026</v>
      </c>
      <c r="W175">
        <f t="shared" si="32"/>
        <v>6</v>
      </c>
      <c r="X175">
        <f t="shared" si="33"/>
        <v>21</v>
      </c>
      <c r="Y175">
        <f t="shared" si="34"/>
        <v>1</v>
      </c>
      <c r="AE175" s="2" t="str" cm="1">
        <f t="array" ref="AE175">CONCATENATE($AE$2,Liste(S175:U175),";")</f>
        <v>INSERT INTO WD_Workdays (CalendarDay, CalendarWeekday, CalendarWeek) VALUES ('2026-06-21', 6, 25);</v>
      </c>
      <c r="AF175" s="2"/>
    </row>
    <row r="176" spans="18:32" x14ac:dyDescent="0.45">
      <c r="R176" s="10">
        <f t="shared" si="35"/>
        <v>46195</v>
      </c>
      <c r="S176" t="str">
        <f t="shared" si="28"/>
        <v>'2026-06-22'</v>
      </c>
      <c r="T176">
        <f t="shared" si="29"/>
        <v>0</v>
      </c>
      <c r="U176">
        <f t="shared" si="30"/>
        <v>26</v>
      </c>
      <c r="V176">
        <f t="shared" si="31"/>
        <v>2026</v>
      </c>
      <c r="W176">
        <f t="shared" si="32"/>
        <v>6</v>
      </c>
      <c r="X176">
        <f t="shared" si="33"/>
        <v>22</v>
      </c>
      <c r="Y176">
        <f t="shared" si="34"/>
        <v>1</v>
      </c>
      <c r="AE176" s="2" t="str" cm="1">
        <f t="array" ref="AE176">CONCATENATE($AE$2,Liste(S176:U176),";")</f>
        <v>INSERT INTO WD_Workdays (CalendarDay, CalendarWeekday, CalendarWeek) VALUES ('2026-06-22', 0, 26);</v>
      </c>
      <c r="AF176" s="2"/>
    </row>
    <row r="177" spans="18:32" x14ac:dyDescent="0.45">
      <c r="R177" s="10">
        <f t="shared" si="35"/>
        <v>46196</v>
      </c>
      <c r="S177" t="str">
        <f t="shared" si="28"/>
        <v>'2026-06-23'</v>
      </c>
      <c r="T177">
        <f t="shared" si="29"/>
        <v>1</v>
      </c>
      <c r="U177">
        <f t="shared" si="30"/>
        <v>26</v>
      </c>
      <c r="V177">
        <f t="shared" si="31"/>
        <v>2026</v>
      </c>
      <c r="W177">
        <f t="shared" si="32"/>
        <v>6</v>
      </c>
      <c r="X177">
        <f t="shared" si="33"/>
        <v>23</v>
      </c>
      <c r="Y177">
        <f t="shared" si="34"/>
        <v>1</v>
      </c>
      <c r="AE177" s="2" t="str" cm="1">
        <f t="array" ref="AE177">CONCATENATE($AE$2,Liste(S177:U177),";")</f>
        <v>INSERT INTO WD_Workdays (CalendarDay, CalendarWeekday, CalendarWeek) VALUES ('2026-06-23', 1, 26);</v>
      </c>
      <c r="AF177" s="2"/>
    </row>
    <row r="178" spans="18:32" x14ac:dyDescent="0.45">
      <c r="R178" s="10">
        <f t="shared" si="35"/>
        <v>46197</v>
      </c>
      <c r="S178" t="str">
        <f t="shared" si="28"/>
        <v>'2026-06-24'</v>
      </c>
      <c r="T178">
        <f t="shared" si="29"/>
        <v>2</v>
      </c>
      <c r="U178">
        <f t="shared" si="30"/>
        <v>26</v>
      </c>
      <c r="V178">
        <f t="shared" si="31"/>
        <v>2026</v>
      </c>
      <c r="W178">
        <f t="shared" si="32"/>
        <v>6</v>
      </c>
      <c r="X178">
        <f t="shared" si="33"/>
        <v>24</v>
      </c>
      <c r="Y178">
        <f t="shared" si="34"/>
        <v>1</v>
      </c>
      <c r="AE178" s="2" t="str" cm="1">
        <f t="array" ref="AE178">CONCATENATE($AE$2,Liste(S178:U178),";")</f>
        <v>INSERT INTO WD_Workdays (CalendarDay, CalendarWeekday, CalendarWeek) VALUES ('2026-06-24', 2, 26);</v>
      </c>
      <c r="AF178" s="2"/>
    </row>
    <row r="179" spans="18:32" x14ac:dyDescent="0.45">
      <c r="R179" s="10">
        <f t="shared" si="35"/>
        <v>46198</v>
      </c>
      <c r="S179" t="str">
        <f t="shared" si="28"/>
        <v>'2026-06-25'</v>
      </c>
      <c r="T179">
        <f t="shared" si="29"/>
        <v>3</v>
      </c>
      <c r="U179">
        <f t="shared" si="30"/>
        <v>26</v>
      </c>
      <c r="V179">
        <f t="shared" si="31"/>
        <v>2026</v>
      </c>
      <c r="W179">
        <f t="shared" si="32"/>
        <v>6</v>
      </c>
      <c r="X179">
        <f t="shared" si="33"/>
        <v>25</v>
      </c>
      <c r="Y179">
        <f t="shared" si="34"/>
        <v>1</v>
      </c>
      <c r="AE179" s="2" t="str" cm="1">
        <f t="array" ref="AE179">CONCATENATE($AE$2,Liste(S179:U179),";")</f>
        <v>INSERT INTO WD_Workdays (CalendarDay, CalendarWeekday, CalendarWeek) VALUES ('2026-06-25', 3, 26);</v>
      </c>
      <c r="AF179" s="2"/>
    </row>
    <row r="180" spans="18:32" x14ac:dyDescent="0.45">
      <c r="R180" s="10">
        <f t="shared" si="35"/>
        <v>46199</v>
      </c>
      <c r="S180" t="str">
        <f t="shared" si="28"/>
        <v>'2026-06-26'</v>
      </c>
      <c r="T180">
        <f t="shared" si="29"/>
        <v>4</v>
      </c>
      <c r="U180">
        <f t="shared" si="30"/>
        <v>26</v>
      </c>
      <c r="V180">
        <f t="shared" si="31"/>
        <v>2026</v>
      </c>
      <c r="W180">
        <f t="shared" si="32"/>
        <v>6</v>
      </c>
      <c r="X180">
        <f t="shared" si="33"/>
        <v>26</v>
      </c>
      <c r="Y180">
        <f t="shared" si="34"/>
        <v>1</v>
      </c>
      <c r="AE180" s="2" t="str" cm="1">
        <f t="array" ref="AE180">CONCATENATE($AE$2,Liste(S180:U180),";")</f>
        <v>INSERT INTO WD_Workdays (CalendarDay, CalendarWeekday, CalendarWeek) VALUES ('2026-06-26', 4, 26);</v>
      </c>
      <c r="AF180" s="2"/>
    </row>
    <row r="181" spans="18:32" x14ac:dyDescent="0.45">
      <c r="R181" s="10">
        <f t="shared" si="35"/>
        <v>46200</v>
      </c>
      <c r="S181" t="str">
        <f t="shared" si="28"/>
        <v>'2026-06-27'</v>
      </c>
      <c r="T181">
        <f t="shared" si="29"/>
        <v>5</v>
      </c>
      <c r="U181">
        <f t="shared" si="30"/>
        <v>26</v>
      </c>
      <c r="V181">
        <f t="shared" si="31"/>
        <v>2026</v>
      </c>
      <c r="W181">
        <f t="shared" si="32"/>
        <v>6</v>
      </c>
      <c r="X181">
        <f t="shared" si="33"/>
        <v>27</v>
      </c>
      <c r="Y181">
        <f t="shared" si="34"/>
        <v>1</v>
      </c>
      <c r="AE181" s="2" t="str" cm="1">
        <f t="array" ref="AE181">CONCATENATE($AE$2,Liste(S181:U181),";")</f>
        <v>INSERT INTO WD_Workdays (CalendarDay, CalendarWeekday, CalendarWeek) VALUES ('2026-06-27', 5, 26);</v>
      </c>
      <c r="AF181" s="2"/>
    </row>
    <row r="182" spans="18:32" x14ac:dyDescent="0.45">
      <c r="R182" s="10">
        <f t="shared" si="35"/>
        <v>46201</v>
      </c>
      <c r="S182" t="str">
        <f t="shared" si="28"/>
        <v>'2026-06-28'</v>
      </c>
      <c r="T182">
        <f t="shared" si="29"/>
        <v>6</v>
      </c>
      <c r="U182">
        <f t="shared" si="30"/>
        <v>26</v>
      </c>
      <c r="V182">
        <f t="shared" si="31"/>
        <v>2026</v>
      </c>
      <c r="W182">
        <f t="shared" si="32"/>
        <v>6</v>
      </c>
      <c r="X182">
        <f t="shared" si="33"/>
        <v>28</v>
      </c>
      <c r="Y182">
        <f t="shared" si="34"/>
        <v>1</v>
      </c>
      <c r="AE182" s="2" t="str" cm="1">
        <f t="array" ref="AE182">CONCATENATE($AE$2,Liste(S182:U182),";")</f>
        <v>INSERT INTO WD_Workdays (CalendarDay, CalendarWeekday, CalendarWeek) VALUES ('2026-06-28', 6, 26);</v>
      </c>
      <c r="AF182" s="2"/>
    </row>
    <row r="183" spans="18:32" x14ac:dyDescent="0.45">
      <c r="R183" s="10">
        <f t="shared" si="35"/>
        <v>46202</v>
      </c>
      <c r="S183" t="str">
        <f t="shared" si="28"/>
        <v>'2026-06-29'</v>
      </c>
      <c r="T183">
        <f t="shared" si="29"/>
        <v>0</v>
      </c>
      <c r="U183">
        <f t="shared" si="30"/>
        <v>27</v>
      </c>
      <c r="V183">
        <f t="shared" si="31"/>
        <v>2026</v>
      </c>
      <c r="W183">
        <f t="shared" si="32"/>
        <v>6</v>
      </c>
      <c r="X183">
        <f t="shared" si="33"/>
        <v>29</v>
      </c>
      <c r="Y183">
        <f t="shared" si="34"/>
        <v>1</v>
      </c>
      <c r="AE183" s="2" t="str" cm="1">
        <f t="array" ref="AE183">CONCATENATE($AE$2,Liste(S183:U183),";")</f>
        <v>INSERT INTO WD_Workdays (CalendarDay, CalendarWeekday, CalendarWeek) VALUES ('2026-06-29', 0, 27);</v>
      </c>
      <c r="AF183" s="2"/>
    </row>
    <row r="184" spans="18:32" x14ac:dyDescent="0.45">
      <c r="R184" s="10">
        <f t="shared" si="35"/>
        <v>46203</v>
      </c>
      <c r="S184" t="str">
        <f t="shared" si="28"/>
        <v>'2026-06-30'</v>
      </c>
      <c r="T184">
        <f t="shared" si="29"/>
        <v>1</v>
      </c>
      <c r="U184">
        <f t="shared" si="30"/>
        <v>27</v>
      </c>
      <c r="V184">
        <f t="shared" si="31"/>
        <v>2026</v>
      </c>
      <c r="W184">
        <f t="shared" si="32"/>
        <v>6</v>
      </c>
      <c r="X184">
        <f t="shared" si="33"/>
        <v>30</v>
      </c>
      <c r="Y184">
        <f t="shared" si="34"/>
        <v>1</v>
      </c>
      <c r="AE184" s="2" t="str" cm="1">
        <f t="array" ref="AE184">CONCATENATE($AE$2,Liste(S184:U184),";")</f>
        <v>INSERT INTO WD_Workdays (CalendarDay, CalendarWeekday, CalendarWeek) VALUES ('2026-06-30', 1, 27);</v>
      </c>
      <c r="AF184" s="2"/>
    </row>
    <row r="185" spans="18:32" x14ac:dyDescent="0.45">
      <c r="R185" s="10">
        <f t="shared" si="35"/>
        <v>46204</v>
      </c>
      <c r="S185" t="str">
        <f t="shared" si="28"/>
        <v>'2026-07-01'</v>
      </c>
      <c r="T185">
        <f t="shared" si="29"/>
        <v>2</v>
      </c>
      <c r="U185">
        <f t="shared" si="30"/>
        <v>27</v>
      </c>
      <c r="V185">
        <f t="shared" si="31"/>
        <v>2026</v>
      </c>
      <c r="W185">
        <f t="shared" si="32"/>
        <v>7</v>
      </c>
      <c r="X185">
        <f t="shared" si="33"/>
        <v>1</v>
      </c>
      <c r="Y185">
        <f t="shared" si="34"/>
        <v>2</v>
      </c>
      <c r="AE185" s="2" t="str" cm="1">
        <f t="array" ref="AE185">CONCATENATE($AE$2,Liste(S185:U185),";")</f>
        <v>INSERT INTO WD_Workdays (CalendarDay, CalendarWeekday, CalendarWeek) VALUES ('2026-07-01', 2, 27);</v>
      </c>
      <c r="AF185" s="2"/>
    </row>
    <row r="186" spans="18:32" x14ac:dyDescent="0.45">
      <c r="R186" s="10">
        <f t="shared" si="35"/>
        <v>46205</v>
      </c>
      <c r="S186" t="str">
        <f t="shared" si="28"/>
        <v>'2026-07-02'</v>
      </c>
      <c r="T186">
        <f t="shared" si="29"/>
        <v>3</v>
      </c>
      <c r="U186">
        <f t="shared" si="30"/>
        <v>27</v>
      </c>
      <c r="V186">
        <f t="shared" si="31"/>
        <v>2026</v>
      </c>
      <c r="W186">
        <f t="shared" si="32"/>
        <v>7</v>
      </c>
      <c r="X186">
        <f t="shared" si="33"/>
        <v>2</v>
      </c>
      <c r="Y186">
        <f t="shared" si="34"/>
        <v>2</v>
      </c>
      <c r="AE186" s="2" t="str" cm="1">
        <f t="array" ref="AE186">CONCATENATE($AE$2,Liste(S186:U186),";")</f>
        <v>INSERT INTO WD_Workdays (CalendarDay, CalendarWeekday, CalendarWeek) VALUES ('2026-07-02', 3, 27);</v>
      </c>
      <c r="AF186" s="2"/>
    </row>
    <row r="187" spans="18:32" x14ac:dyDescent="0.45">
      <c r="R187" s="10">
        <f t="shared" si="35"/>
        <v>46206</v>
      </c>
      <c r="S187" t="str">
        <f t="shared" si="28"/>
        <v>'2026-07-03'</v>
      </c>
      <c r="T187">
        <f t="shared" si="29"/>
        <v>4</v>
      </c>
      <c r="U187">
        <f t="shared" si="30"/>
        <v>27</v>
      </c>
      <c r="V187">
        <f t="shared" si="31"/>
        <v>2026</v>
      </c>
      <c r="W187">
        <f t="shared" si="32"/>
        <v>7</v>
      </c>
      <c r="X187">
        <f t="shared" si="33"/>
        <v>3</v>
      </c>
      <c r="Y187">
        <f t="shared" si="34"/>
        <v>2</v>
      </c>
      <c r="AE187" s="2" t="str" cm="1">
        <f t="array" ref="AE187">CONCATENATE($AE$2,Liste(S187:U187),";")</f>
        <v>INSERT INTO WD_Workdays (CalendarDay, CalendarWeekday, CalendarWeek) VALUES ('2026-07-03', 4, 27);</v>
      </c>
      <c r="AF187" s="2"/>
    </row>
    <row r="188" spans="18:32" x14ac:dyDescent="0.45">
      <c r="R188" s="10">
        <f t="shared" si="35"/>
        <v>46207</v>
      </c>
      <c r="S188" t="str">
        <f t="shared" si="28"/>
        <v>'2026-07-04'</v>
      </c>
      <c r="T188">
        <f t="shared" si="29"/>
        <v>5</v>
      </c>
      <c r="U188">
        <f t="shared" si="30"/>
        <v>27</v>
      </c>
      <c r="V188">
        <f t="shared" si="31"/>
        <v>2026</v>
      </c>
      <c r="W188">
        <f t="shared" si="32"/>
        <v>7</v>
      </c>
      <c r="X188">
        <f t="shared" si="33"/>
        <v>4</v>
      </c>
      <c r="Y188">
        <f t="shared" si="34"/>
        <v>2</v>
      </c>
      <c r="AE188" s="2" t="str" cm="1">
        <f t="array" ref="AE188">CONCATENATE($AE$2,Liste(S188:U188),";")</f>
        <v>INSERT INTO WD_Workdays (CalendarDay, CalendarWeekday, CalendarWeek) VALUES ('2026-07-04', 5, 27);</v>
      </c>
      <c r="AF188" s="2"/>
    </row>
    <row r="189" spans="18:32" x14ac:dyDescent="0.45">
      <c r="R189" s="10">
        <f t="shared" si="35"/>
        <v>46208</v>
      </c>
      <c r="S189" t="str">
        <f t="shared" si="28"/>
        <v>'2026-07-05'</v>
      </c>
      <c r="T189">
        <f t="shared" si="29"/>
        <v>6</v>
      </c>
      <c r="U189">
        <f t="shared" si="30"/>
        <v>27</v>
      </c>
      <c r="V189">
        <f t="shared" si="31"/>
        <v>2026</v>
      </c>
      <c r="W189">
        <f t="shared" si="32"/>
        <v>7</v>
      </c>
      <c r="X189">
        <f t="shared" si="33"/>
        <v>5</v>
      </c>
      <c r="Y189">
        <f t="shared" si="34"/>
        <v>2</v>
      </c>
      <c r="AE189" s="2" t="str" cm="1">
        <f t="array" ref="AE189">CONCATENATE($AE$2,Liste(S189:U189),";")</f>
        <v>INSERT INTO WD_Workdays (CalendarDay, CalendarWeekday, CalendarWeek) VALUES ('2026-07-05', 6, 27);</v>
      </c>
      <c r="AF189" s="2"/>
    </row>
    <row r="190" spans="18:32" x14ac:dyDescent="0.45">
      <c r="R190" s="10">
        <f t="shared" si="35"/>
        <v>46209</v>
      </c>
      <c r="S190" t="str">
        <f t="shared" si="28"/>
        <v>'2026-07-06'</v>
      </c>
      <c r="T190">
        <f t="shared" si="29"/>
        <v>0</v>
      </c>
      <c r="U190">
        <f t="shared" si="30"/>
        <v>28</v>
      </c>
      <c r="V190">
        <f t="shared" si="31"/>
        <v>2026</v>
      </c>
      <c r="W190">
        <f t="shared" si="32"/>
        <v>7</v>
      </c>
      <c r="X190">
        <f t="shared" si="33"/>
        <v>6</v>
      </c>
      <c r="Y190">
        <f t="shared" si="34"/>
        <v>2</v>
      </c>
      <c r="AE190" s="2" t="str" cm="1">
        <f t="array" ref="AE190">CONCATENATE($AE$2,Liste(S190:U190),";")</f>
        <v>INSERT INTO WD_Workdays (CalendarDay, CalendarWeekday, CalendarWeek) VALUES ('2026-07-06', 0, 28);</v>
      </c>
      <c r="AF190" s="2"/>
    </row>
    <row r="191" spans="18:32" x14ac:dyDescent="0.45">
      <c r="R191" s="10">
        <f t="shared" si="35"/>
        <v>46210</v>
      </c>
      <c r="S191" t="str">
        <f t="shared" si="28"/>
        <v>'2026-07-07'</v>
      </c>
      <c r="T191">
        <f t="shared" si="29"/>
        <v>1</v>
      </c>
      <c r="U191">
        <f t="shared" si="30"/>
        <v>28</v>
      </c>
      <c r="V191">
        <f t="shared" si="31"/>
        <v>2026</v>
      </c>
      <c r="W191">
        <f t="shared" si="32"/>
        <v>7</v>
      </c>
      <c r="X191">
        <f t="shared" si="33"/>
        <v>7</v>
      </c>
      <c r="Y191">
        <f t="shared" si="34"/>
        <v>2</v>
      </c>
      <c r="AE191" s="2" t="str" cm="1">
        <f t="array" ref="AE191">CONCATENATE($AE$2,Liste(S191:U191),";")</f>
        <v>INSERT INTO WD_Workdays (CalendarDay, CalendarWeekday, CalendarWeek) VALUES ('2026-07-07', 1, 28);</v>
      </c>
      <c r="AF191" s="2"/>
    </row>
    <row r="192" spans="18:32" x14ac:dyDescent="0.45">
      <c r="R192" s="10">
        <f t="shared" si="35"/>
        <v>46211</v>
      </c>
      <c r="S192" t="str">
        <f t="shared" si="28"/>
        <v>'2026-07-08'</v>
      </c>
      <c r="T192">
        <f t="shared" si="29"/>
        <v>2</v>
      </c>
      <c r="U192">
        <f t="shared" si="30"/>
        <v>28</v>
      </c>
      <c r="V192">
        <f t="shared" si="31"/>
        <v>2026</v>
      </c>
      <c r="W192">
        <f t="shared" si="32"/>
        <v>7</v>
      </c>
      <c r="X192">
        <f t="shared" si="33"/>
        <v>8</v>
      </c>
      <c r="Y192">
        <f t="shared" si="34"/>
        <v>2</v>
      </c>
      <c r="AE192" s="2" t="str" cm="1">
        <f t="array" ref="AE192">CONCATENATE($AE$2,Liste(S192:U192),";")</f>
        <v>INSERT INTO WD_Workdays (CalendarDay, CalendarWeekday, CalendarWeek) VALUES ('2026-07-08', 2, 28);</v>
      </c>
      <c r="AF192" s="2"/>
    </row>
    <row r="193" spans="18:32" x14ac:dyDescent="0.45">
      <c r="R193" s="10">
        <f t="shared" si="35"/>
        <v>46212</v>
      </c>
      <c r="S193" t="str">
        <f t="shared" si="28"/>
        <v>'2026-07-09'</v>
      </c>
      <c r="T193">
        <f t="shared" si="29"/>
        <v>3</v>
      </c>
      <c r="U193">
        <f t="shared" si="30"/>
        <v>28</v>
      </c>
      <c r="V193">
        <f t="shared" si="31"/>
        <v>2026</v>
      </c>
      <c r="W193">
        <f t="shared" si="32"/>
        <v>7</v>
      </c>
      <c r="X193">
        <f t="shared" si="33"/>
        <v>9</v>
      </c>
      <c r="Y193">
        <f t="shared" si="34"/>
        <v>2</v>
      </c>
      <c r="AE193" s="2" t="str" cm="1">
        <f t="array" ref="AE193">CONCATENATE($AE$2,Liste(S193:U193),";")</f>
        <v>INSERT INTO WD_Workdays (CalendarDay, CalendarWeekday, CalendarWeek) VALUES ('2026-07-09', 3, 28);</v>
      </c>
      <c r="AF193" s="2"/>
    </row>
    <row r="194" spans="18:32" x14ac:dyDescent="0.45">
      <c r="R194" s="10">
        <f t="shared" si="35"/>
        <v>46213</v>
      </c>
      <c r="S194" t="str">
        <f t="shared" si="28"/>
        <v>'2026-07-10'</v>
      </c>
      <c r="T194">
        <f t="shared" si="29"/>
        <v>4</v>
      </c>
      <c r="U194">
        <f t="shared" si="30"/>
        <v>28</v>
      </c>
      <c r="V194">
        <f t="shared" si="31"/>
        <v>2026</v>
      </c>
      <c r="W194">
        <f t="shared" si="32"/>
        <v>7</v>
      </c>
      <c r="X194">
        <f t="shared" si="33"/>
        <v>10</v>
      </c>
      <c r="Y194">
        <f t="shared" si="34"/>
        <v>2</v>
      </c>
      <c r="AE194" s="2" t="str" cm="1">
        <f t="array" ref="AE194">CONCATENATE($AE$2,Liste(S194:U194),";")</f>
        <v>INSERT INTO WD_Workdays (CalendarDay, CalendarWeekday, CalendarWeek) VALUES ('2026-07-10', 4, 28);</v>
      </c>
      <c r="AF194" s="2"/>
    </row>
    <row r="195" spans="18:32" x14ac:dyDescent="0.45">
      <c r="R195" s="10">
        <f t="shared" si="35"/>
        <v>46214</v>
      </c>
      <c r="S195" t="str">
        <f t="shared" si="28"/>
        <v>'2026-07-11'</v>
      </c>
      <c r="T195">
        <f t="shared" si="29"/>
        <v>5</v>
      </c>
      <c r="U195">
        <f t="shared" si="30"/>
        <v>28</v>
      </c>
      <c r="V195">
        <f t="shared" si="31"/>
        <v>2026</v>
      </c>
      <c r="W195">
        <f t="shared" si="32"/>
        <v>7</v>
      </c>
      <c r="X195">
        <f t="shared" si="33"/>
        <v>11</v>
      </c>
      <c r="Y195">
        <f t="shared" si="34"/>
        <v>2</v>
      </c>
      <c r="AE195" s="2" t="str" cm="1">
        <f t="array" ref="AE195">CONCATENATE($AE$2,Liste(S195:U195),";")</f>
        <v>INSERT INTO WD_Workdays (CalendarDay, CalendarWeekday, CalendarWeek) VALUES ('2026-07-11', 5, 28);</v>
      </c>
      <c r="AF195" s="2"/>
    </row>
    <row r="196" spans="18:32" x14ac:dyDescent="0.45">
      <c r="R196" s="10">
        <f t="shared" si="35"/>
        <v>46215</v>
      </c>
      <c r="S196" t="str">
        <f t="shared" si="28"/>
        <v>'2026-07-12'</v>
      </c>
      <c r="T196">
        <f t="shared" si="29"/>
        <v>6</v>
      </c>
      <c r="U196">
        <f t="shared" si="30"/>
        <v>28</v>
      </c>
      <c r="V196">
        <f t="shared" si="31"/>
        <v>2026</v>
      </c>
      <c r="W196">
        <f t="shared" si="32"/>
        <v>7</v>
      </c>
      <c r="X196">
        <f t="shared" si="33"/>
        <v>12</v>
      </c>
      <c r="Y196">
        <f t="shared" si="34"/>
        <v>2</v>
      </c>
      <c r="AE196" s="2" t="str" cm="1">
        <f t="array" ref="AE196">CONCATENATE($AE$2,Liste(S196:U196),";")</f>
        <v>INSERT INTO WD_Workdays (CalendarDay, CalendarWeekday, CalendarWeek) VALUES ('2026-07-12', 6, 28);</v>
      </c>
      <c r="AF196" s="2"/>
    </row>
    <row r="197" spans="18:32" x14ac:dyDescent="0.45">
      <c r="R197" s="10">
        <f t="shared" si="35"/>
        <v>46216</v>
      </c>
      <c r="S197" t="str">
        <f t="shared" ref="S197:S260" si="36">CONCATENATE("'",TEXT(R197,"jjjj-MM-tt"),"'")</f>
        <v>'2026-07-13'</v>
      </c>
      <c r="T197">
        <f t="shared" ref="T197:T260" si="37">WEEKDAY(R197,3)</f>
        <v>0</v>
      </c>
      <c r="U197">
        <f t="shared" ref="U197:U260" si="38">_xlfn.ISOWEEKNUM(R197)</f>
        <v>29</v>
      </c>
      <c r="V197">
        <f t="shared" ref="V197:V260" si="39">YEAR(R197)</f>
        <v>2026</v>
      </c>
      <c r="W197">
        <f t="shared" ref="W197:W260" si="40">MONTH(R197)</f>
        <v>7</v>
      </c>
      <c r="X197">
        <f t="shared" ref="X197:X260" si="41">DAY(R197)</f>
        <v>13</v>
      </c>
      <c r="Y197">
        <f t="shared" ref="Y197:Y260" si="42">IF(AND(W197&gt;=1,W197&lt;=3),0,IF(AND(W197&gt;=4,W197&lt;=6),1,IF(AND(W197&gt;=7,W197&lt;=8),2,IF(AND(W197&gt;=9,W197&lt;=12),3,-1))))</f>
        <v>2</v>
      </c>
      <c r="AE197" s="2" t="str" cm="1">
        <f t="array" ref="AE197">CONCATENATE($AE$2,Liste(S197:U197),";")</f>
        <v>INSERT INTO WD_Workdays (CalendarDay, CalendarWeekday, CalendarWeek) VALUES ('2026-07-13', 0, 29);</v>
      </c>
      <c r="AF197" s="2"/>
    </row>
    <row r="198" spans="18:32" x14ac:dyDescent="0.45">
      <c r="R198" s="10">
        <f t="shared" ref="R198:R261" si="43">R197+1</f>
        <v>46217</v>
      </c>
      <c r="S198" t="str">
        <f t="shared" si="36"/>
        <v>'2026-07-14'</v>
      </c>
      <c r="T198">
        <f t="shared" si="37"/>
        <v>1</v>
      </c>
      <c r="U198">
        <f t="shared" si="38"/>
        <v>29</v>
      </c>
      <c r="V198">
        <f t="shared" si="39"/>
        <v>2026</v>
      </c>
      <c r="W198">
        <f t="shared" si="40"/>
        <v>7</v>
      </c>
      <c r="X198">
        <f t="shared" si="41"/>
        <v>14</v>
      </c>
      <c r="Y198">
        <f t="shared" si="42"/>
        <v>2</v>
      </c>
      <c r="AE198" s="2" t="str" cm="1">
        <f t="array" ref="AE198">CONCATENATE($AE$2,Liste(S198:U198),";")</f>
        <v>INSERT INTO WD_Workdays (CalendarDay, CalendarWeekday, CalendarWeek) VALUES ('2026-07-14', 1, 29);</v>
      </c>
      <c r="AF198" s="2"/>
    </row>
    <row r="199" spans="18:32" x14ac:dyDescent="0.45">
      <c r="R199" s="10">
        <f t="shared" si="43"/>
        <v>46218</v>
      </c>
      <c r="S199" t="str">
        <f t="shared" si="36"/>
        <v>'2026-07-15'</v>
      </c>
      <c r="T199">
        <f t="shared" si="37"/>
        <v>2</v>
      </c>
      <c r="U199">
        <f t="shared" si="38"/>
        <v>29</v>
      </c>
      <c r="V199">
        <f t="shared" si="39"/>
        <v>2026</v>
      </c>
      <c r="W199">
        <f t="shared" si="40"/>
        <v>7</v>
      </c>
      <c r="X199">
        <f t="shared" si="41"/>
        <v>15</v>
      </c>
      <c r="Y199">
        <f t="shared" si="42"/>
        <v>2</v>
      </c>
      <c r="AE199" s="2" t="str" cm="1">
        <f t="array" ref="AE199">CONCATENATE($AE$2,Liste(S199:U199),";")</f>
        <v>INSERT INTO WD_Workdays (CalendarDay, CalendarWeekday, CalendarWeek) VALUES ('2026-07-15', 2, 29);</v>
      </c>
      <c r="AF199" s="2"/>
    </row>
    <row r="200" spans="18:32" x14ac:dyDescent="0.45">
      <c r="R200" s="10">
        <f t="shared" si="43"/>
        <v>46219</v>
      </c>
      <c r="S200" t="str">
        <f t="shared" si="36"/>
        <v>'2026-07-16'</v>
      </c>
      <c r="T200">
        <f t="shared" si="37"/>
        <v>3</v>
      </c>
      <c r="U200">
        <f t="shared" si="38"/>
        <v>29</v>
      </c>
      <c r="V200">
        <f t="shared" si="39"/>
        <v>2026</v>
      </c>
      <c r="W200">
        <f t="shared" si="40"/>
        <v>7</v>
      </c>
      <c r="X200">
        <f t="shared" si="41"/>
        <v>16</v>
      </c>
      <c r="Y200">
        <f t="shared" si="42"/>
        <v>2</v>
      </c>
      <c r="AE200" s="2" t="str" cm="1">
        <f t="array" ref="AE200">CONCATENATE($AE$2,Liste(S200:U200),";")</f>
        <v>INSERT INTO WD_Workdays (CalendarDay, CalendarWeekday, CalendarWeek) VALUES ('2026-07-16', 3, 29);</v>
      </c>
      <c r="AF200" s="2"/>
    </row>
    <row r="201" spans="18:32" x14ac:dyDescent="0.45">
      <c r="R201" s="10">
        <f t="shared" si="43"/>
        <v>46220</v>
      </c>
      <c r="S201" t="str">
        <f t="shared" si="36"/>
        <v>'2026-07-17'</v>
      </c>
      <c r="T201">
        <f t="shared" si="37"/>
        <v>4</v>
      </c>
      <c r="U201">
        <f t="shared" si="38"/>
        <v>29</v>
      </c>
      <c r="V201">
        <f t="shared" si="39"/>
        <v>2026</v>
      </c>
      <c r="W201">
        <f t="shared" si="40"/>
        <v>7</v>
      </c>
      <c r="X201">
        <f t="shared" si="41"/>
        <v>17</v>
      </c>
      <c r="Y201">
        <f t="shared" si="42"/>
        <v>2</v>
      </c>
      <c r="AE201" s="2" t="str" cm="1">
        <f t="array" ref="AE201">CONCATENATE($AE$2,Liste(S201:U201),";")</f>
        <v>INSERT INTO WD_Workdays (CalendarDay, CalendarWeekday, CalendarWeek) VALUES ('2026-07-17', 4, 29);</v>
      </c>
      <c r="AF201" s="2"/>
    </row>
    <row r="202" spans="18:32" x14ac:dyDescent="0.45">
      <c r="R202" s="10">
        <f t="shared" si="43"/>
        <v>46221</v>
      </c>
      <c r="S202" t="str">
        <f t="shared" si="36"/>
        <v>'2026-07-18'</v>
      </c>
      <c r="T202">
        <f t="shared" si="37"/>
        <v>5</v>
      </c>
      <c r="U202">
        <f t="shared" si="38"/>
        <v>29</v>
      </c>
      <c r="V202">
        <f t="shared" si="39"/>
        <v>2026</v>
      </c>
      <c r="W202">
        <f t="shared" si="40"/>
        <v>7</v>
      </c>
      <c r="X202">
        <f t="shared" si="41"/>
        <v>18</v>
      </c>
      <c r="Y202">
        <f t="shared" si="42"/>
        <v>2</v>
      </c>
      <c r="AE202" s="2" t="str" cm="1">
        <f t="array" ref="AE202">CONCATENATE($AE$2,Liste(S202:U202),";")</f>
        <v>INSERT INTO WD_Workdays (CalendarDay, CalendarWeekday, CalendarWeek) VALUES ('2026-07-18', 5, 29);</v>
      </c>
      <c r="AF202" s="2"/>
    </row>
    <row r="203" spans="18:32" x14ac:dyDescent="0.45">
      <c r="R203" s="10">
        <f t="shared" si="43"/>
        <v>46222</v>
      </c>
      <c r="S203" t="str">
        <f t="shared" si="36"/>
        <v>'2026-07-19'</v>
      </c>
      <c r="T203">
        <f t="shared" si="37"/>
        <v>6</v>
      </c>
      <c r="U203">
        <f t="shared" si="38"/>
        <v>29</v>
      </c>
      <c r="V203">
        <f t="shared" si="39"/>
        <v>2026</v>
      </c>
      <c r="W203">
        <f t="shared" si="40"/>
        <v>7</v>
      </c>
      <c r="X203">
        <f t="shared" si="41"/>
        <v>19</v>
      </c>
      <c r="Y203">
        <f t="shared" si="42"/>
        <v>2</v>
      </c>
      <c r="AE203" s="2" t="str" cm="1">
        <f t="array" ref="AE203">CONCATENATE($AE$2,Liste(S203:U203),";")</f>
        <v>INSERT INTO WD_Workdays (CalendarDay, CalendarWeekday, CalendarWeek) VALUES ('2026-07-19', 6, 29);</v>
      </c>
      <c r="AF203" s="2"/>
    </row>
    <row r="204" spans="18:32" x14ac:dyDescent="0.45">
      <c r="R204" s="10">
        <f t="shared" si="43"/>
        <v>46223</v>
      </c>
      <c r="S204" t="str">
        <f t="shared" si="36"/>
        <v>'2026-07-20'</v>
      </c>
      <c r="T204">
        <f t="shared" si="37"/>
        <v>0</v>
      </c>
      <c r="U204">
        <f t="shared" si="38"/>
        <v>30</v>
      </c>
      <c r="V204">
        <f t="shared" si="39"/>
        <v>2026</v>
      </c>
      <c r="W204">
        <f t="shared" si="40"/>
        <v>7</v>
      </c>
      <c r="X204">
        <f t="shared" si="41"/>
        <v>20</v>
      </c>
      <c r="Y204">
        <f t="shared" si="42"/>
        <v>2</v>
      </c>
      <c r="AE204" s="2" t="str" cm="1">
        <f t="array" ref="AE204">CONCATENATE($AE$2,Liste(S204:U204),";")</f>
        <v>INSERT INTO WD_Workdays (CalendarDay, CalendarWeekday, CalendarWeek) VALUES ('2026-07-20', 0, 30);</v>
      </c>
      <c r="AF204" s="2"/>
    </row>
    <row r="205" spans="18:32" x14ac:dyDescent="0.45">
      <c r="R205" s="10">
        <f t="shared" si="43"/>
        <v>46224</v>
      </c>
      <c r="S205" t="str">
        <f t="shared" si="36"/>
        <v>'2026-07-21'</v>
      </c>
      <c r="T205">
        <f t="shared" si="37"/>
        <v>1</v>
      </c>
      <c r="U205">
        <f t="shared" si="38"/>
        <v>30</v>
      </c>
      <c r="V205">
        <f t="shared" si="39"/>
        <v>2026</v>
      </c>
      <c r="W205">
        <f t="shared" si="40"/>
        <v>7</v>
      </c>
      <c r="X205">
        <f t="shared" si="41"/>
        <v>21</v>
      </c>
      <c r="Y205">
        <f t="shared" si="42"/>
        <v>2</v>
      </c>
      <c r="AE205" s="2" t="str" cm="1">
        <f t="array" ref="AE205">CONCATENATE($AE$2,Liste(S205:U205),";")</f>
        <v>INSERT INTO WD_Workdays (CalendarDay, CalendarWeekday, CalendarWeek) VALUES ('2026-07-21', 1, 30);</v>
      </c>
      <c r="AF205" s="2"/>
    </row>
    <row r="206" spans="18:32" x14ac:dyDescent="0.45">
      <c r="R206" s="10">
        <f t="shared" si="43"/>
        <v>46225</v>
      </c>
      <c r="S206" t="str">
        <f t="shared" si="36"/>
        <v>'2026-07-22'</v>
      </c>
      <c r="T206">
        <f t="shared" si="37"/>
        <v>2</v>
      </c>
      <c r="U206">
        <f t="shared" si="38"/>
        <v>30</v>
      </c>
      <c r="V206">
        <f t="shared" si="39"/>
        <v>2026</v>
      </c>
      <c r="W206">
        <f t="shared" si="40"/>
        <v>7</v>
      </c>
      <c r="X206">
        <f t="shared" si="41"/>
        <v>22</v>
      </c>
      <c r="Y206">
        <f t="shared" si="42"/>
        <v>2</v>
      </c>
      <c r="AE206" s="2" t="str" cm="1">
        <f t="array" ref="AE206">CONCATENATE($AE$2,Liste(S206:U206),";")</f>
        <v>INSERT INTO WD_Workdays (CalendarDay, CalendarWeekday, CalendarWeek) VALUES ('2026-07-22', 2, 30);</v>
      </c>
      <c r="AF206" s="2"/>
    </row>
    <row r="207" spans="18:32" x14ac:dyDescent="0.45">
      <c r="R207" s="10">
        <f t="shared" si="43"/>
        <v>46226</v>
      </c>
      <c r="S207" t="str">
        <f t="shared" si="36"/>
        <v>'2026-07-23'</v>
      </c>
      <c r="T207">
        <f t="shared" si="37"/>
        <v>3</v>
      </c>
      <c r="U207">
        <f t="shared" si="38"/>
        <v>30</v>
      </c>
      <c r="V207">
        <f t="shared" si="39"/>
        <v>2026</v>
      </c>
      <c r="W207">
        <f t="shared" si="40"/>
        <v>7</v>
      </c>
      <c r="X207">
        <f t="shared" si="41"/>
        <v>23</v>
      </c>
      <c r="Y207">
        <f t="shared" si="42"/>
        <v>2</v>
      </c>
      <c r="AE207" s="2" t="str" cm="1">
        <f t="array" ref="AE207">CONCATENATE($AE$2,Liste(S207:U207),";")</f>
        <v>INSERT INTO WD_Workdays (CalendarDay, CalendarWeekday, CalendarWeek) VALUES ('2026-07-23', 3, 30);</v>
      </c>
      <c r="AF207" s="2"/>
    </row>
    <row r="208" spans="18:32" x14ac:dyDescent="0.45">
      <c r="R208" s="10">
        <f t="shared" si="43"/>
        <v>46227</v>
      </c>
      <c r="S208" t="str">
        <f t="shared" si="36"/>
        <v>'2026-07-24'</v>
      </c>
      <c r="T208">
        <f t="shared" si="37"/>
        <v>4</v>
      </c>
      <c r="U208">
        <f t="shared" si="38"/>
        <v>30</v>
      </c>
      <c r="V208">
        <f t="shared" si="39"/>
        <v>2026</v>
      </c>
      <c r="W208">
        <f t="shared" si="40"/>
        <v>7</v>
      </c>
      <c r="X208">
        <f t="shared" si="41"/>
        <v>24</v>
      </c>
      <c r="Y208">
        <f t="shared" si="42"/>
        <v>2</v>
      </c>
      <c r="AE208" s="2" t="str" cm="1">
        <f t="array" ref="AE208">CONCATENATE($AE$2,Liste(S208:U208),";")</f>
        <v>INSERT INTO WD_Workdays (CalendarDay, CalendarWeekday, CalendarWeek) VALUES ('2026-07-24', 4, 30);</v>
      </c>
      <c r="AF208" s="2"/>
    </row>
    <row r="209" spans="18:32" x14ac:dyDescent="0.45">
      <c r="R209" s="10">
        <f t="shared" si="43"/>
        <v>46228</v>
      </c>
      <c r="S209" t="str">
        <f t="shared" si="36"/>
        <v>'2026-07-25'</v>
      </c>
      <c r="T209">
        <f t="shared" si="37"/>
        <v>5</v>
      </c>
      <c r="U209">
        <f t="shared" si="38"/>
        <v>30</v>
      </c>
      <c r="V209">
        <f t="shared" si="39"/>
        <v>2026</v>
      </c>
      <c r="W209">
        <f t="shared" si="40"/>
        <v>7</v>
      </c>
      <c r="X209">
        <f t="shared" si="41"/>
        <v>25</v>
      </c>
      <c r="Y209">
        <f t="shared" si="42"/>
        <v>2</v>
      </c>
      <c r="AE209" s="2" t="str" cm="1">
        <f t="array" ref="AE209">CONCATENATE($AE$2,Liste(S209:U209),";")</f>
        <v>INSERT INTO WD_Workdays (CalendarDay, CalendarWeekday, CalendarWeek) VALUES ('2026-07-25', 5, 30);</v>
      </c>
      <c r="AF209" s="2"/>
    </row>
    <row r="210" spans="18:32" x14ac:dyDescent="0.45">
      <c r="R210" s="10">
        <f t="shared" si="43"/>
        <v>46229</v>
      </c>
      <c r="S210" t="str">
        <f t="shared" si="36"/>
        <v>'2026-07-26'</v>
      </c>
      <c r="T210">
        <f t="shared" si="37"/>
        <v>6</v>
      </c>
      <c r="U210">
        <f t="shared" si="38"/>
        <v>30</v>
      </c>
      <c r="V210">
        <f t="shared" si="39"/>
        <v>2026</v>
      </c>
      <c r="W210">
        <f t="shared" si="40"/>
        <v>7</v>
      </c>
      <c r="X210">
        <f t="shared" si="41"/>
        <v>26</v>
      </c>
      <c r="Y210">
        <f t="shared" si="42"/>
        <v>2</v>
      </c>
      <c r="AE210" s="2" t="str" cm="1">
        <f t="array" ref="AE210">CONCATENATE($AE$2,Liste(S210:U210),";")</f>
        <v>INSERT INTO WD_Workdays (CalendarDay, CalendarWeekday, CalendarWeek) VALUES ('2026-07-26', 6, 30);</v>
      </c>
      <c r="AF210" s="2"/>
    </row>
    <row r="211" spans="18:32" x14ac:dyDescent="0.45">
      <c r="R211" s="10">
        <f t="shared" si="43"/>
        <v>46230</v>
      </c>
      <c r="S211" t="str">
        <f t="shared" si="36"/>
        <v>'2026-07-27'</v>
      </c>
      <c r="T211">
        <f t="shared" si="37"/>
        <v>0</v>
      </c>
      <c r="U211">
        <f t="shared" si="38"/>
        <v>31</v>
      </c>
      <c r="V211">
        <f t="shared" si="39"/>
        <v>2026</v>
      </c>
      <c r="W211">
        <f t="shared" si="40"/>
        <v>7</v>
      </c>
      <c r="X211">
        <f t="shared" si="41"/>
        <v>27</v>
      </c>
      <c r="Y211">
        <f t="shared" si="42"/>
        <v>2</v>
      </c>
      <c r="AE211" s="2" t="str" cm="1">
        <f t="array" ref="AE211">CONCATENATE($AE$2,Liste(S211:U211),";")</f>
        <v>INSERT INTO WD_Workdays (CalendarDay, CalendarWeekday, CalendarWeek) VALUES ('2026-07-27', 0, 31);</v>
      </c>
      <c r="AF211" s="2"/>
    </row>
    <row r="212" spans="18:32" x14ac:dyDescent="0.45">
      <c r="R212" s="10">
        <f t="shared" si="43"/>
        <v>46231</v>
      </c>
      <c r="S212" t="str">
        <f t="shared" si="36"/>
        <v>'2026-07-28'</v>
      </c>
      <c r="T212">
        <f t="shared" si="37"/>
        <v>1</v>
      </c>
      <c r="U212">
        <f t="shared" si="38"/>
        <v>31</v>
      </c>
      <c r="V212">
        <f t="shared" si="39"/>
        <v>2026</v>
      </c>
      <c r="W212">
        <f t="shared" si="40"/>
        <v>7</v>
      </c>
      <c r="X212">
        <f t="shared" si="41"/>
        <v>28</v>
      </c>
      <c r="Y212">
        <f t="shared" si="42"/>
        <v>2</v>
      </c>
      <c r="AE212" s="2" t="str" cm="1">
        <f t="array" ref="AE212">CONCATENATE($AE$2,Liste(S212:U212),";")</f>
        <v>INSERT INTO WD_Workdays (CalendarDay, CalendarWeekday, CalendarWeek) VALUES ('2026-07-28', 1, 31);</v>
      </c>
      <c r="AF212" s="2"/>
    </row>
    <row r="213" spans="18:32" x14ac:dyDescent="0.45">
      <c r="R213" s="10">
        <f t="shared" si="43"/>
        <v>46232</v>
      </c>
      <c r="S213" t="str">
        <f t="shared" si="36"/>
        <v>'2026-07-29'</v>
      </c>
      <c r="T213">
        <f t="shared" si="37"/>
        <v>2</v>
      </c>
      <c r="U213">
        <f t="shared" si="38"/>
        <v>31</v>
      </c>
      <c r="V213">
        <f t="shared" si="39"/>
        <v>2026</v>
      </c>
      <c r="W213">
        <f t="shared" si="40"/>
        <v>7</v>
      </c>
      <c r="X213">
        <f t="shared" si="41"/>
        <v>29</v>
      </c>
      <c r="Y213">
        <f t="shared" si="42"/>
        <v>2</v>
      </c>
      <c r="AE213" s="2" t="str" cm="1">
        <f t="array" ref="AE213">CONCATENATE($AE$2,Liste(S213:U213),";")</f>
        <v>INSERT INTO WD_Workdays (CalendarDay, CalendarWeekday, CalendarWeek) VALUES ('2026-07-29', 2, 31);</v>
      </c>
      <c r="AF213" s="2"/>
    </row>
    <row r="214" spans="18:32" x14ac:dyDescent="0.45">
      <c r="R214" s="10">
        <f t="shared" si="43"/>
        <v>46233</v>
      </c>
      <c r="S214" t="str">
        <f t="shared" si="36"/>
        <v>'2026-07-30'</v>
      </c>
      <c r="T214">
        <f t="shared" si="37"/>
        <v>3</v>
      </c>
      <c r="U214">
        <f t="shared" si="38"/>
        <v>31</v>
      </c>
      <c r="V214">
        <f t="shared" si="39"/>
        <v>2026</v>
      </c>
      <c r="W214">
        <f t="shared" si="40"/>
        <v>7</v>
      </c>
      <c r="X214">
        <f t="shared" si="41"/>
        <v>30</v>
      </c>
      <c r="Y214">
        <f t="shared" si="42"/>
        <v>2</v>
      </c>
      <c r="AE214" s="2" t="str" cm="1">
        <f t="array" ref="AE214">CONCATENATE($AE$2,Liste(S214:U214),";")</f>
        <v>INSERT INTO WD_Workdays (CalendarDay, CalendarWeekday, CalendarWeek) VALUES ('2026-07-30', 3, 31);</v>
      </c>
      <c r="AF214" s="2"/>
    </row>
    <row r="215" spans="18:32" x14ac:dyDescent="0.45">
      <c r="R215" s="10">
        <f t="shared" si="43"/>
        <v>46234</v>
      </c>
      <c r="S215" t="str">
        <f t="shared" si="36"/>
        <v>'2026-07-31'</v>
      </c>
      <c r="T215">
        <f t="shared" si="37"/>
        <v>4</v>
      </c>
      <c r="U215">
        <f t="shared" si="38"/>
        <v>31</v>
      </c>
      <c r="V215">
        <f t="shared" si="39"/>
        <v>2026</v>
      </c>
      <c r="W215">
        <f t="shared" si="40"/>
        <v>7</v>
      </c>
      <c r="X215">
        <f t="shared" si="41"/>
        <v>31</v>
      </c>
      <c r="Y215">
        <f t="shared" si="42"/>
        <v>2</v>
      </c>
      <c r="AE215" s="2" t="str" cm="1">
        <f t="array" ref="AE215">CONCATENATE($AE$2,Liste(S215:U215),";")</f>
        <v>INSERT INTO WD_Workdays (CalendarDay, CalendarWeekday, CalendarWeek) VALUES ('2026-07-31', 4, 31);</v>
      </c>
      <c r="AF215" s="2"/>
    </row>
    <row r="216" spans="18:32" x14ac:dyDescent="0.45">
      <c r="R216" s="10">
        <f t="shared" si="43"/>
        <v>46235</v>
      </c>
      <c r="S216" t="str">
        <f t="shared" si="36"/>
        <v>'2026-08-01'</v>
      </c>
      <c r="T216">
        <f t="shared" si="37"/>
        <v>5</v>
      </c>
      <c r="U216">
        <f t="shared" si="38"/>
        <v>31</v>
      </c>
      <c r="V216">
        <f t="shared" si="39"/>
        <v>2026</v>
      </c>
      <c r="W216">
        <f t="shared" si="40"/>
        <v>8</v>
      </c>
      <c r="X216">
        <f t="shared" si="41"/>
        <v>1</v>
      </c>
      <c r="Y216">
        <f t="shared" si="42"/>
        <v>2</v>
      </c>
      <c r="AE216" s="2" t="str" cm="1">
        <f t="array" ref="AE216">CONCATENATE($AE$2,Liste(S216:U216),";")</f>
        <v>INSERT INTO WD_Workdays (CalendarDay, CalendarWeekday, CalendarWeek) VALUES ('2026-08-01', 5, 31);</v>
      </c>
      <c r="AF216" s="2"/>
    </row>
    <row r="217" spans="18:32" x14ac:dyDescent="0.45">
      <c r="R217" s="10">
        <f t="shared" si="43"/>
        <v>46236</v>
      </c>
      <c r="S217" t="str">
        <f t="shared" si="36"/>
        <v>'2026-08-02'</v>
      </c>
      <c r="T217">
        <f t="shared" si="37"/>
        <v>6</v>
      </c>
      <c r="U217">
        <f t="shared" si="38"/>
        <v>31</v>
      </c>
      <c r="V217">
        <f t="shared" si="39"/>
        <v>2026</v>
      </c>
      <c r="W217">
        <f t="shared" si="40"/>
        <v>8</v>
      </c>
      <c r="X217">
        <f t="shared" si="41"/>
        <v>2</v>
      </c>
      <c r="Y217">
        <f t="shared" si="42"/>
        <v>2</v>
      </c>
      <c r="AE217" s="2" t="str" cm="1">
        <f t="array" ref="AE217">CONCATENATE($AE$2,Liste(S217:U217),";")</f>
        <v>INSERT INTO WD_Workdays (CalendarDay, CalendarWeekday, CalendarWeek) VALUES ('2026-08-02', 6, 31);</v>
      </c>
      <c r="AF217" s="2"/>
    </row>
    <row r="218" spans="18:32" x14ac:dyDescent="0.45">
      <c r="R218" s="10">
        <f t="shared" si="43"/>
        <v>46237</v>
      </c>
      <c r="S218" t="str">
        <f t="shared" si="36"/>
        <v>'2026-08-03'</v>
      </c>
      <c r="T218">
        <f t="shared" si="37"/>
        <v>0</v>
      </c>
      <c r="U218">
        <f t="shared" si="38"/>
        <v>32</v>
      </c>
      <c r="V218">
        <f t="shared" si="39"/>
        <v>2026</v>
      </c>
      <c r="W218">
        <f t="shared" si="40"/>
        <v>8</v>
      </c>
      <c r="X218">
        <f t="shared" si="41"/>
        <v>3</v>
      </c>
      <c r="Y218">
        <f t="shared" si="42"/>
        <v>2</v>
      </c>
      <c r="AE218" s="2" t="str" cm="1">
        <f t="array" ref="AE218">CONCATENATE($AE$2,Liste(S218:U218),";")</f>
        <v>INSERT INTO WD_Workdays (CalendarDay, CalendarWeekday, CalendarWeek) VALUES ('2026-08-03', 0, 32);</v>
      </c>
      <c r="AF218" s="2"/>
    </row>
    <row r="219" spans="18:32" x14ac:dyDescent="0.45">
      <c r="R219" s="10">
        <f t="shared" si="43"/>
        <v>46238</v>
      </c>
      <c r="S219" t="str">
        <f t="shared" si="36"/>
        <v>'2026-08-04'</v>
      </c>
      <c r="T219">
        <f t="shared" si="37"/>
        <v>1</v>
      </c>
      <c r="U219">
        <f t="shared" si="38"/>
        <v>32</v>
      </c>
      <c r="V219">
        <f t="shared" si="39"/>
        <v>2026</v>
      </c>
      <c r="W219">
        <f t="shared" si="40"/>
        <v>8</v>
      </c>
      <c r="X219">
        <f t="shared" si="41"/>
        <v>4</v>
      </c>
      <c r="Y219">
        <f t="shared" si="42"/>
        <v>2</v>
      </c>
      <c r="AE219" s="2" t="str" cm="1">
        <f t="array" ref="AE219">CONCATENATE($AE$2,Liste(S219:U219),";")</f>
        <v>INSERT INTO WD_Workdays (CalendarDay, CalendarWeekday, CalendarWeek) VALUES ('2026-08-04', 1, 32);</v>
      </c>
      <c r="AF219" s="2"/>
    </row>
    <row r="220" spans="18:32" x14ac:dyDescent="0.45">
      <c r="R220" s="10">
        <f t="shared" si="43"/>
        <v>46239</v>
      </c>
      <c r="S220" t="str">
        <f t="shared" si="36"/>
        <v>'2026-08-05'</v>
      </c>
      <c r="T220">
        <f t="shared" si="37"/>
        <v>2</v>
      </c>
      <c r="U220">
        <f t="shared" si="38"/>
        <v>32</v>
      </c>
      <c r="V220">
        <f t="shared" si="39"/>
        <v>2026</v>
      </c>
      <c r="W220">
        <f t="shared" si="40"/>
        <v>8</v>
      </c>
      <c r="X220">
        <f t="shared" si="41"/>
        <v>5</v>
      </c>
      <c r="Y220">
        <f t="shared" si="42"/>
        <v>2</v>
      </c>
      <c r="AE220" s="2" t="str" cm="1">
        <f t="array" ref="AE220">CONCATENATE($AE$2,Liste(S220:U220),";")</f>
        <v>INSERT INTO WD_Workdays (CalendarDay, CalendarWeekday, CalendarWeek) VALUES ('2026-08-05', 2, 32);</v>
      </c>
      <c r="AF220" s="2"/>
    </row>
    <row r="221" spans="18:32" x14ac:dyDescent="0.45">
      <c r="R221" s="10">
        <f t="shared" si="43"/>
        <v>46240</v>
      </c>
      <c r="S221" t="str">
        <f t="shared" si="36"/>
        <v>'2026-08-06'</v>
      </c>
      <c r="T221">
        <f t="shared" si="37"/>
        <v>3</v>
      </c>
      <c r="U221">
        <f t="shared" si="38"/>
        <v>32</v>
      </c>
      <c r="V221">
        <f t="shared" si="39"/>
        <v>2026</v>
      </c>
      <c r="W221">
        <f t="shared" si="40"/>
        <v>8</v>
      </c>
      <c r="X221">
        <f t="shared" si="41"/>
        <v>6</v>
      </c>
      <c r="Y221">
        <f t="shared" si="42"/>
        <v>2</v>
      </c>
      <c r="AE221" s="2" t="str" cm="1">
        <f t="array" ref="AE221">CONCATENATE($AE$2,Liste(S221:U221),";")</f>
        <v>INSERT INTO WD_Workdays (CalendarDay, CalendarWeekday, CalendarWeek) VALUES ('2026-08-06', 3, 32);</v>
      </c>
      <c r="AF221" s="2"/>
    </row>
    <row r="222" spans="18:32" x14ac:dyDescent="0.45">
      <c r="R222" s="10">
        <f t="shared" si="43"/>
        <v>46241</v>
      </c>
      <c r="S222" t="str">
        <f t="shared" si="36"/>
        <v>'2026-08-07'</v>
      </c>
      <c r="T222">
        <f t="shared" si="37"/>
        <v>4</v>
      </c>
      <c r="U222">
        <f t="shared" si="38"/>
        <v>32</v>
      </c>
      <c r="V222">
        <f t="shared" si="39"/>
        <v>2026</v>
      </c>
      <c r="W222">
        <f t="shared" si="40"/>
        <v>8</v>
      </c>
      <c r="X222">
        <f t="shared" si="41"/>
        <v>7</v>
      </c>
      <c r="Y222">
        <f t="shared" si="42"/>
        <v>2</v>
      </c>
      <c r="AE222" s="2" t="str" cm="1">
        <f t="array" ref="AE222">CONCATENATE($AE$2,Liste(S222:U222),";")</f>
        <v>INSERT INTO WD_Workdays (CalendarDay, CalendarWeekday, CalendarWeek) VALUES ('2026-08-07', 4, 32);</v>
      </c>
      <c r="AF222" s="2"/>
    </row>
    <row r="223" spans="18:32" x14ac:dyDescent="0.45">
      <c r="R223" s="10">
        <f t="shared" si="43"/>
        <v>46242</v>
      </c>
      <c r="S223" t="str">
        <f t="shared" si="36"/>
        <v>'2026-08-08'</v>
      </c>
      <c r="T223">
        <f t="shared" si="37"/>
        <v>5</v>
      </c>
      <c r="U223">
        <f t="shared" si="38"/>
        <v>32</v>
      </c>
      <c r="V223">
        <f t="shared" si="39"/>
        <v>2026</v>
      </c>
      <c r="W223">
        <f t="shared" si="40"/>
        <v>8</v>
      </c>
      <c r="X223">
        <f t="shared" si="41"/>
        <v>8</v>
      </c>
      <c r="Y223">
        <f t="shared" si="42"/>
        <v>2</v>
      </c>
      <c r="AE223" s="2" t="str" cm="1">
        <f t="array" ref="AE223">CONCATENATE($AE$2,Liste(S223:U223),";")</f>
        <v>INSERT INTO WD_Workdays (CalendarDay, CalendarWeekday, CalendarWeek) VALUES ('2026-08-08', 5, 32);</v>
      </c>
      <c r="AF223" s="2"/>
    </row>
    <row r="224" spans="18:32" x14ac:dyDescent="0.45">
      <c r="R224" s="10">
        <f t="shared" si="43"/>
        <v>46243</v>
      </c>
      <c r="S224" t="str">
        <f t="shared" si="36"/>
        <v>'2026-08-09'</v>
      </c>
      <c r="T224">
        <f t="shared" si="37"/>
        <v>6</v>
      </c>
      <c r="U224">
        <f t="shared" si="38"/>
        <v>32</v>
      </c>
      <c r="V224">
        <f t="shared" si="39"/>
        <v>2026</v>
      </c>
      <c r="W224">
        <f t="shared" si="40"/>
        <v>8</v>
      </c>
      <c r="X224">
        <f t="shared" si="41"/>
        <v>9</v>
      </c>
      <c r="Y224">
        <f t="shared" si="42"/>
        <v>2</v>
      </c>
      <c r="AE224" s="2" t="str" cm="1">
        <f t="array" ref="AE224">CONCATENATE($AE$2,Liste(S224:U224),";")</f>
        <v>INSERT INTO WD_Workdays (CalendarDay, CalendarWeekday, CalendarWeek) VALUES ('2026-08-09', 6, 32);</v>
      </c>
      <c r="AF224" s="2"/>
    </row>
    <row r="225" spans="18:32" x14ac:dyDescent="0.45">
      <c r="R225" s="10">
        <f t="shared" si="43"/>
        <v>46244</v>
      </c>
      <c r="S225" t="str">
        <f t="shared" si="36"/>
        <v>'2026-08-10'</v>
      </c>
      <c r="T225">
        <f t="shared" si="37"/>
        <v>0</v>
      </c>
      <c r="U225">
        <f t="shared" si="38"/>
        <v>33</v>
      </c>
      <c r="V225">
        <f t="shared" si="39"/>
        <v>2026</v>
      </c>
      <c r="W225">
        <f t="shared" si="40"/>
        <v>8</v>
      </c>
      <c r="X225">
        <f t="shared" si="41"/>
        <v>10</v>
      </c>
      <c r="Y225">
        <f t="shared" si="42"/>
        <v>2</v>
      </c>
      <c r="AE225" s="2" t="str" cm="1">
        <f t="array" ref="AE225">CONCATENATE($AE$2,Liste(S225:U225),";")</f>
        <v>INSERT INTO WD_Workdays (CalendarDay, CalendarWeekday, CalendarWeek) VALUES ('2026-08-10', 0, 33);</v>
      </c>
      <c r="AF225" s="2"/>
    </row>
    <row r="226" spans="18:32" x14ac:dyDescent="0.45">
      <c r="R226" s="10">
        <f t="shared" si="43"/>
        <v>46245</v>
      </c>
      <c r="S226" t="str">
        <f t="shared" si="36"/>
        <v>'2026-08-11'</v>
      </c>
      <c r="T226">
        <f t="shared" si="37"/>
        <v>1</v>
      </c>
      <c r="U226">
        <f t="shared" si="38"/>
        <v>33</v>
      </c>
      <c r="V226">
        <f t="shared" si="39"/>
        <v>2026</v>
      </c>
      <c r="W226">
        <f t="shared" si="40"/>
        <v>8</v>
      </c>
      <c r="X226">
        <f t="shared" si="41"/>
        <v>11</v>
      </c>
      <c r="Y226">
        <f t="shared" si="42"/>
        <v>2</v>
      </c>
      <c r="AE226" s="2" t="str" cm="1">
        <f t="array" ref="AE226">CONCATENATE($AE$2,Liste(S226:U226),";")</f>
        <v>INSERT INTO WD_Workdays (CalendarDay, CalendarWeekday, CalendarWeek) VALUES ('2026-08-11', 1, 33);</v>
      </c>
      <c r="AF226" s="2"/>
    </row>
    <row r="227" spans="18:32" x14ac:dyDescent="0.45">
      <c r="R227" s="10">
        <f t="shared" si="43"/>
        <v>46246</v>
      </c>
      <c r="S227" t="str">
        <f t="shared" si="36"/>
        <v>'2026-08-12'</v>
      </c>
      <c r="T227">
        <f t="shared" si="37"/>
        <v>2</v>
      </c>
      <c r="U227">
        <f t="shared" si="38"/>
        <v>33</v>
      </c>
      <c r="V227">
        <f t="shared" si="39"/>
        <v>2026</v>
      </c>
      <c r="W227">
        <f t="shared" si="40"/>
        <v>8</v>
      </c>
      <c r="X227">
        <f t="shared" si="41"/>
        <v>12</v>
      </c>
      <c r="Y227">
        <f t="shared" si="42"/>
        <v>2</v>
      </c>
      <c r="AE227" s="2" t="str" cm="1">
        <f t="array" ref="AE227">CONCATENATE($AE$2,Liste(S227:U227),";")</f>
        <v>INSERT INTO WD_Workdays (CalendarDay, CalendarWeekday, CalendarWeek) VALUES ('2026-08-12', 2, 33);</v>
      </c>
      <c r="AF227" s="2"/>
    </row>
    <row r="228" spans="18:32" x14ac:dyDescent="0.45">
      <c r="R228" s="10">
        <f t="shared" si="43"/>
        <v>46247</v>
      </c>
      <c r="S228" t="str">
        <f t="shared" si="36"/>
        <v>'2026-08-13'</v>
      </c>
      <c r="T228">
        <f t="shared" si="37"/>
        <v>3</v>
      </c>
      <c r="U228">
        <f t="shared" si="38"/>
        <v>33</v>
      </c>
      <c r="V228">
        <f t="shared" si="39"/>
        <v>2026</v>
      </c>
      <c r="W228">
        <f t="shared" si="40"/>
        <v>8</v>
      </c>
      <c r="X228">
        <f t="shared" si="41"/>
        <v>13</v>
      </c>
      <c r="Y228">
        <f t="shared" si="42"/>
        <v>2</v>
      </c>
      <c r="AE228" s="2" t="str" cm="1">
        <f t="array" ref="AE228">CONCATENATE($AE$2,Liste(S228:U228),";")</f>
        <v>INSERT INTO WD_Workdays (CalendarDay, CalendarWeekday, CalendarWeek) VALUES ('2026-08-13', 3, 33);</v>
      </c>
      <c r="AF228" s="2"/>
    </row>
    <row r="229" spans="18:32" x14ac:dyDescent="0.45">
      <c r="R229" s="10">
        <f t="shared" si="43"/>
        <v>46248</v>
      </c>
      <c r="S229" t="str">
        <f t="shared" si="36"/>
        <v>'2026-08-14'</v>
      </c>
      <c r="T229">
        <f t="shared" si="37"/>
        <v>4</v>
      </c>
      <c r="U229">
        <f t="shared" si="38"/>
        <v>33</v>
      </c>
      <c r="V229">
        <f t="shared" si="39"/>
        <v>2026</v>
      </c>
      <c r="W229">
        <f t="shared" si="40"/>
        <v>8</v>
      </c>
      <c r="X229">
        <f t="shared" si="41"/>
        <v>14</v>
      </c>
      <c r="Y229">
        <f t="shared" si="42"/>
        <v>2</v>
      </c>
      <c r="AE229" s="2" t="str" cm="1">
        <f t="array" ref="AE229">CONCATENATE($AE$2,Liste(S229:U229),";")</f>
        <v>INSERT INTO WD_Workdays (CalendarDay, CalendarWeekday, CalendarWeek) VALUES ('2026-08-14', 4, 33);</v>
      </c>
      <c r="AF229" s="2"/>
    </row>
    <row r="230" spans="18:32" x14ac:dyDescent="0.45">
      <c r="R230" s="10">
        <f t="shared" si="43"/>
        <v>46249</v>
      </c>
      <c r="S230" t="str">
        <f t="shared" si="36"/>
        <v>'2026-08-15'</v>
      </c>
      <c r="T230">
        <f t="shared" si="37"/>
        <v>5</v>
      </c>
      <c r="U230">
        <f t="shared" si="38"/>
        <v>33</v>
      </c>
      <c r="V230">
        <f t="shared" si="39"/>
        <v>2026</v>
      </c>
      <c r="W230">
        <f t="shared" si="40"/>
        <v>8</v>
      </c>
      <c r="X230">
        <f t="shared" si="41"/>
        <v>15</v>
      </c>
      <c r="Y230">
        <f t="shared" si="42"/>
        <v>2</v>
      </c>
      <c r="AE230" s="2" t="str" cm="1">
        <f t="array" ref="AE230">CONCATENATE($AE$2,Liste(S230:U230),";")</f>
        <v>INSERT INTO WD_Workdays (CalendarDay, CalendarWeekday, CalendarWeek) VALUES ('2026-08-15', 5, 33);</v>
      </c>
      <c r="AF230" s="2"/>
    </row>
    <row r="231" spans="18:32" x14ac:dyDescent="0.45">
      <c r="R231" s="10">
        <f t="shared" si="43"/>
        <v>46250</v>
      </c>
      <c r="S231" t="str">
        <f t="shared" si="36"/>
        <v>'2026-08-16'</v>
      </c>
      <c r="T231">
        <f t="shared" si="37"/>
        <v>6</v>
      </c>
      <c r="U231">
        <f t="shared" si="38"/>
        <v>33</v>
      </c>
      <c r="V231">
        <f t="shared" si="39"/>
        <v>2026</v>
      </c>
      <c r="W231">
        <f t="shared" si="40"/>
        <v>8</v>
      </c>
      <c r="X231">
        <f t="shared" si="41"/>
        <v>16</v>
      </c>
      <c r="Y231">
        <f t="shared" si="42"/>
        <v>2</v>
      </c>
      <c r="AE231" s="2" t="str" cm="1">
        <f t="array" ref="AE231">CONCATENATE($AE$2,Liste(S231:U231),";")</f>
        <v>INSERT INTO WD_Workdays (CalendarDay, CalendarWeekday, CalendarWeek) VALUES ('2026-08-16', 6, 33);</v>
      </c>
      <c r="AF231" s="2"/>
    </row>
    <row r="232" spans="18:32" x14ac:dyDescent="0.45">
      <c r="R232" s="10">
        <f t="shared" si="43"/>
        <v>46251</v>
      </c>
      <c r="S232" t="str">
        <f t="shared" si="36"/>
        <v>'2026-08-17'</v>
      </c>
      <c r="T232">
        <f t="shared" si="37"/>
        <v>0</v>
      </c>
      <c r="U232">
        <f t="shared" si="38"/>
        <v>34</v>
      </c>
      <c r="V232">
        <f t="shared" si="39"/>
        <v>2026</v>
      </c>
      <c r="W232">
        <f t="shared" si="40"/>
        <v>8</v>
      </c>
      <c r="X232">
        <f t="shared" si="41"/>
        <v>17</v>
      </c>
      <c r="Y232">
        <f t="shared" si="42"/>
        <v>2</v>
      </c>
      <c r="AE232" s="2" t="str" cm="1">
        <f t="array" ref="AE232">CONCATENATE($AE$2,Liste(S232:U232),";")</f>
        <v>INSERT INTO WD_Workdays (CalendarDay, CalendarWeekday, CalendarWeek) VALUES ('2026-08-17', 0, 34);</v>
      </c>
      <c r="AF232" s="2"/>
    </row>
    <row r="233" spans="18:32" x14ac:dyDescent="0.45">
      <c r="R233" s="10">
        <f t="shared" si="43"/>
        <v>46252</v>
      </c>
      <c r="S233" t="str">
        <f t="shared" si="36"/>
        <v>'2026-08-18'</v>
      </c>
      <c r="T233">
        <f t="shared" si="37"/>
        <v>1</v>
      </c>
      <c r="U233">
        <f t="shared" si="38"/>
        <v>34</v>
      </c>
      <c r="V233">
        <f t="shared" si="39"/>
        <v>2026</v>
      </c>
      <c r="W233">
        <f t="shared" si="40"/>
        <v>8</v>
      </c>
      <c r="X233">
        <f t="shared" si="41"/>
        <v>18</v>
      </c>
      <c r="Y233">
        <f t="shared" si="42"/>
        <v>2</v>
      </c>
      <c r="AE233" s="2" t="str" cm="1">
        <f t="array" ref="AE233">CONCATENATE($AE$2,Liste(S233:U233),";")</f>
        <v>INSERT INTO WD_Workdays (CalendarDay, CalendarWeekday, CalendarWeek) VALUES ('2026-08-18', 1, 34);</v>
      </c>
      <c r="AF233" s="2"/>
    </row>
    <row r="234" spans="18:32" x14ac:dyDescent="0.45">
      <c r="R234" s="10">
        <f t="shared" si="43"/>
        <v>46253</v>
      </c>
      <c r="S234" t="str">
        <f t="shared" si="36"/>
        <v>'2026-08-19'</v>
      </c>
      <c r="T234">
        <f t="shared" si="37"/>
        <v>2</v>
      </c>
      <c r="U234">
        <f t="shared" si="38"/>
        <v>34</v>
      </c>
      <c r="V234">
        <f t="shared" si="39"/>
        <v>2026</v>
      </c>
      <c r="W234">
        <f t="shared" si="40"/>
        <v>8</v>
      </c>
      <c r="X234">
        <f t="shared" si="41"/>
        <v>19</v>
      </c>
      <c r="Y234">
        <f t="shared" si="42"/>
        <v>2</v>
      </c>
      <c r="AE234" s="2" t="str" cm="1">
        <f t="array" ref="AE234">CONCATENATE($AE$2,Liste(S234:U234),";")</f>
        <v>INSERT INTO WD_Workdays (CalendarDay, CalendarWeekday, CalendarWeek) VALUES ('2026-08-19', 2, 34);</v>
      </c>
      <c r="AF234" s="2"/>
    </row>
    <row r="235" spans="18:32" x14ac:dyDescent="0.45">
      <c r="R235" s="10">
        <f t="shared" si="43"/>
        <v>46254</v>
      </c>
      <c r="S235" t="str">
        <f t="shared" si="36"/>
        <v>'2026-08-20'</v>
      </c>
      <c r="T235">
        <f t="shared" si="37"/>
        <v>3</v>
      </c>
      <c r="U235">
        <f t="shared" si="38"/>
        <v>34</v>
      </c>
      <c r="V235">
        <f t="shared" si="39"/>
        <v>2026</v>
      </c>
      <c r="W235">
        <f t="shared" si="40"/>
        <v>8</v>
      </c>
      <c r="X235">
        <f t="shared" si="41"/>
        <v>20</v>
      </c>
      <c r="Y235">
        <f t="shared" si="42"/>
        <v>2</v>
      </c>
      <c r="AE235" s="2" t="str" cm="1">
        <f t="array" ref="AE235">CONCATENATE($AE$2,Liste(S235:U235),";")</f>
        <v>INSERT INTO WD_Workdays (CalendarDay, CalendarWeekday, CalendarWeek) VALUES ('2026-08-20', 3, 34);</v>
      </c>
      <c r="AF235" s="2"/>
    </row>
    <row r="236" spans="18:32" x14ac:dyDescent="0.45">
      <c r="R236" s="10">
        <f t="shared" si="43"/>
        <v>46255</v>
      </c>
      <c r="S236" t="str">
        <f t="shared" si="36"/>
        <v>'2026-08-21'</v>
      </c>
      <c r="T236">
        <f t="shared" si="37"/>
        <v>4</v>
      </c>
      <c r="U236">
        <f t="shared" si="38"/>
        <v>34</v>
      </c>
      <c r="V236">
        <f t="shared" si="39"/>
        <v>2026</v>
      </c>
      <c r="W236">
        <f t="shared" si="40"/>
        <v>8</v>
      </c>
      <c r="X236">
        <f t="shared" si="41"/>
        <v>21</v>
      </c>
      <c r="Y236">
        <f t="shared" si="42"/>
        <v>2</v>
      </c>
      <c r="AE236" s="2" t="str" cm="1">
        <f t="array" ref="AE236">CONCATENATE($AE$2,Liste(S236:U236),";")</f>
        <v>INSERT INTO WD_Workdays (CalendarDay, CalendarWeekday, CalendarWeek) VALUES ('2026-08-21', 4, 34);</v>
      </c>
      <c r="AF236" s="2"/>
    </row>
    <row r="237" spans="18:32" x14ac:dyDescent="0.45">
      <c r="R237" s="10">
        <f t="shared" si="43"/>
        <v>46256</v>
      </c>
      <c r="S237" t="str">
        <f t="shared" si="36"/>
        <v>'2026-08-22'</v>
      </c>
      <c r="T237">
        <f t="shared" si="37"/>
        <v>5</v>
      </c>
      <c r="U237">
        <f t="shared" si="38"/>
        <v>34</v>
      </c>
      <c r="V237">
        <f t="shared" si="39"/>
        <v>2026</v>
      </c>
      <c r="W237">
        <f t="shared" si="40"/>
        <v>8</v>
      </c>
      <c r="X237">
        <f t="shared" si="41"/>
        <v>22</v>
      </c>
      <c r="Y237">
        <f t="shared" si="42"/>
        <v>2</v>
      </c>
      <c r="AE237" s="2" t="str" cm="1">
        <f t="array" ref="AE237">CONCATENATE($AE$2,Liste(S237:U237),";")</f>
        <v>INSERT INTO WD_Workdays (CalendarDay, CalendarWeekday, CalendarWeek) VALUES ('2026-08-22', 5, 34);</v>
      </c>
      <c r="AF237" s="2"/>
    </row>
    <row r="238" spans="18:32" x14ac:dyDescent="0.45">
      <c r="R238" s="10">
        <f t="shared" si="43"/>
        <v>46257</v>
      </c>
      <c r="S238" t="str">
        <f t="shared" si="36"/>
        <v>'2026-08-23'</v>
      </c>
      <c r="T238">
        <f t="shared" si="37"/>
        <v>6</v>
      </c>
      <c r="U238">
        <f t="shared" si="38"/>
        <v>34</v>
      </c>
      <c r="V238">
        <f t="shared" si="39"/>
        <v>2026</v>
      </c>
      <c r="W238">
        <f t="shared" si="40"/>
        <v>8</v>
      </c>
      <c r="X238">
        <f t="shared" si="41"/>
        <v>23</v>
      </c>
      <c r="Y238">
        <f t="shared" si="42"/>
        <v>2</v>
      </c>
      <c r="AE238" s="2" t="str" cm="1">
        <f t="array" ref="AE238">CONCATENATE($AE$2,Liste(S238:U238),";")</f>
        <v>INSERT INTO WD_Workdays (CalendarDay, CalendarWeekday, CalendarWeek) VALUES ('2026-08-23', 6, 34);</v>
      </c>
      <c r="AF238" s="2"/>
    </row>
    <row r="239" spans="18:32" x14ac:dyDescent="0.45">
      <c r="R239" s="10">
        <f t="shared" si="43"/>
        <v>46258</v>
      </c>
      <c r="S239" t="str">
        <f t="shared" si="36"/>
        <v>'2026-08-24'</v>
      </c>
      <c r="T239">
        <f t="shared" si="37"/>
        <v>0</v>
      </c>
      <c r="U239">
        <f t="shared" si="38"/>
        <v>35</v>
      </c>
      <c r="V239">
        <f t="shared" si="39"/>
        <v>2026</v>
      </c>
      <c r="W239">
        <f t="shared" si="40"/>
        <v>8</v>
      </c>
      <c r="X239">
        <f t="shared" si="41"/>
        <v>24</v>
      </c>
      <c r="Y239">
        <f t="shared" si="42"/>
        <v>2</v>
      </c>
      <c r="AE239" s="2" t="str" cm="1">
        <f t="array" ref="AE239">CONCATENATE($AE$2,Liste(S239:U239),";")</f>
        <v>INSERT INTO WD_Workdays (CalendarDay, CalendarWeekday, CalendarWeek) VALUES ('2026-08-24', 0, 35);</v>
      </c>
      <c r="AF239" s="2"/>
    </row>
    <row r="240" spans="18:32" x14ac:dyDescent="0.45">
      <c r="R240" s="10">
        <f t="shared" si="43"/>
        <v>46259</v>
      </c>
      <c r="S240" t="str">
        <f t="shared" si="36"/>
        <v>'2026-08-25'</v>
      </c>
      <c r="T240">
        <f t="shared" si="37"/>
        <v>1</v>
      </c>
      <c r="U240">
        <f t="shared" si="38"/>
        <v>35</v>
      </c>
      <c r="V240">
        <f t="shared" si="39"/>
        <v>2026</v>
      </c>
      <c r="W240">
        <f t="shared" si="40"/>
        <v>8</v>
      </c>
      <c r="X240">
        <f t="shared" si="41"/>
        <v>25</v>
      </c>
      <c r="Y240">
        <f t="shared" si="42"/>
        <v>2</v>
      </c>
      <c r="AE240" s="2" t="str" cm="1">
        <f t="array" ref="AE240">CONCATENATE($AE$2,Liste(S240:U240),";")</f>
        <v>INSERT INTO WD_Workdays (CalendarDay, CalendarWeekday, CalendarWeek) VALUES ('2026-08-25', 1, 35);</v>
      </c>
      <c r="AF240" s="2"/>
    </row>
    <row r="241" spans="18:32" x14ac:dyDescent="0.45">
      <c r="R241" s="10">
        <f t="shared" si="43"/>
        <v>46260</v>
      </c>
      <c r="S241" t="str">
        <f t="shared" si="36"/>
        <v>'2026-08-26'</v>
      </c>
      <c r="T241">
        <f t="shared" si="37"/>
        <v>2</v>
      </c>
      <c r="U241">
        <f t="shared" si="38"/>
        <v>35</v>
      </c>
      <c r="V241">
        <f t="shared" si="39"/>
        <v>2026</v>
      </c>
      <c r="W241">
        <f t="shared" si="40"/>
        <v>8</v>
      </c>
      <c r="X241">
        <f t="shared" si="41"/>
        <v>26</v>
      </c>
      <c r="Y241">
        <f t="shared" si="42"/>
        <v>2</v>
      </c>
      <c r="AE241" s="2" t="str" cm="1">
        <f t="array" ref="AE241">CONCATENATE($AE$2,Liste(S241:U241),";")</f>
        <v>INSERT INTO WD_Workdays (CalendarDay, CalendarWeekday, CalendarWeek) VALUES ('2026-08-26', 2, 35);</v>
      </c>
      <c r="AF241" s="2"/>
    </row>
    <row r="242" spans="18:32" x14ac:dyDescent="0.45">
      <c r="R242" s="10">
        <f t="shared" si="43"/>
        <v>46261</v>
      </c>
      <c r="S242" t="str">
        <f t="shared" si="36"/>
        <v>'2026-08-27'</v>
      </c>
      <c r="T242">
        <f t="shared" si="37"/>
        <v>3</v>
      </c>
      <c r="U242">
        <f t="shared" si="38"/>
        <v>35</v>
      </c>
      <c r="V242">
        <f t="shared" si="39"/>
        <v>2026</v>
      </c>
      <c r="W242">
        <f t="shared" si="40"/>
        <v>8</v>
      </c>
      <c r="X242">
        <f t="shared" si="41"/>
        <v>27</v>
      </c>
      <c r="Y242">
        <f t="shared" si="42"/>
        <v>2</v>
      </c>
      <c r="AE242" s="2" t="str" cm="1">
        <f t="array" ref="AE242">CONCATENATE($AE$2,Liste(S242:U242),";")</f>
        <v>INSERT INTO WD_Workdays (CalendarDay, CalendarWeekday, CalendarWeek) VALUES ('2026-08-27', 3, 35);</v>
      </c>
      <c r="AF242" s="2"/>
    </row>
    <row r="243" spans="18:32" x14ac:dyDescent="0.45">
      <c r="R243" s="10">
        <f t="shared" si="43"/>
        <v>46262</v>
      </c>
      <c r="S243" t="str">
        <f t="shared" si="36"/>
        <v>'2026-08-28'</v>
      </c>
      <c r="T243">
        <f t="shared" si="37"/>
        <v>4</v>
      </c>
      <c r="U243">
        <f t="shared" si="38"/>
        <v>35</v>
      </c>
      <c r="V243">
        <f t="shared" si="39"/>
        <v>2026</v>
      </c>
      <c r="W243">
        <f t="shared" si="40"/>
        <v>8</v>
      </c>
      <c r="X243">
        <f t="shared" si="41"/>
        <v>28</v>
      </c>
      <c r="Y243">
        <f t="shared" si="42"/>
        <v>2</v>
      </c>
      <c r="AE243" s="2" t="str" cm="1">
        <f t="array" ref="AE243">CONCATENATE($AE$2,Liste(S243:U243),";")</f>
        <v>INSERT INTO WD_Workdays (CalendarDay, CalendarWeekday, CalendarWeek) VALUES ('2026-08-28', 4, 35);</v>
      </c>
      <c r="AF243" s="2"/>
    </row>
    <row r="244" spans="18:32" x14ac:dyDescent="0.45">
      <c r="R244" s="10">
        <f t="shared" si="43"/>
        <v>46263</v>
      </c>
      <c r="S244" t="str">
        <f t="shared" si="36"/>
        <v>'2026-08-29'</v>
      </c>
      <c r="T244">
        <f t="shared" si="37"/>
        <v>5</v>
      </c>
      <c r="U244">
        <f t="shared" si="38"/>
        <v>35</v>
      </c>
      <c r="V244">
        <f t="shared" si="39"/>
        <v>2026</v>
      </c>
      <c r="W244">
        <f t="shared" si="40"/>
        <v>8</v>
      </c>
      <c r="X244">
        <f t="shared" si="41"/>
        <v>29</v>
      </c>
      <c r="Y244">
        <f t="shared" si="42"/>
        <v>2</v>
      </c>
      <c r="AE244" s="2" t="str" cm="1">
        <f t="array" ref="AE244">CONCATENATE($AE$2,Liste(S244:U244),";")</f>
        <v>INSERT INTO WD_Workdays (CalendarDay, CalendarWeekday, CalendarWeek) VALUES ('2026-08-29', 5, 35);</v>
      </c>
      <c r="AF244" s="2"/>
    </row>
    <row r="245" spans="18:32" x14ac:dyDescent="0.45">
      <c r="R245" s="10">
        <f t="shared" si="43"/>
        <v>46264</v>
      </c>
      <c r="S245" t="str">
        <f t="shared" si="36"/>
        <v>'2026-08-30'</v>
      </c>
      <c r="T245">
        <f t="shared" si="37"/>
        <v>6</v>
      </c>
      <c r="U245">
        <f t="shared" si="38"/>
        <v>35</v>
      </c>
      <c r="V245">
        <f t="shared" si="39"/>
        <v>2026</v>
      </c>
      <c r="W245">
        <f t="shared" si="40"/>
        <v>8</v>
      </c>
      <c r="X245">
        <f t="shared" si="41"/>
        <v>30</v>
      </c>
      <c r="Y245">
        <f t="shared" si="42"/>
        <v>2</v>
      </c>
      <c r="AE245" s="2" t="str" cm="1">
        <f t="array" ref="AE245">CONCATENATE($AE$2,Liste(S245:U245),";")</f>
        <v>INSERT INTO WD_Workdays (CalendarDay, CalendarWeekday, CalendarWeek) VALUES ('2026-08-30', 6, 35);</v>
      </c>
      <c r="AF245" s="2"/>
    </row>
    <row r="246" spans="18:32" x14ac:dyDescent="0.45">
      <c r="R246" s="10">
        <f t="shared" si="43"/>
        <v>46265</v>
      </c>
      <c r="S246" t="str">
        <f t="shared" si="36"/>
        <v>'2026-08-31'</v>
      </c>
      <c r="T246">
        <f t="shared" si="37"/>
        <v>0</v>
      </c>
      <c r="U246">
        <f t="shared" si="38"/>
        <v>36</v>
      </c>
      <c r="V246">
        <f t="shared" si="39"/>
        <v>2026</v>
      </c>
      <c r="W246">
        <f t="shared" si="40"/>
        <v>8</v>
      </c>
      <c r="X246">
        <f t="shared" si="41"/>
        <v>31</v>
      </c>
      <c r="Y246">
        <f t="shared" si="42"/>
        <v>2</v>
      </c>
      <c r="AE246" s="2" t="str" cm="1">
        <f t="array" ref="AE246">CONCATENATE($AE$2,Liste(S246:U246),";")</f>
        <v>INSERT INTO WD_Workdays (CalendarDay, CalendarWeekday, CalendarWeek) VALUES ('2026-08-31', 0, 36);</v>
      </c>
      <c r="AF246" s="2"/>
    </row>
    <row r="247" spans="18:32" x14ac:dyDescent="0.45">
      <c r="R247" s="10">
        <f t="shared" si="43"/>
        <v>46266</v>
      </c>
      <c r="S247" t="str">
        <f t="shared" si="36"/>
        <v>'2026-09-01'</v>
      </c>
      <c r="T247">
        <f t="shared" si="37"/>
        <v>1</v>
      </c>
      <c r="U247">
        <f t="shared" si="38"/>
        <v>36</v>
      </c>
      <c r="V247">
        <f t="shared" si="39"/>
        <v>2026</v>
      </c>
      <c r="W247">
        <f t="shared" si="40"/>
        <v>9</v>
      </c>
      <c r="X247">
        <f t="shared" si="41"/>
        <v>1</v>
      </c>
      <c r="Y247">
        <f t="shared" si="42"/>
        <v>3</v>
      </c>
      <c r="AE247" s="2" t="str" cm="1">
        <f t="array" ref="AE247">CONCATENATE($AE$2,Liste(S247:U247),";")</f>
        <v>INSERT INTO WD_Workdays (CalendarDay, CalendarWeekday, CalendarWeek) VALUES ('2026-09-01', 1, 36);</v>
      </c>
      <c r="AF247" s="2"/>
    </row>
    <row r="248" spans="18:32" x14ac:dyDescent="0.45">
      <c r="R248" s="10">
        <f t="shared" si="43"/>
        <v>46267</v>
      </c>
      <c r="S248" t="str">
        <f t="shared" si="36"/>
        <v>'2026-09-02'</v>
      </c>
      <c r="T248">
        <f t="shared" si="37"/>
        <v>2</v>
      </c>
      <c r="U248">
        <f t="shared" si="38"/>
        <v>36</v>
      </c>
      <c r="V248">
        <f t="shared" si="39"/>
        <v>2026</v>
      </c>
      <c r="W248">
        <f t="shared" si="40"/>
        <v>9</v>
      </c>
      <c r="X248">
        <f t="shared" si="41"/>
        <v>2</v>
      </c>
      <c r="Y248">
        <f t="shared" si="42"/>
        <v>3</v>
      </c>
      <c r="AE248" s="2" t="str" cm="1">
        <f t="array" ref="AE248">CONCATENATE($AE$2,Liste(S248:U248),";")</f>
        <v>INSERT INTO WD_Workdays (CalendarDay, CalendarWeekday, CalendarWeek) VALUES ('2026-09-02', 2, 36);</v>
      </c>
      <c r="AF248" s="2"/>
    </row>
    <row r="249" spans="18:32" x14ac:dyDescent="0.45">
      <c r="R249" s="10">
        <f t="shared" si="43"/>
        <v>46268</v>
      </c>
      <c r="S249" t="str">
        <f t="shared" si="36"/>
        <v>'2026-09-03'</v>
      </c>
      <c r="T249">
        <f t="shared" si="37"/>
        <v>3</v>
      </c>
      <c r="U249">
        <f t="shared" si="38"/>
        <v>36</v>
      </c>
      <c r="V249">
        <f t="shared" si="39"/>
        <v>2026</v>
      </c>
      <c r="W249">
        <f t="shared" si="40"/>
        <v>9</v>
      </c>
      <c r="X249">
        <f t="shared" si="41"/>
        <v>3</v>
      </c>
      <c r="Y249">
        <f t="shared" si="42"/>
        <v>3</v>
      </c>
      <c r="AE249" s="2" t="str" cm="1">
        <f t="array" ref="AE249">CONCATENATE($AE$2,Liste(S249:U249),";")</f>
        <v>INSERT INTO WD_Workdays (CalendarDay, CalendarWeekday, CalendarWeek) VALUES ('2026-09-03', 3, 36);</v>
      </c>
      <c r="AF249" s="2"/>
    </row>
    <row r="250" spans="18:32" x14ac:dyDescent="0.45">
      <c r="R250" s="10">
        <f t="shared" si="43"/>
        <v>46269</v>
      </c>
      <c r="S250" t="str">
        <f t="shared" si="36"/>
        <v>'2026-09-04'</v>
      </c>
      <c r="T250">
        <f t="shared" si="37"/>
        <v>4</v>
      </c>
      <c r="U250">
        <f t="shared" si="38"/>
        <v>36</v>
      </c>
      <c r="V250">
        <f t="shared" si="39"/>
        <v>2026</v>
      </c>
      <c r="W250">
        <f t="shared" si="40"/>
        <v>9</v>
      </c>
      <c r="X250">
        <f t="shared" si="41"/>
        <v>4</v>
      </c>
      <c r="Y250">
        <f t="shared" si="42"/>
        <v>3</v>
      </c>
      <c r="AE250" s="2" t="str" cm="1">
        <f t="array" ref="AE250">CONCATENATE($AE$2,Liste(S250:U250),";")</f>
        <v>INSERT INTO WD_Workdays (CalendarDay, CalendarWeekday, CalendarWeek) VALUES ('2026-09-04', 4, 36);</v>
      </c>
      <c r="AF250" s="2"/>
    </row>
    <row r="251" spans="18:32" x14ac:dyDescent="0.45">
      <c r="R251" s="10">
        <f t="shared" si="43"/>
        <v>46270</v>
      </c>
      <c r="S251" t="str">
        <f t="shared" si="36"/>
        <v>'2026-09-05'</v>
      </c>
      <c r="T251">
        <f t="shared" si="37"/>
        <v>5</v>
      </c>
      <c r="U251">
        <f t="shared" si="38"/>
        <v>36</v>
      </c>
      <c r="V251">
        <f t="shared" si="39"/>
        <v>2026</v>
      </c>
      <c r="W251">
        <f t="shared" si="40"/>
        <v>9</v>
      </c>
      <c r="X251">
        <f t="shared" si="41"/>
        <v>5</v>
      </c>
      <c r="Y251">
        <f t="shared" si="42"/>
        <v>3</v>
      </c>
      <c r="AE251" s="2" t="str" cm="1">
        <f t="array" ref="AE251">CONCATENATE($AE$2,Liste(S251:U251),";")</f>
        <v>INSERT INTO WD_Workdays (CalendarDay, CalendarWeekday, CalendarWeek) VALUES ('2026-09-05', 5, 36);</v>
      </c>
      <c r="AF251" s="2"/>
    </row>
    <row r="252" spans="18:32" x14ac:dyDescent="0.45">
      <c r="R252" s="10">
        <f t="shared" si="43"/>
        <v>46271</v>
      </c>
      <c r="S252" t="str">
        <f t="shared" si="36"/>
        <v>'2026-09-06'</v>
      </c>
      <c r="T252">
        <f t="shared" si="37"/>
        <v>6</v>
      </c>
      <c r="U252">
        <f t="shared" si="38"/>
        <v>36</v>
      </c>
      <c r="V252">
        <f t="shared" si="39"/>
        <v>2026</v>
      </c>
      <c r="W252">
        <f t="shared" si="40"/>
        <v>9</v>
      </c>
      <c r="X252">
        <f t="shared" si="41"/>
        <v>6</v>
      </c>
      <c r="Y252">
        <f t="shared" si="42"/>
        <v>3</v>
      </c>
      <c r="AE252" s="2" t="str" cm="1">
        <f t="array" ref="AE252">CONCATENATE($AE$2,Liste(S252:U252),";")</f>
        <v>INSERT INTO WD_Workdays (CalendarDay, CalendarWeekday, CalendarWeek) VALUES ('2026-09-06', 6, 36);</v>
      </c>
      <c r="AF252" s="2"/>
    </row>
    <row r="253" spans="18:32" x14ac:dyDescent="0.45">
      <c r="R253" s="10">
        <f t="shared" si="43"/>
        <v>46272</v>
      </c>
      <c r="S253" t="str">
        <f t="shared" si="36"/>
        <v>'2026-09-07'</v>
      </c>
      <c r="T253">
        <f t="shared" si="37"/>
        <v>0</v>
      </c>
      <c r="U253">
        <f t="shared" si="38"/>
        <v>37</v>
      </c>
      <c r="V253">
        <f t="shared" si="39"/>
        <v>2026</v>
      </c>
      <c r="W253">
        <f t="shared" si="40"/>
        <v>9</v>
      </c>
      <c r="X253">
        <f t="shared" si="41"/>
        <v>7</v>
      </c>
      <c r="Y253">
        <f t="shared" si="42"/>
        <v>3</v>
      </c>
      <c r="AE253" s="2" t="str" cm="1">
        <f t="array" ref="AE253">CONCATENATE($AE$2,Liste(S253:U253),";")</f>
        <v>INSERT INTO WD_Workdays (CalendarDay, CalendarWeekday, CalendarWeek) VALUES ('2026-09-07', 0, 37);</v>
      </c>
      <c r="AF253" s="2"/>
    </row>
    <row r="254" spans="18:32" x14ac:dyDescent="0.45">
      <c r="R254" s="10">
        <f t="shared" si="43"/>
        <v>46273</v>
      </c>
      <c r="S254" t="str">
        <f t="shared" si="36"/>
        <v>'2026-09-08'</v>
      </c>
      <c r="T254">
        <f t="shared" si="37"/>
        <v>1</v>
      </c>
      <c r="U254">
        <f t="shared" si="38"/>
        <v>37</v>
      </c>
      <c r="V254">
        <f t="shared" si="39"/>
        <v>2026</v>
      </c>
      <c r="W254">
        <f t="shared" si="40"/>
        <v>9</v>
      </c>
      <c r="X254">
        <f t="shared" si="41"/>
        <v>8</v>
      </c>
      <c r="Y254">
        <f t="shared" si="42"/>
        <v>3</v>
      </c>
      <c r="AE254" s="2" t="str" cm="1">
        <f t="array" ref="AE254">CONCATENATE($AE$2,Liste(S254:U254),";")</f>
        <v>INSERT INTO WD_Workdays (CalendarDay, CalendarWeekday, CalendarWeek) VALUES ('2026-09-08', 1, 37);</v>
      </c>
      <c r="AF254" s="2"/>
    </row>
    <row r="255" spans="18:32" x14ac:dyDescent="0.45">
      <c r="R255" s="10">
        <f t="shared" si="43"/>
        <v>46274</v>
      </c>
      <c r="S255" t="str">
        <f t="shared" si="36"/>
        <v>'2026-09-09'</v>
      </c>
      <c r="T255">
        <f t="shared" si="37"/>
        <v>2</v>
      </c>
      <c r="U255">
        <f t="shared" si="38"/>
        <v>37</v>
      </c>
      <c r="V255">
        <f t="shared" si="39"/>
        <v>2026</v>
      </c>
      <c r="W255">
        <f t="shared" si="40"/>
        <v>9</v>
      </c>
      <c r="X255">
        <f t="shared" si="41"/>
        <v>9</v>
      </c>
      <c r="Y255">
        <f t="shared" si="42"/>
        <v>3</v>
      </c>
      <c r="AE255" s="2" t="str" cm="1">
        <f t="array" ref="AE255">CONCATENATE($AE$2,Liste(S255:U255),";")</f>
        <v>INSERT INTO WD_Workdays (CalendarDay, CalendarWeekday, CalendarWeek) VALUES ('2026-09-09', 2, 37);</v>
      </c>
      <c r="AF255" s="2"/>
    </row>
    <row r="256" spans="18:32" x14ac:dyDescent="0.45">
      <c r="R256" s="10">
        <f t="shared" si="43"/>
        <v>46275</v>
      </c>
      <c r="S256" t="str">
        <f t="shared" si="36"/>
        <v>'2026-09-10'</v>
      </c>
      <c r="T256">
        <f t="shared" si="37"/>
        <v>3</v>
      </c>
      <c r="U256">
        <f t="shared" si="38"/>
        <v>37</v>
      </c>
      <c r="V256">
        <f t="shared" si="39"/>
        <v>2026</v>
      </c>
      <c r="W256">
        <f t="shared" si="40"/>
        <v>9</v>
      </c>
      <c r="X256">
        <f t="shared" si="41"/>
        <v>10</v>
      </c>
      <c r="Y256">
        <f t="shared" si="42"/>
        <v>3</v>
      </c>
      <c r="AE256" s="2" t="str" cm="1">
        <f t="array" ref="AE256">CONCATENATE($AE$2,Liste(S256:U256),";")</f>
        <v>INSERT INTO WD_Workdays (CalendarDay, CalendarWeekday, CalendarWeek) VALUES ('2026-09-10', 3, 37);</v>
      </c>
      <c r="AF256" s="2"/>
    </row>
    <row r="257" spans="18:32" x14ac:dyDescent="0.45">
      <c r="R257" s="10">
        <f t="shared" si="43"/>
        <v>46276</v>
      </c>
      <c r="S257" t="str">
        <f t="shared" si="36"/>
        <v>'2026-09-11'</v>
      </c>
      <c r="T257">
        <f t="shared" si="37"/>
        <v>4</v>
      </c>
      <c r="U257">
        <f t="shared" si="38"/>
        <v>37</v>
      </c>
      <c r="V257">
        <f t="shared" si="39"/>
        <v>2026</v>
      </c>
      <c r="W257">
        <f t="shared" si="40"/>
        <v>9</v>
      </c>
      <c r="X257">
        <f t="shared" si="41"/>
        <v>11</v>
      </c>
      <c r="Y257">
        <f t="shared" si="42"/>
        <v>3</v>
      </c>
      <c r="AE257" s="2" t="str" cm="1">
        <f t="array" ref="AE257">CONCATENATE($AE$2,Liste(S257:U257),";")</f>
        <v>INSERT INTO WD_Workdays (CalendarDay, CalendarWeekday, CalendarWeek) VALUES ('2026-09-11', 4, 37);</v>
      </c>
      <c r="AF257" s="2"/>
    </row>
    <row r="258" spans="18:32" x14ac:dyDescent="0.45">
      <c r="R258" s="10">
        <f t="shared" si="43"/>
        <v>46277</v>
      </c>
      <c r="S258" t="str">
        <f t="shared" si="36"/>
        <v>'2026-09-12'</v>
      </c>
      <c r="T258">
        <f t="shared" si="37"/>
        <v>5</v>
      </c>
      <c r="U258">
        <f t="shared" si="38"/>
        <v>37</v>
      </c>
      <c r="V258">
        <f t="shared" si="39"/>
        <v>2026</v>
      </c>
      <c r="W258">
        <f t="shared" si="40"/>
        <v>9</v>
      </c>
      <c r="X258">
        <f t="shared" si="41"/>
        <v>12</v>
      </c>
      <c r="Y258">
        <f t="shared" si="42"/>
        <v>3</v>
      </c>
      <c r="AE258" s="2" t="str" cm="1">
        <f t="array" ref="AE258">CONCATENATE($AE$2,Liste(S258:U258),";")</f>
        <v>INSERT INTO WD_Workdays (CalendarDay, CalendarWeekday, CalendarWeek) VALUES ('2026-09-12', 5, 37);</v>
      </c>
      <c r="AF258" s="2"/>
    </row>
    <row r="259" spans="18:32" x14ac:dyDescent="0.45">
      <c r="R259" s="10">
        <f t="shared" si="43"/>
        <v>46278</v>
      </c>
      <c r="S259" t="str">
        <f t="shared" si="36"/>
        <v>'2026-09-13'</v>
      </c>
      <c r="T259">
        <f t="shared" si="37"/>
        <v>6</v>
      </c>
      <c r="U259">
        <f t="shared" si="38"/>
        <v>37</v>
      </c>
      <c r="V259">
        <f t="shared" si="39"/>
        <v>2026</v>
      </c>
      <c r="W259">
        <f t="shared" si="40"/>
        <v>9</v>
      </c>
      <c r="X259">
        <f t="shared" si="41"/>
        <v>13</v>
      </c>
      <c r="Y259">
        <f t="shared" si="42"/>
        <v>3</v>
      </c>
      <c r="AE259" s="2" t="str" cm="1">
        <f t="array" ref="AE259">CONCATENATE($AE$2,Liste(S259:U259),";")</f>
        <v>INSERT INTO WD_Workdays (CalendarDay, CalendarWeekday, CalendarWeek) VALUES ('2026-09-13', 6, 37);</v>
      </c>
      <c r="AF259" s="2"/>
    </row>
    <row r="260" spans="18:32" x14ac:dyDescent="0.45">
      <c r="R260" s="10">
        <f t="shared" si="43"/>
        <v>46279</v>
      </c>
      <c r="S260" t="str">
        <f t="shared" si="36"/>
        <v>'2026-09-14'</v>
      </c>
      <c r="T260">
        <f t="shared" si="37"/>
        <v>0</v>
      </c>
      <c r="U260">
        <f t="shared" si="38"/>
        <v>38</v>
      </c>
      <c r="V260">
        <f t="shared" si="39"/>
        <v>2026</v>
      </c>
      <c r="W260">
        <f t="shared" si="40"/>
        <v>9</v>
      </c>
      <c r="X260">
        <f t="shared" si="41"/>
        <v>14</v>
      </c>
      <c r="Y260">
        <f t="shared" si="42"/>
        <v>3</v>
      </c>
      <c r="AE260" s="2" t="str" cm="1">
        <f t="array" ref="AE260">CONCATENATE($AE$2,Liste(S260:U260),";")</f>
        <v>INSERT INTO WD_Workdays (CalendarDay, CalendarWeekday, CalendarWeek) VALUES ('2026-09-14', 0, 38);</v>
      </c>
      <c r="AF260" s="2"/>
    </row>
    <row r="261" spans="18:32" x14ac:dyDescent="0.45">
      <c r="R261" s="10">
        <f t="shared" si="43"/>
        <v>46280</v>
      </c>
      <c r="S261" t="str">
        <f t="shared" ref="S261:S324" si="44">CONCATENATE("'",TEXT(R261,"jjjj-MM-tt"),"'")</f>
        <v>'2026-09-15'</v>
      </c>
      <c r="T261">
        <f t="shared" ref="T261:T324" si="45">WEEKDAY(R261,3)</f>
        <v>1</v>
      </c>
      <c r="U261">
        <f t="shared" ref="U261:U324" si="46">_xlfn.ISOWEEKNUM(R261)</f>
        <v>38</v>
      </c>
      <c r="V261">
        <f t="shared" ref="V261:V324" si="47">YEAR(R261)</f>
        <v>2026</v>
      </c>
      <c r="W261">
        <f t="shared" ref="W261:W324" si="48">MONTH(R261)</f>
        <v>9</v>
      </c>
      <c r="X261">
        <f t="shared" ref="X261:X324" si="49">DAY(R261)</f>
        <v>15</v>
      </c>
      <c r="Y261">
        <f t="shared" ref="Y261:Y324" si="50">IF(AND(W261&gt;=1,W261&lt;=3),0,IF(AND(W261&gt;=4,W261&lt;=6),1,IF(AND(W261&gt;=7,W261&lt;=8),2,IF(AND(W261&gt;=9,W261&lt;=12),3,-1))))</f>
        <v>3</v>
      </c>
      <c r="AE261" s="2" t="str" cm="1">
        <f t="array" ref="AE261">CONCATENATE($AE$2,Liste(S261:U261),";")</f>
        <v>INSERT INTO WD_Workdays (CalendarDay, CalendarWeekday, CalendarWeek) VALUES ('2026-09-15', 1, 38);</v>
      </c>
      <c r="AF261" s="2"/>
    </row>
    <row r="262" spans="18:32" x14ac:dyDescent="0.45">
      <c r="R262" s="10">
        <f t="shared" ref="R262:R325" si="51">R261+1</f>
        <v>46281</v>
      </c>
      <c r="S262" t="str">
        <f t="shared" si="44"/>
        <v>'2026-09-16'</v>
      </c>
      <c r="T262">
        <f t="shared" si="45"/>
        <v>2</v>
      </c>
      <c r="U262">
        <f t="shared" si="46"/>
        <v>38</v>
      </c>
      <c r="V262">
        <f t="shared" si="47"/>
        <v>2026</v>
      </c>
      <c r="W262">
        <f t="shared" si="48"/>
        <v>9</v>
      </c>
      <c r="X262">
        <f t="shared" si="49"/>
        <v>16</v>
      </c>
      <c r="Y262">
        <f t="shared" si="50"/>
        <v>3</v>
      </c>
      <c r="AE262" s="2" t="str" cm="1">
        <f t="array" ref="AE262">CONCATENATE($AE$2,Liste(S262:U262),";")</f>
        <v>INSERT INTO WD_Workdays (CalendarDay, CalendarWeekday, CalendarWeek) VALUES ('2026-09-16', 2, 38);</v>
      </c>
      <c r="AF262" s="2"/>
    </row>
    <row r="263" spans="18:32" x14ac:dyDescent="0.45">
      <c r="R263" s="10">
        <f t="shared" si="51"/>
        <v>46282</v>
      </c>
      <c r="S263" t="str">
        <f t="shared" si="44"/>
        <v>'2026-09-17'</v>
      </c>
      <c r="T263">
        <f t="shared" si="45"/>
        <v>3</v>
      </c>
      <c r="U263">
        <f t="shared" si="46"/>
        <v>38</v>
      </c>
      <c r="V263">
        <f t="shared" si="47"/>
        <v>2026</v>
      </c>
      <c r="W263">
        <f t="shared" si="48"/>
        <v>9</v>
      </c>
      <c r="X263">
        <f t="shared" si="49"/>
        <v>17</v>
      </c>
      <c r="Y263">
        <f t="shared" si="50"/>
        <v>3</v>
      </c>
      <c r="AE263" s="2" t="str" cm="1">
        <f t="array" ref="AE263">CONCATENATE($AE$2,Liste(S263:U263),";")</f>
        <v>INSERT INTO WD_Workdays (CalendarDay, CalendarWeekday, CalendarWeek) VALUES ('2026-09-17', 3, 38);</v>
      </c>
      <c r="AF263" s="2"/>
    </row>
    <row r="264" spans="18:32" x14ac:dyDescent="0.45">
      <c r="R264" s="10">
        <f t="shared" si="51"/>
        <v>46283</v>
      </c>
      <c r="S264" t="str">
        <f t="shared" si="44"/>
        <v>'2026-09-18'</v>
      </c>
      <c r="T264">
        <f t="shared" si="45"/>
        <v>4</v>
      </c>
      <c r="U264">
        <f t="shared" si="46"/>
        <v>38</v>
      </c>
      <c r="V264">
        <f t="shared" si="47"/>
        <v>2026</v>
      </c>
      <c r="W264">
        <f t="shared" si="48"/>
        <v>9</v>
      </c>
      <c r="X264">
        <f t="shared" si="49"/>
        <v>18</v>
      </c>
      <c r="Y264">
        <f t="shared" si="50"/>
        <v>3</v>
      </c>
      <c r="AE264" s="2" t="str" cm="1">
        <f t="array" ref="AE264">CONCATENATE($AE$2,Liste(S264:U264),";")</f>
        <v>INSERT INTO WD_Workdays (CalendarDay, CalendarWeekday, CalendarWeek) VALUES ('2026-09-18', 4, 38);</v>
      </c>
      <c r="AF264" s="2"/>
    </row>
    <row r="265" spans="18:32" x14ac:dyDescent="0.45">
      <c r="R265" s="10">
        <f t="shared" si="51"/>
        <v>46284</v>
      </c>
      <c r="S265" t="str">
        <f t="shared" si="44"/>
        <v>'2026-09-19'</v>
      </c>
      <c r="T265">
        <f t="shared" si="45"/>
        <v>5</v>
      </c>
      <c r="U265">
        <f t="shared" si="46"/>
        <v>38</v>
      </c>
      <c r="V265">
        <f t="shared" si="47"/>
        <v>2026</v>
      </c>
      <c r="W265">
        <f t="shared" si="48"/>
        <v>9</v>
      </c>
      <c r="X265">
        <f t="shared" si="49"/>
        <v>19</v>
      </c>
      <c r="Y265">
        <f t="shared" si="50"/>
        <v>3</v>
      </c>
      <c r="AE265" s="2" t="str" cm="1">
        <f t="array" ref="AE265">CONCATENATE($AE$2,Liste(S265:U265),";")</f>
        <v>INSERT INTO WD_Workdays (CalendarDay, CalendarWeekday, CalendarWeek) VALUES ('2026-09-19', 5, 38);</v>
      </c>
      <c r="AF265" s="2"/>
    </row>
    <row r="266" spans="18:32" x14ac:dyDescent="0.45">
      <c r="R266" s="10">
        <f t="shared" si="51"/>
        <v>46285</v>
      </c>
      <c r="S266" t="str">
        <f t="shared" si="44"/>
        <v>'2026-09-20'</v>
      </c>
      <c r="T266">
        <f t="shared" si="45"/>
        <v>6</v>
      </c>
      <c r="U266">
        <f t="shared" si="46"/>
        <v>38</v>
      </c>
      <c r="V266">
        <f t="shared" si="47"/>
        <v>2026</v>
      </c>
      <c r="W266">
        <f t="shared" si="48"/>
        <v>9</v>
      </c>
      <c r="X266">
        <f t="shared" si="49"/>
        <v>20</v>
      </c>
      <c r="Y266">
        <f t="shared" si="50"/>
        <v>3</v>
      </c>
      <c r="AE266" s="2" t="str" cm="1">
        <f t="array" ref="AE266">CONCATENATE($AE$2,Liste(S266:U266),";")</f>
        <v>INSERT INTO WD_Workdays (CalendarDay, CalendarWeekday, CalendarWeek) VALUES ('2026-09-20', 6, 38);</v>
      </c>
      <c r="AF266" s="2"/>
    </row>
    <row r="267" spans="18:32" x14ac:dyDescent="0.45">
      <c r="R267" s="10">
        <f t="shared" si="51"/>
        <v>46286</v>
      </c>
      <c r="S267" t="str">
        <f t="shared" si="44"/>
        <v>'2026-09-21'</v>
      </c>
      <c r="T267">
        <f t="shared" si="45"/>
        <v>0</v>
      </c>
      <c r="U267">
        <f t="shared" si="46"/>
        <v>39</v>
      </c>
      <c r="V267">
        <f t="shared" si="47"/>
        <v>2026</v>
      </c>
      <c r="W267">
        <f t="shared" si="48"/>
        <v>9</v>
      </c>
      <c r="X267">
        <f t="shared" si="49"/>
        <v>21</v>
      </c>
      <c r="Y267">
        <f t="shared" si="50"/>
        <v>3</v>
      </c>
      <c r="AE267" s="2" t="str" cm="1">
        <f t="array" ref="AE267">CONCATENATE($AE$2,Liste(S267:U267),";")</f>
        <v>INSERT INTO WD_Workdays (CalendarDay, CalendarWeekday, CalendarWeek) VALUES ('2026-09-21', 0, 39);</v>
      </c>
      <c r="AF267" s="2"/>
    </row>
    <row r="268" spans="18:32" x14ac:dyDescent="0.45">
      <c r="R268" s="10">
        <f t="shared" si="51"/>
        <v>46287</v>
      </c>
      <c r="S268" t="str">
        <f t="shared" si="44"/>
        <v>'2026-09-22'</v>
      </c>
      <c r="T268">
        <f t="shared" si="45"/>
        <v>1</v>
      </c>
      <c r="U268">
        <f t="shared" si="46"/>
        <v>39</v>
      </c>
      <c r="V268">
        <f t="shared" si="47"/>
        <v>2026</v>
      </c>
      <c r="W268">
        <f t="shared" si="48"/>
        <v>9</v>
      </c>
      <c r="X268">
        <f t="shared" si="49"/>
        <v>22</v>
      </c>
      <c r="Y268">
        <f t="shared" si="50"/>
        <v>3</v>
      </c>
      <c r="AE268" s="2" t="str" cm="1">
        <f t="array" ref="AE268">CONCATENATE($AE$2,Liste(S268:U268),";")</f>
        <v>INSERT INTO WD_Workdays (CalendarDay, CalendarWeekday, CalendarWeek) VALUES ('2026-09-22', 1, 39);</v>
      </c>
      <c r="AF268" s="2"/>
    </row>
    <row r="269" spans="18:32" x14ac:dyDescent="0.45">
      <c r="R269" s="10">
        <f t="shared" si="51"/>
        <v>46288</v>
      </c>
      <c r="S269" t="str">
        <f t="shared" si="44"/>
        <v>'2026-09-23'</v>
      </c>
      <c r="T269">
        <f t="shared" si="45"/>
        <v>2</v>
      </c>
      <c r="U269">
        <f t="shared" si="46"/>
        <v>39</v>
      </c>
      <c r="V269">
        <f t="shared" si="47"/>
        <v>2026</v>
      </c>
      <c r="W269">
        <f t="shared" si="48"/>
        <v>9</v>
      </c>
      <c r="X269">
        <f t="shared" si="49"/>
        <v>23</v>
      </c>
      <c r="Y269">
        <f t="shared" si="50"/>
        <v>3</v>
      </c>
      <c r="AE269" s="2" t="str" cm="1">
        <f t="array" ref="AE269">CONCATENATE($AE$2,Liste(S269:U269),";")</f>
        <v>INSERT INTO WD_Workdays (CalendarDay, CalendarWeekday, CalendarWeek) VALUES ('2026-09-23', 2, 39);</v>
      </c>
      <c r="AF269" s="2"/>
    </row>
    <row r="270" spans="18:32" x14ac:dyDescent="0.45">
      <c r="R270" s="10">
        <f t="shared" si="51"/>
        <v>46289</v>
      </c>
      <c r="S270" t="str">
        <f t="shared" si="44"/>
        <v>'2026-09-24'</v>
      </c>
      <c r="T270">
        <f t="shared" si="45"/>
        <v>3</v>
      </c>
      <c r="U270">
        <f t="shared" si="46"/>
        <v>39</v>
      </c>
      <c r="V270">
        <f t="shared" si="47"/>
        <v>2026</v>
      </c>
      <c r="W270">
        <f t="shared" si="48"/>
        <v>9</v>
      </c>
      <c r="X270">
        <f t="shared" si="49"/>
        <v>24</v>
      </c>
      <c r="Y270">
        <f t="shared" si="50"/>
        <v>3</v>
      </c>
      <c r="AE270" s="2" t="str" cm="1">
        <f t="array" ref="AE270">CONCATENATE($AE$2,Liste(S270:U270),";")</f>
        <v>INSERT INTO WD_Workdays (CalendarDay, CalendarWeekday, CalendarWeek) VALUES ('2026-09-24', 3, 39);</v>
      </c>
      <c r="AF270" s="2"/>
    </row>
    <row r="271" spans="18:32" x14ac:dyDescent="0.45">
      <c r="R271" s="10">
        <f t="shared" si="51"/>
        <v>46290</v>
      </c>
      <c r="S271" t="str">
        <f t="shared" si="44"/>
        <v>'2026-09-25'</v>
      </c>
      <c r="T271">
        <f t="shared" si="45"/>
        <v>4</v>
      </c>
      <c r="U271">
        <f t="shared" si="46"/>
        <v>39</v>
      </c>
      <c r="V271">
        <f t="shared" si="47"/>
        <v>2026</v>
      </c>
      <c r="W271">
        <f t="shared" si="48"/>
        <v>9</v>
      </c>
      <c r="X271">
        <f t="shared" si="49"/>
        <v>25</v>
      </c>
      <c r="Y271">
        <f t="shared" si="50"/>
        <v>3</v>
      </c>
      <c r="AE271" s="2" t="str" cm="1">
        <f t="array" ref="AE271">CONCATENATE($AE$2,Liste(S271:U271),";")</f>
        <v>INSERT INTO WD_Workdays (CalendarDay, CalendarWeekday, CalendarWeek) VALUES ('2026-09-25', 4, 39);</v>
      </c>
      <c r="AF271" s="2"/>
    </row>
    <row r="272" spans="18:32" x14ac:dyDescent="0.45">
      <c r="R272" s="10">
        <f t="shared" si="51"/>
        <v>46291</v>
      </c>
      <c r="S272" t="str">
        <f t="shared" si="44"/>
        <v>'2026-09-26'</v>
      </c>
      <c r="T272">
        <f t="shared" si="45"/>
        <v>5</v>
      </c>
      <c r="U272">
        <f t="shared" si="46"/>
        <v>39</v>
      </c>
      <c r="V272">
        <f t="shared" si="47"/>
        <v>2026</v>
      </c>
      <c r="W272">
        <f t="shared" si="48"/>
        <v>9</v>
      </c>
      <c r="X272">
        <f t="shared" si="49"/>
        <v>26</v>
      </c>
      <c r="Y272">
        <f t="shared" si="50"/>
        <v>3</v>
      </c>
      <c r="AE272" s="2" t="str" cm="1">
        <f t="array" ref="AE272">CONCATENATE($AE$2,Liste(S272:U272),";")</f>
        <v>INSERT INTO WD_Workdays (CalendarDay, CalendarWeekday, CalendarWeek) VALUES ('2026-09-26', 5, 39);</v>
      </c>
      <c r="AF272" s="2"/>
    </row>
    <row r="273" spans="18:32" x14ac:dyDescent="0.45">
      <c r="R273" s="10">
        <f t="shared" si="51"/>
        <v>46292</v>
      </c>
      <c r="S273" t="str">
        <f t="shared" si="44"/>
        <v>'2026-09-27'</v>
      </c>
      <c r="T273">
        <f t="shared" si="45"/>
        <v>6</v>
      </c>
      <c r="U273">
        <f t="shared" si="46"/>
        <v>39</v>
      </c>
      <c r="V273">
        <f t="shared" si="47"/>
        <v>2026</v>
      </c>
      <c r="W273">
        <f t="shared" si="48"/>
        <v>9</v>
      </c>
      <c r="X273">
        <f t="shared" si="49"/>
        <v>27</v>
      </c>
      <c r="Y273">
        <f t="shared" si="50"/>
        <v>3</v>
      </c>
      <c r="AE273" s="2" t="str" cm="1">
        <f t="array" ref="AE273">CONCATENATE($AE$2,Liste(S273:U273),";")</f>
        <v>INSERT INTO WD_Workdays (CalendarDay, CalendarWeekday, CalendarWeek) VALUES ('2026-09-27', 6, 39);</v>
      </c>
      <c r="AF273" s="2"/>
    </row>
    <row r="274" spans="18:32" x14ac:dyDescent="0.45">
      <c r="R274" s="10">
        <f t="shared" si="51"/>
        <v>46293</v>
      </c>
      <c r="S274" t="str">
        <f t="shared" si="44"/>
        <v>'2026-09-28'</v>
      </c>
      <c r="T274">
        <f t="shared" si="45"/>
        <v>0</v>
      </c>
      <c r="U274">
        <f t="shared" si="46"/>
        <v>40</v>
      </c>
      <c r="V274">
        <f t="shared" si="47"/>
        <v>2026</v>
      </c>
      <c r="W274">
        <f t="shared" si="48"/>
        <v>9</v>
      </c>
      <c r="X274">
        <f t="shared" si="49"/>
        <v>28</v>
      </c>
      <c r="Y274">
        <f t="shared" si="50"/>
        <v>3</v>
      </c>
      <c r="AE274" s="2" t="str" cm="1">
        <f t="array" ref="AE274">CONCATENATE($AE$2,Liste(S274:U274),";")</f>
        <v>INSERT INTO WD_Workdays (CalendarDay, CalendarWeekday, CalendarWeek) VALUES ('2026-09-28', 0, 40);</v>
      </c>
      <c r="AF274" s="2"/>
    </row>
    <row r="275" spans="18:32" x14ac:dyDescent="0.45">
      <c r="R275" s="10">
        <f t="shared" si="51"/>
        <v>46294</v>
      </c>
      <c r="S275" t="str">
        <f t="shared" si="44"/>
        <v>'2026-09-29'</v>
      </c>
      <c r="T275">
        <f t="shared" si="45"/>
        <v>1</v>
      </c>
      <c r="U275">
        <f t="shared" si="46"/>
        <v>40</v>
      </c>
      <c r="V275">
        <f t="shared" si="47"/>
        <v>2026</v>
      </c>
      <c r="W275">
        <f t="shared" si="48"/>
        <v>9</v>
      </c>
      <c r="X275">
        <f t="shared" si="49"/>
        <v>29</v>
      </c>
      <c r="Y275">
        <f t="shared" si="50"/>
        <v>3</v>
      </c>
      <c r="AE275" s="2" t="str" cm="1">
        <f t="array" ref="AE275">CONCATENATE($AE$2,Liste(S275:U275),";")</f>
        <v>INSERT INTO WD_Workdays (CalendarDay, CalendarWeekday, CalendarWeek) VALUES ('2026-09-29', 1, 40);</v>
      </c>
      <c r="AF275" s="2"/>
    </row>
    <row r="276" spans="18:32" x14ac:dyDescent="0.45">
      <c r="R276" s="10">
        <f t="shared" si="51"/>
        <v>46295</v>
      </c>
      <c r="S276" t="str">
        <f t="shared" si="44"/>
        <v>'2026-09-30'</v>
      </c>
      <c r="T276">
        <f t="shared" si="45"/>
        <v>2</v>
      </c>
      <c r="U276">
        <f t="shared" si="46"/>
        <v>40</v>
      </c>
      <c r="V276">
        <f t="shared" si="47"/>
        <v>2026</v>
      </c>
      <c r="W276">
        <f t="shared" si="48"/>
        <v>9</v>
      </c>
      <c r="X276">
        <f t="shared" si="49"/>
        <v>30</v>
      </c>
      <c r="Y276">
        <f t="shared" si="50"/>
        <v>3</v>
      </c>
      <c r="AE276" s="2" t="str" cm="1">
        <f t="array" ref="AE276">CONCATENATE($AE$2,Liste(S276:U276),";")</f>
        <v>INSERT INTO WD_Workdays (CalendarDay, CalendarWeekday, CalendarWeek) VALUES ('2026-09-30', 2, 40);</v>
      </c>
      <c r="AF276" s="2"/>
    </row>
    <row r="277" spans="18:32" x14ac:dyDescent="0.45">
      <c r="R277" s="10">
        <f t="shared" si="51"/>
        <v>46296</v>
      </c>
      <c r="S277" t="str">
        <f t="shared" si="44"/>
        <v>'2026-10-01'</v>
      </c>
      <c r="T277">
        <f t="shared" si="45"/>
        <v>3</v>
      </c>
      <c r="U277">
        <f t="shared" si="46"/>
        <v>40</v>
      </c>
      <c r="V277">
        <f t="shared" si="47"/>
        <v>2026</v>
      </c>
      <c r="W277">
        <f t="shared" si="48"/>
        <v>10</v>
      </c>
      <c r="X277">
        <f t="shared" si="49"/>
        <v>1</v>
      </c>
      <c r="Y277">
        <f t="shared" si="50"/>
        <v>3</v>
      </c>
      <c r="AE277" s="2" t="str" cm="1">
        <f t="array" ref="AE277">CONCATENATE($AE$2,Liste(S277:U277),";")</f>
        <v>INSERT INTO WD_Workdays (CalendarDay, CalendarWeekday, CalendarWeek) VALUES ('2026-10-01', 3, 40);</v>
      </c>
      <c r="AF277" s="2"/>
    </row>
    <row r="278" spans="18:32" x14ac:dyDescent="0.45">
      <c r="R278" s="10">
        <f t="shared" si="51"/>
        <v>46297</v>
      </c>
      <c r="S278" t="str">
        <f t="shared" si="44"/>
        <v>'2026-10-02'</v>
      </c>
      <c r="T278">
        <f t="shared" si="45"/>
        <v>4</v>
      </c>
      <c r="U278">
        <f t="shared" si="46"/>
        <v>40</v>
      </c>
      <c r="V278">
        <f t="shared" si="47"/>
        <v>2026</v>
      </c>
      <c r="W278">
        <f t="shared" si="48"/>
        <v>10</v>
      </c>
      <c r="X278">
        <f t="shared" si="49"/>
        <v>2</v>
      </c>
      <c r="Y278">
        <f t="shared" si="50"/>
        <v>3</v>
      </c>
      <c r="AE278" s="2" t="str" cm="1">
        <f t="array" ref="AE278">CONCATENATE($AE$2,Liste(S278:U278),";")</f>
        <v>INSERT INTO WD_Workdays (CalendarDay, CalendarWeekday, CalendarWeek) VALUES ('2026-10-02', 4, 40);</v>
      </c>
      <c r="AF278" s="2"/>
    </row>
    <row r="279" spans="18:32" x14ac:dyDescent="0.45">
      <c r="R279" s="10">
        <f t="shared" si="51"/>
        <v>46298</v>
      </c>
      <c r="S279" t="str">
        <f t="shared" si="44"/>
        <v>'2026-10-03'</v>
      </c>
      <c r="T279">
        <f t="shared" si="45"/>
        <v>5</v>
      </c>
      <c r="U279">
        <f t="shared" si="46"/>
        <v>40</v>
      </c>
      <c r="V279">
        <f t="shared" si="47"/>
        <v>2026</v>
      </c>
      <c r="W279">
        <f t="shared" si="48"/>
        <v>10</v>
      </c>
      <c r="X279">
        <f t="shared" si="49"/>
        <v>3</v>
      </c>
      <c r="Y279">
        <f t="shared" si="50"/>
        <v>3</v>
      </c>
      <c r="AE279" s="2" t="str" cm="1">
        <f t="array" ref="AE279">CONCATENATE($AE$2,Liste(S279:U279),";")</f>
        <v>INSERT INTO WD_Workdays (CalendarDay, CalendarWeekday, CalendarWeek) VALUES ('2026-10-03', 5, 40);</v>
      </c>
      <c r="AF279" s="2"/>
    </row>
    <row r="280" spans="18:32" x14ac:dyDescent="0.45">
      <c r="R280" s="10">
        <f t="shared" si="51"/>
        <v>46299</v>
      </c>
      <c r="S280" t="str">
        <f t="shared" si="44"/>
        <v>'2026-10-04'</v>
      </c>
      <c r="T280">
        <f t="shared" si="45"/>
        <v>6</v>
      </c>
      <c r="U280">
        <f t="shared" si="46"/>
        <v>40</v>
      </c>
      <c r="V280">
        <f t="shared" si="47"/>
        <v>2026</v>
      </c>
      <c r="W280">
        <f t="shared" si="48"/>
        <v>10</v>
      </c>
      <c r="X280">
        <f t="shared" si="49"/>
        <v>4</v>
      </c>
      <c r="Y280">
        <f t="shared" si="50"/>
        <v>3</v>
      </c>
      <c r="AE280" s="2" t="str" cm="1">
        <f t="array" ref="AE280">CONCATENATE($AE$2,Liste(S280:U280),";")</f>
        <v>INSERT INTO WD_Workdays (CalendarDay, CalendarWeekday, CalendarWeek) VALUES ('2026-10-04', 6, 40);</v>
      </c>
      <c r="AF280" s="2"/>
    </row>
    <row r="281" spans="18:32" x14ac:dyDescent="0.45">
      <c r="R281" s="10">
        <f t="shared" si="51"/>
        <v>46300</v>
      </c>
      <c r="S281" t="str">
        <f t="shared" si="44"/>
        <v>'2026-10-05'</v>
      </c>
      <c r="T281">
        <f t="shared" si="45"/>
        <v>0</v>
      </c>
      <c r="U281">
        <f t="shared" si="46"/>
        <v>41</v>
      </c>
      <c r="V281">
        <f t="shared" si="47"/>
        <v>2026</v>
      </c>
      <c r="W281">
        <f t="shared" si="48"/>
        <v>10</v>
      </c>
      <c r="X281">
        <f t="shared" si="49"/>
        <v>5</v>
      </c>
      <c r="Y281">
        <f t="shared" si="50"/>
        <v>3</v>
      </c>
      <c r="AE281" s="2" t="str" cm="1">
        <f t="array" ref="AE281">CONCATENATE($AE$2,Liste(S281:U281),";")</f>
        <v>INSERT INTO WD_Workdays (CalendarDay, CalendarWeekday, CalendarWeek) VALUES ('2026-10-05', 0, 41);</v>
      </c>
      <c r="AF281" s="2"/>
    </row>
    <row r="282" spans="18:32" x14ac:dyDescent="0.45">
      <c r="R282" s="10">
        <f t="shared" si="51"/>
        <v>46301</v>
      </c>
      <c r="S282" t="str">
        <f t="shared" si="44"/>
        <v>'2026-10-06'</v>
      </c>
      <c r="T282">
        <f t="shared" si="45"/>
        <v>1</v>
      </c>
      <c r="U282">
        <f t="shared" si="46"/>
        <v>41</v>
      </c>
      <c r="V282">
        <f t="shared" si="47"/>
        <v>2026</v>
      </c>
      <c r="W282">
        <f t="shared" si="48"/>
        <v>10</v>
      </c>
      <c r="X282">
        <f t="shared" si="49"/>
        <v>6</v>
      </c>
      <c r="Y282">
        <f t="shared" si="50"/>
        <v>3</v>
      </c>
      <c r="AE282" s="2" t="str" cm="1">
        <f t="array" ref="AE282">CONCATENATE($AE$2,Liste(S282:U282),";")</f>
        <v>INSERT INTO WD_Workdays (CalendarDay, CalendarWeekday, CalendarWeek) VALUES ('2026-10-06', 1, 41);</v>
      </c>
      <c r="AF282" s="2"/>
    </row>
    <row r="283" spans="18:32" x14ac:dyDescent="0.45">
      <c r="R283" s="10">
        <f t="shared" si="51"/>
        <v>46302</v>
      </c>
      <c r="S283" t="str">
        <f t="shared" si="44"/>
        <v>'2026-10-07'</v>
      </c>
      <c r="T283">
        <f t="shared" si="45"/>
        <v>2</v>
      </c>
      <c r="U283">
        <f t="shared" si="46"/>
        <v>41</v>
      </c>
      <c r="V283">
        <f t="shared" si="47"/>
        <v>2026</v>
      </c>
      <c r="W283">
        <f t="shared" si="48"/>
        <v>10</v>
      </c>
      <c r="X283">
        <f t="shared" si="49"/>
        <v>7</v>
      </c>
      <c r="Y283">
        <f t="shared" si="50"/>
        <v>3</v>
      </c>
      <c r="AE283" s="2" t="str" cm="1">
        <f t="array" ref="AE283">CONCATENATE($AE$2,Liste(S283:U283),";")</f>
        <v>INSERT INTO WD_Workdays (CalendarDay, CalendarWeekday, CalendarWeek) VALUES ('2026-10-07', 2, 41);</v>
      </c>
      <c r="AF283" s="2"/>
    </row>
    <row r="284" spans="18:32" x14ac:dyDescent="0.45">
      <c r="R284" s="10">
        <f t="shared" si="51"/>
        <v>46303</v>
      </c>
      <c r="S284" t="str">
        <f t="shared" si="44"/>
        <v>'2026-10-08'</v>
      </c>
      <c r="T284">
        <f t="shared" si="45"/>
        <v>3</v>
      </c>
      <c r="U284">
        <f t="shared" si="46"/>
        <v>41</v>
      </c>
      <c r="V284">
        <f t="shared" si="47"/>
        <v>2026</v>
      </c>
      <c r="W284">
        <f t="shared" si="48"/>
        <v>10</v>
      </c>
      <c r="X284">
        <f t="shared" si="49"/>
        <v>8</v>
      </c>
      <c r="Y284">
        <f t="shared" si="50"/>
        <v>3</v>
      </c>
      <c r="AE284" s="2" t="str" cm="1">
        <f t="array" ref="AE284">CONCATENATE($AE$2,Liste(S284:U284),";")</f>
        <v>INSERT INTO WD_Workdays (CalendarDay, CalendarWeekday, CalendarWeek) VALUES ('2026-10-08', 3, 41);</v>
      </c>
      <c r="AF284" s="2"/>
    </row>
    <row r="285" spans="18:32" x14ac:dyDescent="0.45">
      <c r="R285" s="10">
        <f t="shared" si="51"/>
        <v>46304</v>
      </c>
      <c r="S285" t="str">
        <f t="shared" si="44"/>
        <v>'2026-10-09'</v>
      </c>
      <c r="T285">
        <f t="shared" si="45"/>
        <v>4</v>
      </c>
      <c r="U285">
        <f t="shared" si="46"/>
        <v>41</v>
      </c>
      <c r="V285">
        <f t="shared" si="47"/>
        <v>2026</v>
      </c>
      <c r="W285">
        <f t="shared" si="48"/>
        <v>10</v>
      </c>
      <c r="X285">
        <f t="shared" si="49"/>
        <v>9</v>
      </c>
      <c r="Y285">
        <f t="shared" si="50"/>
        <v>3</v>
      </c>
      <c r="AE285" s="2" t="str" cm="1">
        <f t="array" ref="AE285">CONCATENATE($AE$2,Liste(S285:U285),";")</f>
        <v>INSERT INTO WD_Workdays (CalendarDay, CalendarWeekday, CalendarWeek) VALUES ('2026-10-09', 4, 41);</v>
      </c>
      <c r="AF285" s="2"/>
    </row>
    <row r="286" spans="18:32" x14ac:dyDescent="0.45">
      <c r="R286" s="10">
        <f t="shared" si="51"/>
        <v>46305</v>
      </c>
      <c r="S286" t="str">
        <f t="shared" si="44"/>
        <v>'2026-10-10'</v>
      </c>
      <c r="T286">
        <f t="shared" si="45"/>
        <v>5</v>
      </c>
      <c r="U286">
        <f t="shared" si="46"/>
        <v>41</v>
      </c>
      <c r="V286">
        <f t="shared" si="47"/>
        <v>2026</v>
      </c>
      <c r="W286">
        <f t="shared" si="48"/>
        <v>10</v>
      </c>
      <c r="X286">
        <f t="shared" si="49"/>
        <v>10</v>
      </c>
      <c r="Y286">
        <f t="shared" si="50"/>
        <v>3</v>
      </c>
      <c r="AE286" s="2" t="str" cm="1">
        <f t="array" ref="AE286">CONCATENATE($AE$2,Liste(S286:U286),";")</f>
        <v>INSERT INTO WD_Workdays (CalendarDay, CalendarWeekday, CalendarWeek) VALUES ('2026-10-10', 5, 41);</v>
      </c>
      <c r="AF286" s="2"/>
    </row>
    <row r="287" spans="18:32" x14ac:dyDescent="0.45">
      <c r="R287" s="10">
        <f t="shared" si="51"/>
        <v>46306</v>
      </c>
      <c r="S287" t="str">
        <f t="shared" si="44"/>
        <v>'2026-10-11'</v>
      </c>
      <c r="T287">
        <f t="shared" si="45"/>
        <v>6</v>
      </c>
      <c r="U287">
        <f t="shared" si="46"/>
        <v>41</v>
      </c>
      <c r="V287">
        <f t="shared" si="47"/>
        <v>2026</v>
      </c>
      <c r="W287">
        <f t="shared" si="48"/>
        <v>10</v>
      </c>
      <c r="X287">
        <f t="shared" si="49"/>
        <v>11</v>
      </c>
      <c r="Y287">
        <f t="shared" si="50"/>
        <v>3</v>
      </c>
      <c r="AE287" s="2" t="str" cm="1">
        <f t="array" ref="AE287">CONCATENATE($AE$2,Liste(S287:U287),";")</f>
        <v>INSERT INTO WD_Workdays (CalendarDay, CalendarWeekday, CalendarWeek) VALUES ('2026-10-11', 6, 41);</v>
      </c>
      <c r="AF287" s="2"/>
    </row>
    <row r="288" spans="18:32" x14ac:dyDescent="0.45">
      <c r="R288" s="10">
        <f t="shared" si="51"/>
        <v>46307</v>
      </c>
      <c r="S288" t="str">
        <f t="shared" si="44"/>
        <v>'2026-10-12'</v>
      </c>
      <c r="T288">
        <f t="shared" si="45"/>
        <v>0</v>
      </c>
      <c r="U288">
        <f t="shared" si="46"/>
        <v>42</v>
      </c>
      <c r="V288">
        <f t="shared" si="47"/>
        <v>2026</v>
      </c>
      <c r="W288">
        <f t="shared" si="48"/>
        <v>10</v>
      </c>
      <c r="X288">
        <f t="shared" si="49"/>
        <v>12</v>
      </c>
      <c r="Y288">
        <f t="shared" si="50"/>
        <v>3</v>
      </c>
      <c r="AE288" s="2" t="str" cm="1">
        <f t="array" ref="AE288">CONCATENATE($AE$2,Liste(S288:U288),";")</f>
        <v>INSERT INTO WD_Workdays (CalendarDay, CalendarWeekday, CalendarWeek) VALUES ('2026-10-12', 0, 42);</v>
      </c>
      <c r="AF288" s="2"/>
    </row>
    <row r="289" spans="18:32" x14ac:dyDescent="0.45">
      <c r="R289" s="10">
        <f t="shared" si="51"/>
        <v>46308</v>
      </c>
      <c r="S289" t="str">
        <f t="shared" si="44"/>
        <v>'2026-10-13'</v>
      </c>
      <c r="T289">
        <f t="shared" si="45"/>
        <v>1</v>
      </c>
      <c r="U289">
        <f t="shared" si="46"/>
        <v>42</v>
      </c>
      <c r="V289">
        <f t="shared" si="47"/>
        <v>2026</v>
      </c>
      <c r="W289">
        <f t="shared" si="48"/>
        <v>10</v>
      </c>
      <c r="X289">
        <f t="shared" si="49"/>
        <v>13</v>
      </c>
      <c r="Y289">
        <f t="shared" si="50"/>
        <v>3</v>
      </c>
      <c r="AE289" s="2" t="str" cm="1">
        <f t="array" ref="AE289">CONCATENATE($AE$2,Liste(S289:U289),";")</f>
        <v>INSERT INTO WD_Workdays (CalendarDay, CalendarWeekday, CalendarWeek) VALUES ('2026-10-13', 1, 42);</v>
      </c>
      <c r="AF289" s="2"/>
    </row>
    <row r="290" spans="18:32" x14ac:dyDescent="0.45">
      <c r="R290" s="10">
        <f t="shared" si="51"/>
        <v>46309</v>
      </c>
      <c r="S290" t="str">
        <f t="shared" si="44"/>
        <v>'2026-10-14'</v>
      </c>
      <c r="T290">
        <f t="shared" si="45"/>
        <v>2</v>
      </c>
      <c r="U290">
        <f t="shared" si="46"/>
        <v>42</v>
      </c>
      <c r="V290">
        <f t="shared" si="47"/>
        <v>2026</v>
      </c>
      <c r="W290">
        <f t="shared" si="48"/>
        <v>10</v>
      </c>
      <c r="X290">
        <f t="shared" si="49"/>
        <v>14</v>
      </c>
      <c r="Y290">
        <f t="shared" si="50"/>
        <v>3</v>
      </c>
      <c r="AE290" s="2" t="str" cm="1">
        <f t="array" ref="AE290">CONCATENATE($AE$2,Liste(S290:U290),";")</f>
        <v>INSERT INTO WD_Workdays (CalendarDay, CalendarWeekday, CalendarWeek) VALUES ('2026-10-14', 2, 42);</v>
      </c>
      <c r="AF290" s="2"/>
    </row>
    <row r="291" spans="18:32" x14ac:dyDescent="0.45">
      <c r="R291" s="10">
        <f t="shared" si="51"/>
        <v>46310</v>
      </c>
      <c r="S291" t="str">
        <f t="shared" si="44"/>
        <v>'2026-10-15'</v>
      </c>
      <c r="T291">
        <f t="shared" si="45"/>
        <v>3</v>
      </c>
      <c r="U291">
        <f t="shared" si="46"/>
        <v>42</v>
      </c>
      <c r="V291">
        <f t="shared" si="47"/>
        <v>2026</v>
      </c>
      <c r="W291">
        <f t="shared" si="48"/>
        <v>10</v>
      </c>
      <c r="X291">
        <f t="shared" si="49"/>
        <v>15</v>
      </c>
      <c r="Y291">
        <f t="shared" si="50"/>
        <v>3</v>
      </c>
      <c r="AE291" s="2" t="str" cm="1">
        <f t="array" ref="AE291">CONCATENATE($AE$2,Liste(S291:U291),";")</f>
        <v>INSERT INTO WD_Workdays (CalendarDay, CalendarWeekday, CalendarWeek) VALUES ('2026-10-15', 3, 42);</v>
      </c>
      <c r="AF291" s="2"/>
    </row>
    <row r="292" spans="18:32" x14ac:dyDescent="0.45">
      <c r="R292" s="10">
        <f t="shared" si="51"/>
        <v>46311</v>
      </c>
      <c r="S292" t="str">
        <f t="shared" si="44"/>
        <v>'2026-10-16'</v>
      </c>
      <c r="T292">
        <f t="shared" si="45"/>
        <v>4</v>
      </c>
      <c r="U292">
        <f t="shared" si="46"/>
        <v>42</v>
      </c>
      <c r="V292">
        <f t="shared" si="47"/>
        <v>2026</v>
      </c>
      <c r="W292">
        <f t="shared" si="48"/>
        <v>10</v>
      </c>
      <c r="X292">
        <f t="shared" si="49"/>
        <v>16</v>
      </c>
      <c r="Y292">
        <f t="shared" si="50"/>
        <v>3</v>
      </c>
      <c r="AE292" s="2" t="str" cm="1">
        <f t="array" ref="AE292">CONCATENATE($AE$2,Liste(S292:U292),";")</f>
        <v>INSERT INTO WD_Workdays (CalendarDay, CalendarWeekday, CalendarWeek) VALUES ('2026-10-16', 4, 42);</v>
      </c>
      <c r="AF292" s="2"/>
    </row>
    <row r="293" spans="18:32" x14ac:dyDescent="0.45">
      <c r="R293" s="10">
        <f t="shared" si="51"/>
        <v>46312</v>
      </c>
      <c r="S293" t="str">
        <f t="shared" si="44"/>
        <v>'2026-10-17'</v>
      </c>
      <c r="T293">
        <f t="shared" si="45"/>
        <v>5</v>
      </c>
      <c r="U293">
        <f t="shared" si="46"/>
        <v>42</v>
      </c>
      <c r="V293">
        <f t="shared" si="47"/>
        <v>2026</v>
      </c>
      <c r="W293">
        <f t="shared" si="48"/>
        <v>10</v>
      </c>
      <c r="X293">
        <f t="shared" si="49"/>
        <v>17</v>
      </c>
      <c r="Y293">
        <f t="shared" si="50"/>
        <v>3</v>
      </c>
      <c r="AE293" s="2" t="str" cm="1">
        <f t="array" ref="AE293">CONCATENATE($AE$2,Liste(S293:U293),";")</f>
        <v>INSERT INTO WD_Workdays (CalendarDay, CalendarWeekday, CalendarWeek) VALUES ('2026-10-17', 5, 42);</v>
      </c>
      <c r="AF293" s="2"/>
    </row>
    <row r="294" spans="18:32" x14ac:dyDescent="0.45">
      <c r="R294" s="10">
        <f t="shared" si="51"/>
        <v>46313</v>
      </c>
      <c r="S294" t="str">
        <f t="shared" si="44"/>
        <v>'2026-10-18'</v>
      </c>
      <c r="T294">
        <f t="shared" si="45"/>
        <v>6</v>
      </c>
      <c r="U294">
        <f t="shared" si="46"/>
        <v>42</v>
      </c>
      <c r="V294">
        <f t="shared" si="47"/>
        <v>2026</v>
      </c>
      <c r="W294">
        <f t="shared" si="48"/>
        <v>10</v>
      </c>
      <c r="X294">
        <f t="shared" si="49"/>
        <v>18</v>
      </c>
      <c r="Y294">
        <f t="shared" si="50"/>
        <v>3</v>
      </c>
      <c r="AE294" s="2" t="str" cm="1">
        <f t="array" ref="AE294">CONCATENATE($AE$2,Liste(S294:U294),";")</f>
        <v>INSERT INTO WD_Workdays (CalendarDay, CalendarWeekday, CalendarWeek) VALUES ('2026-10-18', 6, 42);</v>
      </c>
      <c r="AF294" s="2"/>
    </row>
    <row r="295" spans="18:32" x14ac:dyDescent="0.45">
      <c r="R295" s="10">
        <f t="shared" si="51"/>
        <v>46314</v>
      </c>
      <c r="S295" t="str">
        <f t="shared" si="44"/>
        <v>'2026-10-19'</v>
      </c>
      <c r="T295">
        <f t="shared" si="45"/>
        <v>0</v>
      </c>
      <c r="U295">
        <f t="shared" si="46"/>
        <v>43</v>
      </c>
      <c r="V295">
        <f t="shared" si="47"/>
        <v>2026</v>
      </c>
      <c r="W295">
        <f t="shared" si="48"/>
        <v>10</v>
      </c>
      <c r="X295">
        <f t="shared" si="49"/>
        <v>19</v>
      </c>
      <c r="Y295">
        <f t="shared" si="50"/>
        <v>3</v>
      </c>
      <c r="AE295" s="2" t="str" cm="1">
        <f t="array" ref="AE295">CONCATENATE($AE$2,Liste(S295:U295),";")</f>
        <v>INSERT INTO WD_Workdays (CalendarDay, CalendarWeekday, CalendarWeek) VALUES ('2026-10-19', 0, 43);</v>
      </c>
      <c r="AF295" s="2"/>
    </row>
    <row r="296" spans="18:32" x14ac:dyDescent="0.45">
      <c r="R296" s="10">
        <f t="shared" si="51"/>
        <v>46315</v>
      </c>
      <c r="S296" t="str">
        <f t="shared" si="44"/>
        <v>'2026-10-20'</v>
      </c>
      <c r="T296">
        <f t="shared" si="45"/>
        <v>1</v>
      </c>
      <c r="U296">
        <f t="shared" si="46"/>
        <v>43</v>
      </c>
      <c r="V296">
        <f t="shared" si="47"/>
        <v>2026</v>
      </c>
      <c r="W296">
        <f t="shared" si="48"/>
        <v>10</v>
      </c>
      <c r="X296">
        <f t="shared" si="49"/>
        <v>20</v>
      </c>
      <c r="Y296">
        <f t="shared" si="50"/>
        <v>3</v>
      </c>
      <c r="AE296" s="2" t="str" cm="1">
        <f t="array" ref="AE296">CONCATENATE($AE$2,Liste(S296:U296),";")</f>
        <v>INSERT INTO WD_Workdays (CalendarDay, CalendarWeekday, CalendarWeek) VALUES ('2026-10-20', 1, 43);</v>
      </c>
      <c r="AF296" s="2"/>
    </row>
    <row r="297" spans="18:32" x14ac:dyDescent="0.45">
      <c r="R297" s="10">
        <f t="shared" si="51"/>
        <v>46316</v>
      </c>
      <c r="S297" t="str">
        <f t="shared" si="44"/>
        <v>'2026-10-21'</v>
      </c>
      <c r="T297">
        <f t="shared" si="45"/>
        <v>2</v>
      </c>
      <c r="U297">
        <f t="shared" si="46"/>
        <v>43</v>
      </c>
      <c r="V297">
        <f t="shared" si="47"/>
        <v>2026</v>
      </c>
      <c r="W297">
        <f t="shared" si="48"/>
        <v>10</v>
      </c>
      <c r="X297">
        <f t="shared" si="49"/>
        <v>21</v>
      </c>
      <c r="Y297">
        <f t="shared" si="50"/>
        <v>3</v>
      </c>
      <c r="AE297" s="2" t="str" cm="1">
        <f t="array" ref="AE297">CONCATENATE($AE$2,Liste(S297:U297),";")</f>
        <v>INSERT INTO WD_Workdays (CalendarDay, CalendarWeekday, CalendarWeek) VALUES ('2026-10-21', 2, 43);</v>
      </c>
      <c r="AF297" s="2"/>
    </row>
    <row r="298" spans="18:32" x14ac:dyDescent="0.45">
      <c r="R298" s="10">
        <f t="shared" si="51"/>
        <v>46317</v>
      </c>
      <c r="S298" t="str">
        <f t="shared" si="44"/>
        <v>'2026-10-22'</v>
      </c>
      <c r="T298">
        <f t="shared" si="45"/>
        <v>3</v>
      </c>
      <c r="U298">
        <f t="shared" si="46"/>
        <v>43</v>
      </c>
      <c r="V298">
        <f t="shared" si="47"/>
        <v>2026</v>
      </c>
      <c r="W298">
        <f t="shared" si="48"/>
        <v>10</v>
      </c>
      <c r="X298">
        <f t="shared" si="49"/>
        <v>22</v>
      </c>
      <c r="Y298">
        <f t="shared" si="50"/>
        <v>3</v>
      </c>
      <c r="AE298" s="2" t="str" cm="1">
        <f t="array" ref="AE298">CONCATENATE($AE$2,Liste(S298:U298),";")</f>
        <v>INSERT INTO WD_Workdays (CalendarDay, CalendarWeekday, CalendarWeek) VALUES ('2026-10-22', 3, 43);</v>
      </c>
      <c r="AF298" s="2"/>
    </row>
    <row r="299" spans="18:32" x14ac:dyDescent="0.45">
      <c r="R299" s="10">
        <f t="shared" si="51"/>
        <v>46318</v>
      </c>
      <c r="S299" t="str">
        <f t="shared" si="44"/>
        <v>'2026-10-23'</v>
      </c>
      <c r="T299">
        <f t="shared" si="45"/>
        <v>4</v>
      </c>
      <c r="U299">
        <f t="shared" si="46"/>
        <v>43</v>
      </c>
      <c r="V299">
        <f t="shared" si="47"/>
        <v>2026</v>
      </c>
      <c r="W299">
        <f t="shared" si="48"/>
        <v>10</v>
      </c>
      <c r="X299">
        <f t="shared" si="49"/>
        <v>23</v>
      </c>
      <c r="Y299">
        <f t="shared" si="50"/>
        <v>3</v>
      </c>
      <c r="AE299" s="2" t="str" cm="1">
        <f t="array" ref="AE299">CONCATENATE($AE$2,Liste(S299:U299),";")</f>
        <v>INSERT INTO WD_Workdays (CalendarDay, CalendarWeekday, CalendarWeek) VALUES ('2026-10-23', 4, 43);</v>
      </c>
      <c r="AF299" s="2"/>
    </row>
    <row r="300" spans="18:32" x14ac:dyDescent="0.45">
      <c r="R300" s="10">
        <f t="shared" si="51"/>
        <v>46319</v>
      </c>
      <c r="S300" t="str">
        <f t="shared" si="44"/>
        <v>'2026-10-24'</v>
      </c>
      <c r="T300">
        <f t="shared" si="45"/>
        <v>5</v>
      </c>
      <c r="U300">
        <f t="shared" si="46"/>
        <v>43</v>
      </c>
      <c r="V300">
        <f t="shared" si="47"/>
        <v>2026</v>
      </c>
      <c r="W300">
        <f t="shared" si="48"/>
        <v>10</v>
      </c>
      <c r="X300">
        <f t="shared" si="49"/>
        <v>24</v>
      </c>
      <c r="Y300">
        <f t="shared" si="50"/>
        <v>3</v>
      </c>
      <c r="AE300" s="2" t="str" cm="1">
        <f t="array" ref="AE300">CONCATENATE($AE$2,Liste(S300:U300),";")</f>
        <v>INSERT INTO WD_Workdays (CalendarDay, CalendarWeekday, CalendarWeek) VALUES ('2026-10-24', 5, 43);</v>
      </c>
      <c r="AF300" s="2"/>
    </row>
    <row r="301" spans="18:32" x14ac:dyDescent="0.45">
      <c r="R301" s="10">
        <f t="shared" si="51"/>
        <v>46320</v>
      </c>
      <c r="S301" t="str">
        <f t="shared" si="44"/>
        <v>'2026-10-25'</v>
      </c>
      <c r="T301">
        <f t="shared" si="45"/>
        <v>6</v>
      </c>
      <c r="U301">
        <f t="shared" si="46"/>
        <v>43</v>
      </c>
      <c r="V301">
        <f t="shared" si="47"/>
        <v>2026</v>
      </c>
      <c r="W301">
        <f t="shared" si="48"/>
        <v>10</v>
      </c>
      <c r="X301">
        <f t="shared" si="49"/>
        <v>25</v>
      </c>
      <c r="Y301">
        <f t="shared" si="50"/>
        <v>3</v>
      </c>
      <c r="AE301" s="2" t="str" cm="1">
        <f t="array" ref="AE301">CONCATENATE($AE$2,Liste(S301:U301),";")</f>
        <v>INSERT INTO WD_Workdays (CalendarDay, CalendarWeekday, CalendarWeek) VALUES ('2026-10-25', 6, 43);</v>
      </c>
      <c r="AF301" s="2"/>
    </row>
    <row r="302" spans="18:32" x14ac:dyDescent="0.45">
      <c r="R302" s="10">
        <f t="shared" si="51"/>
        <v>46321</v>
      </c>
      <c r="S302" t="str">
        <f t="shared" si="44"/>
        <v>'2026-10-26'</v>
      </c>
      <c r="T302">
        <f t="shared" si="45"/>
        <v>0</v>
      </c>
      <c r="U302">
        <f t="shared" si="46"/>
        <v>44</v>
      </c>
      <c r="V302">
        <f t="shared" si="47"/>
        <v>2026</v>
      </c>
      <c r="W302">
        <f t="shared" si="48"/>
        <v>10</v>
      </c>
      <c r="X302">
        <f t="shared" si="49"/>
        <v>26</v>
      </c>
      <c r="Y302">
        <f t="shared" si="50"/>
        <v>3</v>
      </c>
      <c r="AE302" s="2" t="str" cm="1">
        <f t="array" ref="AE302">CONCATENATE($AE$2,Liste(S302:U302),";")</f>
        <v>INSERT INTO WD_Workdays (CalendarDay, CalendarWeekday, CalendarWeek) VALUES ('2026-10-26', 0, 44);</v>
      </c>
      <c r="AF302" s="2"/>
    </row>
    <row r="303" spans="18:32" x14ac:dyDescent="0.45">
      <c r="R303" s="10">
        <f t="shared" si="51"/>
        <v>46322</v>
      </c>
      <c r="S303" t="str">
        <f t="shared" si="44"/>
        <v>'2026-10-27'</v>
      </c>
      <c r="T303">
        <f t="shared" si="45"/>
        <v>1</v>
      </c>
      <c r="U303">
        <f t="shared" si="46"/>
        <v>44</v>
      </c>
      <c r="V303">
        <f t="shared" si="47"/>
        <v>2026</v>
      </c>
      <c r="W303">
        <f t="shared" si="48"/>
        <v>10</v>
      </c>
      <c r="X303">
        <f t="shared" si="49"/>
        <v>27</v>
      </c>
      <c r="Y303">
        <f t="shared" si="50"/>
        <v>3</v>
      </c>
      <c r="AE303" s="2" t="str" cm="1">
        <f t="array" ref="AE303">CONCATENATE($AE$2,Liste(S303:U303),";")</f>
        <v>INSERT INTO WD_Workdays (CalendarDay, CalendarWeekday, CalendarWeek) VALUES ('2026-10-27', 1, 44);</v>
      </c>
      <c r="AF303" s="2"/>
    </row>
    <row r="304" spans="18:32" x14ac:dyDescent="0.45">
      <c r="R304" s="10">
        <f t="shared" si="51"/>
        <v>46323</v>
      </c>
      <c r="S304" t="str">
        <f t="shared" si="44"/>
        <v>'2026-10-28'</v>
      </c>
      <c r="T304">
        <f t="shared" si="45"/>
        <v>2</v>
      </c>
      <c r="U304">
        <f t="shared" si="46"/>
        <v>44</v>
      </c>
      <c r="V304">
        <f t="shared" si="47"/>
        <v>2026</v>
      </c>
      <c r="W304">
        <f t="shared" si="48"/>
        <v>10</v>
      </c>
      <c r="X304">
        <f t="shared" si="49"/>
        <v>28</v>
      </c>
      <c r="Y304">
        <f t="shared" si="50"/>
        <v>3</v>
      </c>
      <c r="AE304" s="2" t="str" cm="1">
        <f t="array" ref="AE304">CONCATENATE($AE$2,Liste(S304:U304),";")</f>
        <v>INSERT INTO WD_Workdays (CalendarDay, CalendarWeekday, CalendarWeek) VALUES ('2026-10-28', 2, 44);</v>
      </c>
      <c r="AF304" s="2"/>
    </row>
    <row r="305" spans="18:32" x14ac:dyDescent="0.45">
      <c r="R305" s="10">
        <f t="shared" si="51"/>
        <v>46324</v>
      </c>
      <c r="S305" t="str">
        <f t="shared" si="44"/>
        <v>'2026-10-29'</v>
      </c>
      <c r="T305">
        <f t="shared" si="45"/>
        <v>3</v>
      </c>
      <c r="U305">
        <f t="shared" si="46"/>
        <v>44</v>
      </c>
      <c r="V305">
        <f t="shared" si="47"/>
        <v>2026</v>
      </c>
      <c r="W305">
        <f t="shared" si="48"/>
        <v>10</v>
      </c>
      <c r="X305">
        <f t="shared" si="49"/>
        <v>29</v>
      </c>
      <c r="Y305">
        <f t="shared" si="50"/>
        <v>3</v>
      </c>
      <c r="AE305" s="2" t="str" cm="1">
        <f t="array" ref="AE305">CONCATENATE($AE$2,Liste(S305:U305),";")</f>
        <v>INSERT INTO WD_Workdays (CalendarDay, CalendarWeekday, CalendarWeek) VALUES ('2026-10-29', 3, 44);</v>
      </c>
      <c r="AF305" s="2"/>
    </row>
    <row r="306" spans="18:32" x14ac:dyDescent="0.45">
      <c r="R306" s="10">
        <f t="shared" si="51"/>
        <v>46325</v>
      </c>
      <c r="S306" t="str">
        <f t="shared" si="44"/>
        <v>'2026-10-30'</v>
      </c>
      <c r="T306">
        <f t="shared" si="45"/>
        <v>4</v>
      </c>
      <c r="U306">
        <f t="shared" si="46"/>
        <v>44</v>
      </c>
      <c r="V306">
        <f t="shared" si="47"/>
        <v>2026</v>
      </c>
      <c r="W306">
        <f t="shared" si="48"/>
        <v>10</v>
      </c>
      <c r="X306">
        <f t="shared" si="49"/>
        <v>30</v>
      </c>
      <c r="Y306">
        <f t="shared" si="50"/>
        <v>3</v>
      </c>
      <c r="AE306" s="2" t="str" cm="1">
        <f t="array" ref="AE306">CONCATENATE($AE$2,Liste(S306:U306),";")</f>
        <v>INSERT INTO WD_Workdays (CalendarDay, CalendarWeekday, CalendarWeek) VALUES ('2026-10-30', 4, 44);</v>
      </c>
      <c r="AF306" s="2"/>
    </row>
    <row r="307" spans="18:32" x14ac:dyDescent="0.45">
      <c r="R307" s="10">
        <f t="shared" si="51"/>
        <v>46326</v>
      </c>
      <c r="S307" t="str">
        <f t="shared" si="44"/>
        <v>'2026-10-31'</v>
      </c>
      <c r="T307">
        <f t="shared" si="45"/>
        <v>5</v>
      </c>
      <c r="U307">
        <f t="shared" si="46"/>
        <v>44</v>
      </c>
      <c r="V307">
        <f t="shared" si="47"/>
        <v>2026</v>
      </c>
      <c r="W307">
        <f t="shared" si="48"/>
        <v>10</v>
      </c>
      <c r="X307">
        <f t="shared" si="49"/>
        <v>31</v>
      </c>
      <c r="Y307">
        <f t="shared" si="50"/>
        <v>3</v>
      </c>
      <c r="AE307" s="2" t="str" cm="1">
        <f t="array" ref="AE307">CONCATENATE($AE$2,Liste(S307:U307),";")</f>
        <v>INSERT INTO WD_Workdays (CalendarDay, CalendarWeekday, CalendarWeek) VALUES ('2026-10-31', 5, 44);</v>
      </c>
      <c r="AF307" s="2"/>
    </row>
    <row r="308" spans="18:32" x14ac:dyDescent="0.45">
      <c r="R308" s="10">
        <f t="shared" si="51"/>
        <v>46327</v>
      </c>
      <c r="S308" t="str">
        <f t="shared" si="44"/>
        <v>'2026-11-01'</v>
      </c>
      <c r="T308">
        <f t="shared" si="45"/>
        <v>6</v>
      </c>
      <c r="U308">
        <f t="shared" si="46"/>
        <v>44</v>
      </c>
      <c r="V308">
        <f t="shared" si="47"/>
        <v>2026</v>
      </c>
      <c r="W308">
        <f t="shared" si="48"/>
        <v>11</v>
      </c>
      <c r="X308">
        <f t="shared" si="49"/>
        <v>1</v>
      </c>
      <c r="Y308">
        <f t="shared" si="50"/>
        <v>3</v>
      </c>
      <c r="AE308" s="2" t="str" cm="1">
        <f t="array" ref="AE308">CONCATENATE($AE$2,Liste(S308:U308),";")</f>
        <v>INSERT INTO WD_Workdays (CalendarDay, CalendarWeekday, CalendarWeek) VALUES ('2026-11-01', 6, 44);</v>
      </c>
      <c r="AF308" s="2"/>
    </row>
    <row r="309" spans="18:32" x14ac:dyDescent="0.45">
      <c r="R309" s="10">
        <f t="shared" si="51"/>
        <v>46328</v>
      </c>
      <c r="S309" t="str">
        <f t="shared" si="44"/>
        <v>'2026-11-02'</v>
      </c>
      <c r="T309">
        <f t="shared" si="45"/>
        <v>0</v>
      </c>
      <c r="U309">
        <f t="shared" si="46"/>
        <v>45</v>
      </c>
      <c r="V309">
        <f t="shared" si="47"/>
        <v>2026</v>
      </c>
      <c r="W309">
        <f t="shared" si="48"/>
        <v>11</v>
      </c>
      <c r="X309">
        <f t="shared" si="49"/>
        <v>2</v>
      </c>
      <c r="Y309">
        <f t="shared" si="50"/>
        <v>3</v>
      </c>
      <c r="AE309" s="2" t="str" cm="1">
        <f t="array" ref="AE309">CONCATENATE($AE$2,Liste(S309:U309),";")</f>
        <v>INSERT INTO WD_Workdays (CalendarDay, CalendarWeekday, CalendarWeek) VALUES ('2026-11-02', 0, 45);</v>
      </c>
      <c r="AF309" s="2"/>
    </row>
    <row r="310" spans="18:32" x14ac:dyDescent="0.45">
      <c r="R310" s="10">
        <f t="shared" si="51"/>
        <v>46329</v>
      </c>
      <c r="S310" t="str">
        <f t="shared" si="44"/>
        <v>'2026-11-03'</v>
      </c>
      <c r="T310">
        <f t="shared" si="45"/>
        <v>1</v>
      </c>
      <c r="U310">
        <f t="shared" si="46"/>
        <v>45</v>
      </c>
      <c r="V310">
        <f t="shared" si="47"/>
        <v>2026</v>
      </c>
      <c r="W310">
        <f t="shared" si="48"/>
        <v>11</v>
      </c>
      <c r="X310">
        <f t="shared" si="49"/>
        <v>3</v>
      </c>
      <c r="Y310">
        <f t="shared" si="50"/>
        <v>3</v>
      </c>
      <c r="AE310" s="2" t="str" cm="1">
        <f t="array" ref="AE310">CONCATENATE($AE$2,Liste(S310:U310),";")</f>
        <v>INSERT INTO WD_Workdays (CalendarDay, CalendarWeekday, CalendarWeek) VALUES ('2026-11-03', 1, 45);</v>
      </c>
      <c r="AF310" s="2"/>
    </row>
    <row r="311" spans="18:32" x14ac:dyDescent="0.45">
      <c r="R311" s="10">
        <f t="shared" si="51"/>
        <v>46330</v>
      </c>
      <c r="S311" t="str">
        <f t="shared" si="44"/>
        <v>'2026-11-04'</v>
      </c>
      <c r="T311">
        <f t="shared" si="45"/>
        <v>2</v>
      </c>
      <c r="U311">
        <f t="shared" si="46"/>
        <v>45</v>
      </c>
      <c r="V311">
        <f t="shared" si="47"/>
        <v>2026</v>
      </c>
      <c r="W311">
        <f t="shared" si="48"/>
        <v>11</v>
      </c>
      <c r="X311">
        <f t="shared" si="49"/>
        <v>4</v>
      </c>
      <c r="Y311">
        <f t="shared" si="50"/>
        <v>3</v>
      </c>
      <c r="AE311" s="2" t="str" cm="1">
        <f t="array" ref="AE311">CONCATENATE($AE$2,Liste(S311:U311),";")</f>
        <v>INSERT INTO WD_Workdays (CalendarDay, CalendarWeekday, CalendarWeek) VALUES ('2026-11-04', 2, 45);</v>
      </c>
      <c r="AF311" s="2"/>
    </row>
    <row r="312" spans="18:32" x14ac:dyDescent="0.45">
      <c r="R312" s="10">
        <f t="shared" si="51"/>
        <v>46331</v>
      </c>
      <c r="S312" t="str">
        <f t="shared" si="44"/>
        <v>'2026-11-05'</v>
      </c>
      <c r="T312">
        <f t="shared" si="45"/>
        <v>3</v>
      </c>
      <c r="U312">
        <f t="shared" si="46"/>
        <v>45</v>
      </c>
      <c r="V312">
        <f t="shared" si="47"/>
        <v>2026</v>
      </c>
      <c r="W312">
        <f t="shared" si="48"/>
        <v>11</v>
      </c>
      <c r="X312">
        <f t="shared" si="49"/>
        <v>5</v>
      </c>
      <c r="Y312">
        <f t="shared" si="50"/>
        <v>3</v>
      </c>
      <c r="AE312" s="2" t="str" cm="1">
        <f t="array" ref="AE312">CONCATENATE($AE$2,Liste(S312:U312),";")</f>
        <v>INSERT INTO WD_Workdays (CalendarDay, CalendarWeekday, CalendarWeek) VALUES ('2026-11-05', 3, 45);</v>
      </c>
      <c r="AF312" s="2"/>
    </row>
    <row r="313" spans="18:32" x14ac:dyDescent="0.45">
      <c r="R313" s="10">
        <f t="shared" si="51"/>
        <v>46332</v>
      </c>
      <c r="S313" t="str">
        <f t="shared" si="44"/>
        <v>'2026-11-06'</v>
      </c>
      <c r="T313">
        <f t="shared" si="45"/>
        <v>4</v>
      </c>
      <c r="U313">
        <f t="shared" si="46"/>
        <v>45</v>
      </c>
      <c r="V313">
        <f t="shared" si="47"/>
        <v>2026</v>
      </c>
      <c r="W313">
        <f t="shared" si="48"/>
        <v>11</v>
      </c>
      <c r="X313">
        <f t="shared" si="49"/>
        <v>6</v>
      </c>
      <c r="Y313">
        <f t="shared" si="50"/>
        <v>3</v>
      </c>
      <c r="AE313" s="2" t="str" cm="1">
        <f t="array" ref="AE313">CONCATENATE($AE$2,Liste(S313:U313),";")</f>
        <v>INSERT INTO WD_Workdays (CalendarDay, CalendarWeekday, CalendarWeek) VALUES ('2026-11-06', 4, 45);</v>
      </c>
      <c r="AF313" s="2"/>
    </row>
    <row r="314" spans="18:32" x14ac:dyDescent="0.45">
      <c r="R314" s="10">
        <f t="shared" si="51"/>
        <v>46333</v>
      </c>
      <c r="S314" t="str">
        <f t="shared" si="44"/>
        <v>'2026-11-07'</v>
      </c>
      <c r="T314">
        <f t="shared" si="45"/>
        <v>5</v>
      </c>
      <c r="U314">
        <f t="shared" si="46"/>
        <v>45</v>
      </c>
      <c r="V314">
        <f t="shared" si="47"/>
        <v>2026</v>
      </c>
      <c r="W314">
        <f t="shared" si="48"/>
        <v>11</v>
      </c>
      <c r="X314">
        <f t="shared" si="49"/>
        <v>7</v>
      </c>
      <c r="Y314">
        <f t="shared" si="50"/>
        <v>3</v>
      </c>
      <c r="AE314" s="2" t="str" cm="1">
        <f t="array" ref="AE314">CONCATENATE($AE$2,Liste(S314:U314),";")</f>
        <v>INSERT INTO WD_Workdays (CalendarDay, CalendarWeekday, CalendarWeek) VALUES ('2026-11-07', 5, 45);</v>
      </c>
      <c r="AF314" s="2"/>
    </row>
    <row r="315" spans="18:32" x14ac:dyDescent="0.45">
      <c r="R315" s="10">
        <f t="shared" si="51"/>
        <v>46334</v>
      </c>
      <c r="S315" t="str">
        <f t="shared" si="44"/>
        <v>'2026-11-08'</v>
      </c>
      <c r="T315">
        <f t="shared" si="45"/>
        <v>6</v>
      </c>
      <c r="U315">
        <f t="shared" si="46"/>
        <v>45</v>
      </c>
      <c r="V315">
        <f t="shared" si="47"/>
        <v>2026</v>
      </c>
      <c r="W315">
        <f t="shared" si="48"/>
        <v>11</v>
      </c>
      <c r="X315">
        <f t="shared" si="49"/>
        <v>8</v>
      </c>
      <c r="Y315">
        <f t="shared" si="50"/>
        <v>3</v>
      </c>
      <c r="AE315" s="2" t="str" cm="1">
        <f t="array" ref="AE315">CONCATENATE($AE$2,Liste(S315:U315),";")</f>
        <v>INSERT INTO WD_Workdays (CalendarDay, CalendarWeekday, CalendarWeek) VALUES ('2026-11-08', 6, 45);</v>
      </c>
      <c r="AF315" s="2"/>
    </row>
    <row r="316" spans="18:32" x14ac:dyDescent="0.45">
      <c r="R316" s="10">
        <f t="shared" si="51"/>
        <v>46335</v>
      </c>
      <c r="S316" t="str">
        <f t="shared" si="44"/>
        <v>'2026-11-09'</v>
      </c>
      <c r="T316">
        <f t="shared" si="45"/>
        <v>0</v>
      </c>
      <c r="U316">
        <f t="shared" si="46"/>
        <v>46</v>
      </c>
      <c r="V316">
        <f t="shared" si="47"/>
        <v>2026</v>
      </c>
      <c r="W316">
        <f t="shared" si="48"/>
        <v>11</v>
      </c>
      <c r="X316">
        <f t="shared" si="49"/>
        <v>9</v>
      </c>
      <c r="Y316">
        <f t="shared" si="50"/>
        <v>3</v>
      </c>
      <c r="AE316" s="2" t="str" cm="1">
        <f t="array" ref="AE316">CONCATENATE($AE$2,Liste(S316:U316),";")</f>
        <v>INSERT INTO WD_Workdays (CalendarDay, CalendarWeekday, CalendarWeek) VALUES ('2026-11-09', 0, 46);</v>
      </c>
      <c r="AF316" s="2"/>
    </row>
    <row r="317" spans="18:32" x14ac:dyDescent="0.45">
      <c r="R317" s="10">
        <f t="shared" si="51"/>
        <v>46336</v>
      </c>
      <c r="S317" t="str">
        <f t="shared" si="44"/>
        <v>'2026-11-10'</v>
      </c>
      <c r="T317">
        <f t="shared" si="45"/>
        <v>1</v>
      </c>
      <c r="U317">
        <f t="shared" si="46"/>
        <v>46</v>
      </c>
      <c r="V317">
        <f t="shared" si="47"/>
        <v>2026</v>
      </c>
      <c r="W317">
        <f t="shared" si="48"/>
        <v>11</v>
      </c>
      <c r="X317">
        <f t="shared" si="49"/>
        <v>10</v>
      </c>
      <c r="Y317">
        <f t="shared" si="50"/>
        <v>3</v>
      </c>
      <c r="AE317" s="2" t="str" cm="1">
        <f t="array" ref="AE317">CONCATENATE($AE$2,Liste(S317:U317),";")</f>
        <v>INSERT INTO WD_Workdays (CalendarDay, CalendarWeekday, CalendarWeek) VALUES ('2026-11-10', 1, 46);</v>
      </c>
      <c r="AF317" s="2"/>
    </row>
    <row r="318" spans="18:32" x14ac:dyDescent="0.45">
      <c r="R318" s="10">
        <f t="shared" si="51"/>
        <v>46337</v>
      </c>
      <c r="S318" t="str">
        <f t="shared" si="44"/>
        <v>'2026-11-11'</v>
      </c>
      <c r="T318">
        <f t="shared" si="45"/>
        <v>2</v>
      </c>
      <c r="U318">
        <f t="shared" si="46"/>
        <v>46</v>
      </c>
      <c r="V318">
        <f t="shared" si="47"/>
        <v>2026</v>
      </c>
      <c r="W318">
        <f t="shared" si="48"/>
        <v>11</v>
      </c>
      <c r="X318">
        <f t="shared" si="49"/>
        <v>11</v>
      </c>
      <c r="Y318">
        <f t="shared" si="50"/>
        <v>3</v>
      </c>
      <c r="AE318" s="2" t="str" cm="1">
        <f t="array" ref="AE318">CONCATENATE($AE$2,Liste(S318:U318),";")</f>
        <v>INSERT INTO WD_Workdays (CalendarDay, CalendarWeekday, CalendarWeek) VALUES ('2026-11-11', 2, 46);</v>
      </c>
      <c r="AF318" s="2"/>
    </row>
    <row r="319" spans="18:32" x14ac:dyDescent="0.45">
      <c r="R319" s="10">
        <f t="shared" si="51"/>
        <v>46338</v>
      </c>
      <c r="S319" t="str">
        <f t="shared" si="44"/>
        <v>'2026-11-12'</v>
      </c>
      <c r="T319">
        <f t="shared" si="45"/>
        <v>3</v>
      </c>
      <c r="U319">
        <f t="shared" si="46"/>
        <v>46</v>
      </c>
      <c r="V319">
        <f t="shared" si="47"/>
        <v>2026</v>
      </c>
      <c r="W319">
        <f t="shared" si="48"/>
        <v>11</v>
      </c>
      <c r="X319">
        <f t="shared" si="49"/>
        <v>12</v>
      </c>
      <c r="Y319">
        <f t="shared" si="50"/>
        <v>3</v>
      </c>
      <c r="AE319" s="2" t="str" cm="1">
        <f t="array" ref="AE319">CONCATENATE($AE$2,Liste(S319:U319),";")</f>
        <v>INSERT INTO WD_Workdays (CalendarDay, CalendarWeekday, CalendarWeek) VALUES ('2026-11-12', 3, 46);</v>
      </c>
      <c r="AF319" s="2"/>
    </row>
    <row r="320" spans="18:32" x14ac:dyDescent="0.45">
      <c r="R320" s="10">
        <f t="shared" si="51"/>
        <v>46339</v>
      </c>
      <c r="S320" t="str">
        <f t="shared" si="44"/>
        <v>'2026-11-13'</v>
      </c>
      <c r="T320">
        <f t="shared" si="45"/>
        <v>4</v>
      </c>
      <c r="U320">
        <f t="shared" si="46"/>
        <v>46</v>
      </c>
      <c r="V320">
        <f t="shared" si="47"/>
        <v>2026</v>
      </c>
      <c r="W320">
        <f t="shared" si="48"/>
        <v>11</v>
      </c>
      <c r="X320">
        <f t="shared" si="49"/>
        <v>13</v>
      </c>
      <c r="Y320">
        <f t="shared" si="50"/>
        <v>3</v>
      </c>
      <c r="AE320" s="2" t="str" cm="1">
        <f t="array" ref="AE320">CONCATENATE($AE$2,Liste(S320:U320),";")</f>
        <v>INSERT INTO WD_Workdays (CalendarDay, CalendarWeekday, CalendarWeek) VALUES ('2026-11-13', 4, 46);</v>
      </c>
      <c r="AF320" s="2"/>
    </row>
    <row r="321" spans="18:32" x14ac:dyDescent="0.45">
      <c r="R321" s="10">
        <f t="shared" si="51"/>
        <v>46340</v>
      </c>
      <c r="S321" t="str">
        <f t="shared" si="44"/>
        <v>'2026-11-14'</v>
      </c>
      <c r="T321">
        <f t="shared" si="45"/>
        <v>5</v>
      </c>
      <c r="U321">
        <f t="shared" si="46"/>
        <v>46</v>
      </c>
      <c r="V321">
        <f t="shared" si="47"/>
        <v>2026</v>
      </c>
      <c r="W321">
        <f t="shared" si="48"/>
        <v>11</v>
      </c>
      <c r="X321">
        <f t="shared" si="49"/>
        <v>14</v>
      </c>
      <c r="Y321">
        <f t="shared" si="50"/>
        <v>3</v>
      </c>
      <c r="AE321" s="2" t="str" cm="1">
        <f t="array" ref="AE321">CONCATENATE($AE$2,Liste(S321:U321),";")</f>
        <v>INSERT INTO WD_Workdays (CalendarDay, CalendarWeekday, CalendarWeek) VALUES ('2026-11-14', 5, 46);</v>
      </c>
      <c r="AF321" s="2"/>
    </row>
    <row r="322" spans="18:32" x14ac:dyDescent="0.45">
      <c r="R322" s="10">
        <f t="shared" si="51"/>
        <v>46341</v>
      </c>
      <c r="S322" t="str">
        <f t="shared" si="44"/>
        <v>'2026-11-15'</v>
      </c>
      <c r="T322">
        <f t="shared" si="45"/>
        <v>6</v>
      </c>
      <c r="U322">
        <f t="shared" si="46"/>
        <v>46</v>
      </c>
      <c r="V322">
        <f t="shared" si="47"/>
        <v>2026</v>
      </c>
      <c r="W322">
        <f t="shared" si="48"/>
        <v>11</v>
      </c>
      <c r="X322">
        <f t="shared" si="49"/>
        <v>15</v>
      </c>
      <c r="Y322">
        <f t="shared" si="50"/>
        <v>3</v>
      </c>
      <c r="AE322" s="2" t="str" cm="1">
        <f t="array" ref="AE322">CONCATENATE($AE$2,Liste(S322:U322),";")</f>
        <v>INSERT INTO WD_Workdays (CalendarDay, CalendarWeekday, CalendarWeek) VALUES ('2026-11-15', 6, 46);</v>
      </c>
      <c r="AF322" s="2"/>
    </row>
    <row r="323" spans="18:32" x14ac:dyDescent="0.45">
      <c r="R323" s="10">
        <f t="shared" si="51"/>
        <v>46342</v>
      </c>
      <c r="S323" t="str">
        <f t="shared" si="44"/>
        <v>'2026-11-16'</v>
      </c>
      <c r="T323">
        <f t="shared" si="45"/>
        <v>0</v>
      </c>
      <c r="U323">
        <f t="shared" si="46"/>
        <v>47</v>
      </c>
      <c r="V323">
        <f t="shared" si="47"/>
        <v>2026</v>
      </c>
      <c r="W323">
        <f t="shared" si="48"/>
        <v>11</v>
      </c>
      <c r="X323">
        <f t="shared" si="49"/>
        <v>16</v>
      </c>
      <c r="Y323">
        <f t="shared" si="50"/>
        <v>3</v>
      </c>
      <c r="AE323" s="2" t="str" cm="1">
        <f t="array" ref="AE323">CONCATENATE($AE$2,Liste(S323:U323),";")</f>
        <v>INSERT INTO WD_Workdays (CalendarDay, CalendarWeekday, CalendarWeek) VALUES ('2026-11-16', 0, 47);</v>
      </c>
      <c r="AF323" s="2"/>
    </row>
    <row r="324" spans="18:32" x14ac:dyDescent="0.45">
      <c r="R324" s="10">
        <f t="shared" si="51"/>
        <v>46343</v>
      </c>
      <c r="S324" t="str">
        <f t="shared" si="44"/>
        <v>'2026-11-17'</v>
      </c>
      <c r="T324">
        <f t="shared" si="45"/>
        <v>1</v>
      </c>
      <c r="U324">
        <f t="shared" si="46"/>
        <v>47</v>
      </c>
      <c r="V324">
        <f t="shared" si="47"/>
        <v>2026</v>
      </c>
      <c r="W324">
        <f t="shared" si="48"/>
        <v>11</v>
      </c>
      <c r="X324">
        <f t="shared" si="49"/>
        <v>17</v>
      </c>
      <c r="Y324">
        <f t="shared" si="50"/>
        <v>3</v>
      </c>
      <c r="AE324" s="2" t="str" cm="1">
        <f t="array" ref="AE324">CONCATENATE($AE$2,Liste(S324:U324),";")</f>
        <v>INSERT INTO WD_Workdays (CalendarDay, CalendarWeekday, CalendarWeek) VALUES ('2026-11-17', 1, 47);</v>
      </c>
      <c r="AF324" s="2"/>
    </row>
    <row r="325" spans="18:32" x14ac:dyDescent="0.45">
      <c r="R325" s="10">
        <f t="shared" si="51"/>
        <v>46344</v>
      </c>
      <c r="S325" t="str">
        <f t="shared" ref="S325:S368" si="52">CONCATENATE("'",TEXT(R325,"jjjj-MM-tt"),"'")</f>
        <v>'2026-11-18'</v>
      </c>
      <c r="T325">
        <f t="shared" ref="T325:T368" si="53">WEEKDAY(R325,3)</f>
        <v>2</v>
      </c>
      <c r="U325">
        <f t="shared" ref="U325:U368" si="54">_xlfn.ISOWEEKNUM(R325)</f>
        <v>47</v>
      </c>
      <c r="V325">
        <f t="shared" ref="V325:V368" si="55">YEAR(R325)</f>
        <v>2026</v>
      </c>
      <c r="W325">
        <f t="shared" ref="W325:W368" si="56">MONTH(R325)</f>
        <v>11</v>
      </c>
      <c r="X325">
        <f t="shared" ref="X325:X368" si="57">DAY(R325)</f>
        <v>18</v>
      </c>
      <c r="Y325">
        <f t="shared" ref="Y325:Y368" si="58">IF(AND(W325&gt;=1,W325&lt;=3),0,IF(AND(W325&gt;=4,W325&lt;=6),1,IF(AND(W325&gt;=7,W325&lt;=8),2,IF(AND(W325&gt;=9,W325&lt;=12),3,-1))))</f>
        <v>3</v>
      </c>
      <c r="AE325" s="2" t="str" cm="1">
        <f t="array" ref="AE325">CONCATENATE($AE$2,Liste(S325:U325),";")</f>
        <v>INSERT INTO WD_Workdays (CalendarDay, CalendarWeekday, CalendarWeek) VALUES ('2026-11-18', 2, 47);</v>
      </c>
      <c r="AF325" s="2"/>
    </row>
    <row r="326" spans="18:32" x14ac:dyDescent="0.45">
      <c r="R326" s="10">
        <f t="shared" ref="R326:R369" si="59">R325+1</f>
        <v>46345</v>
      </c>
      <c r="S326" t="str">
        <f t="shared" si="52"/>
        <v>'2026-11-19'</v>
      </c>
      <c r="T326">
        <f t="shared" si="53"/>
        <v>3</v>
      </c>
      <c r="U326">
        <f t="shared" si="54"/>
        <v>47</v>
      </c>
      <c r="V326">
        <f t="shared" si="55"/>
        <v>2026</v>
      </c>
      <c r="W326">
        <f t="shared" si="56"/>
        <v>11</v>
      </c>
      <c r="X326">
        <f t="shared" si="57"/>
        <v>19</v>
      </c>
      <c r="Y326">
        <f t="shared" si="58"/>
        <v>3</v>
      </c>
      <c r="AE326" s="2" t="str" cm="1">
        <f t="array" ref="AE326">CONCATENATE($AE$2,Liste(S326:U326),";")</f>
        <v>INSERT INTO WD_Workdays (CalendarDay, CalendarWeekday, CalendarWeek) VALUES ('2026-11-19', 3, 47);</v>
      </c>
      <c r="AF326" s="2"/>
    </row>
    <row r="327" spans="18:32" x14ac:dyDescent="0.45">
      <c r="R327" s="10">
        <f t="shared" si="59"/>
        <v>46346</v>
      </c>
      <c r="S327" t="str">
        <f t="shared" si="52"/>
        <v>'2026-11-20'</v>
      </c>
      <c r="T327">
        <f t="shared" si="53"/>
        <v>4</v>
      </c>
      <c r="U327">
        <f t="shared" si="54"/>
        <v>47</v>
      </c>
      <c r="V327">
        <f t="shared" si="55"/>
        <v>2026</v>
      </c>
      <c r="W327">
        <f t="shared" si="56"/>
        <v>11</v>
      </c>
      <c r="X327">
        <f t="shared" si="57"/>
        <v>20</v>
      </c>
      <c r="Y327">
        <f t="shared" si="58"/>
        <v>3</v>
      </c>
      <c r="AE327" s="2" t="str" cm="1">
        <f t="array" ref="AE327">CONCATENATE($AE$2,Liste(S327:U327),";")</f>
        <v>INSERT INTO WD_Workdays (CalendarDay, CalendarWeekday, CalendarWeek) VALUES ('2026-11-20', 4, 47);</v>
      </c>
      <c r="AF327" s="2"/>
    </row>
    <row r="328" spans="18:32" x14ac:dyDescent="0.45">
      <c r="R328" s="10">
        <f t="shared" si="59"/>
        <v>46347</v>
      </c>
      <c r="S328" t="str">
        <f t="shared" si="52"/>
        <v>'2026-11-21'</v>
      </c>
      <c r="T328">
        <f t="shared" si="53"/>
        <v>5</v>
      </c>
      <c r="U328">
        <f t="shared" si="54"/>
        <v>47</v>
      </c>
      <c r="V328">
        <f t="shared" si="55"/>
        <v>2026</v>
      </c>
      <c r="W328">
        <f t="shared" si="56"/>
        <v>11</v>
      </c>
      <c r="X328">
        <f t="shared" si="57"/>
        <v>21</v>
      </c>
      <c r="Y328">
        <f t="shared" si="58"/>
        <v>3</v>
      </c>
      <c r="AE328" s="2" t="str" cm="1">
        <f t="array" ref="AE328">CONCATENATE($AE$2,Liste(S328:U328),";")</f>
        <v>INSERT INTO WD_Workdays (CalendarDay, CalendarWeekday, CalendarWeek) VALUES ('2026-11-21', 5, 47);</v>
      </c>
      <c r="AF328" s="2"/>
    </row>
    <row r="329" spans="18:32" x14ac:dyDescent="0.45">
      <c r="R329" s="10">
        <f t="shared" si="59"/>
        <v>46348</v>
      </c>
      <c r="S329" t="str">
        <f t="shared" si="52"/>
        <v>'2026-11-22'</v>
      </c>
      <c r="T329">
        <f t="shared" si="53"/>
        <v>6</v>
      </c>
      <c r="U329">
        <f t="shared" si="54"/>
        <v>47</v>
      </c>
      <c r="V329">
        <f t="shared" si="55"/>
        <v>2026</v>
      </c>
      <c r="W329">
        <f t="shared" si="56"/>
        <v>11</v>
      </c>
      <c r="X329">
        <f t="shared" si="57"/>
        <v>22</v>
      </c>
      <c r="Y329">
        <f t="shared" si="58"/>
        <v>3</v>
      </c>
      <c r="AE329" s="2" t="str" cm="1">
        <f t="array" ref="AE329">CONCATENATE($AE$2,Liste(S329:U329),";")</f>
        <v>INSERT INTO WD_Workdays (CalendarDay, CalendarWeekday, CalendarWeek) VALUES ('2026-11-22', 6, 47);</v>
      </c>
      <c r="AF329" s="2"/>
    </row>
    <row r="330" spans="18:32" x14ac:dyDescent="0.45">
      <c r="R330" s="10">
        <f t="shared" si="59"/>
        <v>46349</v>
      </c>
      <c r="S330" t="str">
        <f t="shared" si="52"/>
        <v>'2026-11-23'</v>
      </c>
      <c r="T330">
        <f t="shared" si="53"/>
        <v>0</v>
      </c>
      <c r="U330">
        <f t="shared" si="54"/>
        <v>48</v>
      </c>
      <c r="V330">
        <f t="shared" si="55"/>
        <v>2026</v>
      </c>
      <c r="W330">
        <f t="shared" si="56"/>
        <v>11</v>
      </c>
      <c r="X330">
        <f t="shared" si="57"/>
        <v>23</v>
      </c>
      <c r="Y330">
        <f t="shared" si="58"/>
        <v>3</v>
      </c>
      <c r="AE330" s="2" t="str" cm="1">
        <f t="array" ref="AE330">CONCATENATE($AE$2,Liste(S330:U330),";")</f>
        <v>INSERT INTO WD_Workdays (CalendarDay, CalendarWeekday, CalendarWeek) VALUES ('2026-11-23', 0, 48);</v>
      </c>
      <c r="AF330" s="2"/>
    </row>
    <row r="331" spans="18:32" x14ac:dyDescent="0.45">
      <c r="R331" s="10">
        <f t="shared" si="59"/>
        <v>46350</v>
      </c>
      <c r="S331" t="str">
        <f t="shared" si="52"/>
        <v>'2026-11-24'</v>
      </c>
      <c r="T331">
        <f t="shared" si="53"/>
        <v>1</v>
      </c>
      <c r="U331">
        <f t="shared" si="54"/>
        <v>48</v>
      </c>
      <c r="V331">
        <f t="shared" si="55"/>
        <v>2026</v>
      </c>
      <c r="W331">
        <f t="shared" si="56"/>
        <v>11</v>
      </c>
      <c r="X331">
        <f t="shared" si="57"/>
        <v>24</v>
      </c>
      <c r="Y331">
        <f t="shared" si="58"/>
        <v>3</v>
      </c>
      <c r="AE331" s="2" t="str" cm="1">
        <f t="array" ref="AE331">CONCATENATE($AE$2,Liste(S331:U331),";")</f>
        <v>INSERT INTO WD_Workdays (CalendarDay, CalendarWeekday, CalendarWeek) VALUES ('2026-11-24', 1, 48);</v>
      </c>
      <c r="AF331" s="2"/>
    </row>
    <row r="332" spans="18:32" x14ac:dyDescent="0.45">
      <c r="R332" s="10">
        <f t="shared" si="59"/>
        <v>46351</v>
      </c>
      <c r="S332" t="str">
        <f t="shared" si="52"/>
        <v>'2026-11-25'</v>
      </c>
      <c r="T332">
        <f t="shared" si="53"/>
        <v>2</v>
      </c>
      <c r="U332">
        <f t="shared" si="54"/>
        <v>48</v>
      </c>
      <c r="V332">
        <f t="shared" si="55"/>
        <v>2026</v>
      </c>
      <c r="W332">
        <f t="shared" si="56"/>
        <v>11</v>
      </c>
      <c r="X332">
        <f t="shared" si="57"/>
        <v>25</v>
      </c>
      <c r="Y332">
        <f t="shared" si="58"/>
        <v>3</v>
      </c>
      <c r="AE332" s="2" t="str" cm="1">
        <f t="array" ref="AE332">CONCATENATE($AE$2,Liste(S332:U332),";")</f>
        <v>INSERT INTO WD_Workdays (CalendarDay, CalendarWeekday, CalendarWeek) VALUES ('2026-11-25', 2, 48);</v>
      </c>
      <c r="AF332" s="2"/>
    </row>
    <row r="333" spans="18:32" x14ac:dyDescent="0.45">
      <c r="R333" s="10">
        <f t="shared" si="59"/>
        <v>46352</v>
      </c>
      <c r="S333" t="str">
        <f t="shared" si="52"/>
        <v>'2026-11-26'</v>
      </c>
      <c r="T333">
        <f t="shared" si="53"/>
        <v>3</v>
      </c>
      <c r="U333">
        <f t="shared" si="54"/>
        <v>48</v>
      </c>
      <c r="V333">
        <f t="shared" si="55"/>
        <v>2026</v>
      </c>
      <c r="W333">
        <f t="shared" si="56"/>
        <v>11</v>
      </c>
      <c r="X333">
        <f t="shared" si="57"/>
        <v>26</v>
      </c>
      <c r="Y333">
        <f t="shared" si="58"/>
        <v>3</v>
      </c>
      <c r="AE333" s="2" t="str" cm="1">
        <f t="array" ref="AE333">CONCATENATE($AE$2,Liste(S333:U333),";")</f>
        <v>INSERT INTO WD_Workdays (CalendarDay, CalendarWeekday, CalendarWeek) VALUES ('2026-11-26', 3, 48);</v>
      </c>
      <c r="AF333" s="2"/>
    </row>
    <row r="334" spans="18:32" x14ac:dyDescent="0.45">
      <c r="R334" s="10">
        <f t="shared" si="59"/>
        <v>46353</v>
      </c>
      <c r="S334" t="str">
        <f t="shared" si="52"/>
        <v>'2026-11-27'</v>
      </c>
      <c r="T334">
        <f t="shared" si="53"/>
        <v>4</v>
      </c>
      <c r="U334">
        <f t="shared" si="54"/>
        <v>48</v>
      </c>
      <c r="V334">
        <f t="shared" si="55"/>
        <v>2026</v>
      </c>
      <c r="W334">
        <f t="shared" si="56"/>
        <v>11</v>
      </c>
      <c r="X334">
        <f t="shared" si="57"/>
        <v>27</v>
      </c>
      <c r="Y334">
        <f t="shared" si="58"/>
        <v>3</v>
      </c>
      <c r="AE334" s="2" t="str" cm="1">
        <f t="array" ref="AE334">CONCATENATE($AE$2,Liste(S334:U334),";")</f>
        <v>INSERT INTO WD_Workdays (CalendarDay, CalendarWeekday, CalendarWeek) VALUES ('2026-11-27', 4, 48);</v>
      </c>
      <c r="AF334" s="2"/>
    </row>
    <row r="335" spans="18:32" x14ac:dyDescent="0.45">
      <c r="R335" s="10">
        <f t="shared" si="59"/>
        <v>46354</v>
      </c>
      <c r="S335" t="str">
        <f t="shared" si="52"/>
        <v>'2026-11-28'</v>
      </c>
      <c r="T335">
        <f t="shared" si="53"/>
        <v>5</v>
      </c>
      <c r="U335">
        <f t="shared" si="54"/>
        <v>48</v>
      </c>
      <c r="V335">
        <f t="shared" si="55"/>
        <v>2026</v>
      </c>
      <c r="W335">
        <f t="shared" si="56"/>
        <v>11</v>
      </c>
      <c r="X335">
        <f t="shared" si="57"/>
        <v>28</v>
      </c>
      <c r="Y335">
        <f t="shared" si="58"/>
        <v>3</v>
      </c>
      <c r="AE335" s="2" t="str" cm="1">
        <f t="array" ref="AE335">CONCATENATE($AE$2,Liste(S335:U335),";")</f>
        <v>INSERT INTO WD_Workdays (CalendarDay, CalendarWeekday, CalendarWeek) VALUES ('2026-11-28', 5, 48);</v>
      </c>
      <c r="AF335" s="2"/>
    </row>
    <row r="336" spans="18:32" x14ac:dyDescent="0.45">
      <c r="R336" s="10">
        <f t="shared" si="59"/>
        <v>46355</v>
      </c>
      <c r="S336" t="str">
        <f t="shared" si="52"/>
        <v>'2026-11-29'</v>
      </c>
      <c r="T336">
        <f t="shared" si="53"/>
        <v>6</v>
      </c>
      <c r="U336">
        <f t="shared" si="54"/>
        <v>48</v>
      </c>
      <c r="V336">
        <f t="shared" si="55"/>
        <v>2026</v>
      </c>
      <c r="W336">
        <f t="shared" si="56"/>
        <v>11</v>
      </c>
      <c r="X336">
        <f t="shared" si="57"/>
        <v>29</v>
      </c>
      <c r="Y336">
        <f t="shared" si="58"/>
        <v>3</v>
      </c>
      <c r="AE336" s="2" t="str" cm="1">
        <f t="array" ref="AE336">CONCATENATE($AE$2,Liste(S336:U336),";")</f>
        <v>INSERT INTO WD_Workdays (CalendarDay, CalendarWeekday, CalendarWeek) VALUES ('2026-11-29', 6, 48);</v>
      </c>
      <c r="AF336" s="2"/>
    </row>
    <row r="337" spans="18:32" x14ac:dyDescent="0.45">
      <c r="R337" s="10">
        <f t="shared" si="59"/>
        <v>46356</v>
      </c>
      <c r="S337" t="str">
        <f t="shared" si="52"/>
        <v>'2026-11-30'</v>
      </c>
      <c r="T337">
        <f t="shared" si="53"/>
        <v>0</v>
      </c>
      <c r="U337">
        <f t="shared" si="54"/>
        <v>49</v>
      </c>
      <c r="V337">
        <f t="shared" si="55"/>
        <v>2026</v>
      </c>
      <c r="W337">
        <f t="shared" si="56"/>
        <v>11</v>
      </c>
      <c r="X337">
        <f t="shared" si="57"/>
        <v>30</v>
      </c>
      <c r="Y337">
        <f t="shared" si="58"/>
        <v>3</v>
      </c>
      <c r="AE337" s="2" t="str" cm="1">
        <f t="array" ref="AE337">CONCATENATE($AE$2,Liste(S337:U337),";")</f>
        <v>INSERT INTO WD_Workdays (CalendarDay, CalendarWeekday, CalendarWeek) VALUES ('2026-11-30', 0, 49);</v>
      </c>
      <c r="AF337" s="2"/>
    </row>
    <row r="338" spans="18:32" x14ac:dyDescent="0.45">
      <c r="R338" s="10">
        <f t="shared" si="59"/>
        <v>46357</v>
      </c>
      <c r="S338" t="str">
        <f t="shared" si="52"/>
        <v>'2026-12-01'</v>
      </c>
      <c r="T338">
        <f t="shared" si="53"/>
        <v>1</v>
      </c>
      <c r="U338">
        <f t="shared" si="54"/>
        <v>49</v>
      </c>
      <c r="V338">
        <f t="shared" si="55"/>
        <v>2026</v>
      </c>
      <c r="W338">
        <f t="shared" si="56"/>
        <v>12</v>
      </c>
      <c r="X338">
        <f t="shared" si="57"/>
        <v>1</v>
      </c>
      <c r="Y338">
        <f t="shared" si="58"/>
        <v>3</v>
      </c>
      <c r="AE338" s="2" t="str" cm="1">
        <f t="array" ref="AE338">CONCATENATE($AE$2,Liste(S338:U338),";")</f>
        <v>INSERT INTO WD_Workdays (CalendarDay, CalendarWeekday, CalendarWeek) VALUES ('2026-12-01', 1, 49);</v>
      </c>
      <c r="AF338" s="2"/>
    </row>
    <row r="339" spans="18:32" x14ac:dyDescent="0.45">
      <c r="R339" s="10">
        <f t="shared" si="59"/>
        <v>46358</v>
      </c>
      <c r="S339" t="str">
        <f t="shared" si="52"/>
        <v>'2026-12-02'</v>
      </c>
      <c r="T339">
        <f t="shared" si="53"/>
        <v>2</v>
      </c>
      <c r="U339">
        <f t="shared" si="54"/>
        <v>49</v>
      </c>
      <c r="V339">
        <f t="shared" si="55"/>
        <v>2026</v>
      </c>
      <c r="W339">
        <f t="shared" si="56"/>
        <v>12</v>
      </c>
      <c r="X339">
        <f t="shared" si="57"/>
        <v>2</v>
      </c>
      <c r="Y339">
        <f t="shared" si="58"/>
        <v>3</v>
      </c>
      <c r="AE339" s="2" t="str" cm="1">
        <f t="array" ref="AE339">CONCATENATE($AE$2,Liste(S339:U339),";")</f>
        <v>INSERT INTO WD_Workdays (CalendarDay, CalendarWeekday, CalendarWeek) VALUES ('2026-12-02', 2, 49);</v>
      </c>
      <c r="AF339" s="2"/>
    </row>
    <row r="340" spans="18:32" x14ac:dyDescent="0.45">
      <c r="R340" s="10">
        <f t="shared" si="59"/>
        <v>46359</v>
      </c>
      <c r="S340" t="str">
        <f t="shared" si="52"/>
        <v>'2026-12-03'</v>
      </c>
      <c r="T340">
        <f t="shared" si="53"/>
        <v>3</v>
      </c>
      <c r="U340">
        <f t="shared" si="54"/>
        <v>49</v>
      </c>
      <c r="V340">
        <f t="shared" si="55"/>
        <v>2026</v>
      </c>
      <c r="W340">
        <f t="shared" si="56"/>
        <v>12</v>
      </c>
      <c r="X340">
        <f t="shared" si="57"/>
        <v>3</v>
      </c>
      <c r="Y340">
        <f t="shared" si="58"/>
        <v>3</v>
      </c>
      <c r="AE340" s="2" t="str" cm="1">
        <f t="array" ref="AE340">CONCATENATE($AE$2,Liste(S340:U340),";")</f>
        <v>INSERT INTO WD_Workdays (CalendarDay, CalendarWeekday, CalendarWeek) VALUES ('2026-12-03', 3, 49);</v>
      </c>
      <c r="AF340" s="2"/>
    </row>
    <row r="341" spans="18:32" x14ac:dyDescent="0.45">
      <c r="R341" s="10">
        <f t="shared" si="59"/>
        <v>46360</v>
      </c>
      <c r="S341" t="str">
        <f t="shared" si="52"/>
        <v>'2026-12-04'</v>
      </c>
      <c r="T341">
        <f t="shared" si="53"/>
        <v>4</v>
      </c>
      <c r="U341">
        <f t="shared" si="54"/>
        <v>49</v>
      </c>
      <c r="V341">
        <f t="shared" si="55"/>
        <v>2026</v>
      </c>
      <c r="W341">
        <f t="shared" si="56"/>
        <v>12</v>
      </c>
      <c r="X341">
        <f t="shared" si="57"/>
        <v>4</v>
      </c>
      <c r="Y341">
        <f t="shared" si="58"/>
        <v>3</v>
      </c>
      <c r="AE341" s="2" t="str" cm="1">
        <f t="array" ref="AE341">CONCATENATE($AE$2,Liste(S341:U341),";")</f>
        <v>INSERT INTO WD_Workdays (CalendarDay, CalendarWeekday, CalendarWeek) VALUES ('2026-12-04', 4, 49);</v>
      </c>
      <c r="AF341" s="2"/>
    </row>
    <row r="342" spans="18:32" x14ac:dyDescent="0.45">
      <c r="R342" s="10">
        <f t="shared" si="59"/>
        <v>46361</v>
      </c>
      <c r="S342" t="str">
        <f t="shared" si="52"/>
        <v>'2026-12-05'</v>
      </c>
      <c r="T342">
        <f t="shared" si="53"/>
        <v>5</v>
      </c>
      <c r="U342">
        <f t="shared" si="54"/>
        <v>49</v>
      </c>
      <c r="V342">
        <f t="shared" si="55"/>
        <v>2026</v>
      </c>
      <c r="W342">
        <f t="shared" si="56"/>
        <v>12</v>
      </c>
      <c r="X342">
        <f t="shared" si="57"/>
        <v>5</v>
      </c>
      <c r="Y342">
        <f t="shared" si="58"/>
        <v>3</v>
      </c>
      <c r="AE342" s="2" t="str" cm="1">
        <f t="array" ref="AE342">CONCATENATE($AE$2,Liste(S342:U342),";")</f>
        <v>INSERT INTO WD_Workdays (CalendarDay, CalendarWeekday, CalendarWeek) VALUES ('2026-12-05', 5, 49);</v>
      </c>
      <c r="AF342" s="2"/>
    </row>
    <row r="343" spans="18:32" x14ac:dyDescent="0.45">
      <c r="R343" s="10">
        <f t="shared" si="59"/>
        <v>46362</v>
      </c>
      <c r="S343" t="str">
        <f t="shared" si="52"/>
        <v>'2026-12-06'</v>
      </c>
      <c r="T343">
        <f t="shared" si="53"/>
        <v>6</v>
      </c>
      <c r="U343">
        <f t="shared" si="54"/>
        <v>49</v>
      </c>
      <c r="V343">
        <f t="shared" si="55"/>
        <v>2026</v>
      </c>
      <c r="W343">
        <f t="shared" si="56"/>
        <v>12</v>
      </c>
      <c r="X343">
        <f t="shared" si="57"/>
        <v>6</v>
      </c>
      <c r="Y343">
        <f t="shared" si="58"/>
        <v>3</v>
      </c>
      <c r="AE343" s="2" t="str" cm="1">
        <f t="array" ref="AE343">CONCATENATE($AE$2,Liste(S343:U343),";")</f>
        <v>INSERT INTO WD_Workdays (CalendarDay, CalendarWeekday, CalendarWeek) VALUES ('2026-12-06', 6, 49);</v>
      </c>
      <c r="AF343" s="2"/>
    </row>
    <row r="344" spans="18:32" x14ac:dyDescent="0.45">
      <c r="R344" s="10">
        <f t="shared" si="59"/>
        <v>46363</v>
      </c>
      <c r="S344" t="str">
        <f t="shared" si="52"/>
        <v>'2026-12-07'</v>
      </c>
      <c r="T344">
        <f t="shared" si="53"/>
        <v>0</v>
      </c>
      <c r="U344">
        <f t="shared" si="54"/>
        <v>50</v>
      </c>
      <c r="V344">
        <f t="shared" si="55"/>
        <v>2026</v>
      </c>
      <c r="W344">
        <f t="shared" si="56"/>
        <v>12</v>
      </c>
      <c r="X344">
        <f t="shared" si="57"/>
        <v>7</v>
      </c>
      <c r="Y344">
        <f t="shared" si="58"/>
        <v>3</v>
      </c>
      <c r="AE344" s="2" t="str" cm="1">
        <f t="array" ref="AE344">CONCATENATE($AE$2,Liste(S344:U344),";")</f>
        <v>INSERT INTO WD_Workdays (CalendarDay, CalendarWeekday, CalendarWeek) VALUES ('2026-12-07', 0, 50);</v>
      </c>
      <c r="AF344" s="2"/>
    </row>
    <row r="345" spans="18:32" x14ac:dyDescent="0.45">
      <c r="R345" s="10">
        <f t="shared" si="59"/>
        <v>46364</v>
      </c>
      <c r="S345" t="str">
        <f t="shared" si="52"/>
        <v>'2026-12-08'</v>
      </c>
      <c r="T345">
        <f t="shared" si="53"/>
        <v>1</v>
      </c>
      <c r="U345">
        <f t="shared" si="54"/>
        <v>50</v>
      </c>
      <c r="V345">
        <f t="shared" si="55"/>
        <v>2026</v>
      </c>
      <c r="W345">
        <f t="shared" si="56"/>
        <v>12</v>
      </c>
      <c r="X345">
        <f t="shared" si="57"/>
        <v>8</v>
      </c>
      <c r="Y345">
        <f t="shared" si="58"/>
        <v>3</v>
      </c>
      <c r="AE345" s="2" t="str" cm="1">
        <f t="array" ref="AE345">CONCATENATE($AE$2,Liste(S345:U345),";")</f>
        <v>INSERT INTO WD_Workdays (CalendarDay, CalendarWeekday, CalendarWeek) VALUES ('2026-12-08', 1, 50);</v>
      </c>
      <c r="AF345" s="2"/>
    </row>
    <row r="346" spans="18:32" x14ac:dyDescent="0.45">
      <c r="R346" s="10">
        <f t="shared" si="59"/>
        <v>46365</v>
      </c>
      <c r="S346" t="str">
        <f t="shared" si="52"/>
        <v>'2026-12-09'</v>
      </c>
      <c r="T346">
        <f t="shared" si="53"/>
        <v>2</v>
      </c>
      <c r="U346">
        <f t="shared" si="54"/>
        <v>50</v>
      </c>
      <c r="V346">
        <f t="shared" si="55"/>
        <v>2026</v>
      </c>
      <c r="W346">
        <f t="shared" si="56"/>
        <v>12</v>
      </c>
      <c r="X346">
        <f t="shared" si="57"/>
        <v>9</v>
      </c>
      <c r="Y346">
        <f t="shared" si="58"/>
        <v>3</v>
      </c>
      <c r="AE346" s="2" t="str" cm="1">
        <f t="array" ref="AE346">CONCATENATE($AE$2,Liste(S346:U346),";")</f>
        <v>INSERT INTO WD_Workdays (CalendarDay, CalendarWeekday, CalendarWeek) VALUES ('2026-12-09', 2, 50);</v>
      </c>
      <c r="AF346" s="2"/>
    </row>
    <row r="347" spans="18:32" x14ac:dyDescent="0.45">
      <c r="R347" s="10">
        <f t="shared" si="59"/>
        <v>46366</v>
      </c>
      <c r="S347" t="str">
        <f t="shared" si="52"/>
        <v>'2026-12-10'</v>
      </c>
      <c r="T347">
        <f t="shared" si="53"/>
        <v>3</v>
      </c>
      <c r="U347">
        <f t="shared" si="54"/>
        <v>50</v>
      </c>
      <c r="V347">
        <f t="shared" si="55"/>
        <v>2026</v>
      </c>
      <c r="W347">
        <f t="shared" si="56"/>
        <v>12</v>
      </c>
      <c r="X347">
        <f t="shared" si="57"/>
        <v>10</v>
      </c>
      <c r="Y347">
        <f t="shared" si="58"/>
        <v>3</v>
      </c>
      <c r="AE347" s="2" t="str" cm="1">
        <f t="array" ref="AE347">CONCATENATE($AE$2,Liste(S347:U347),";")</f>
        <v>INSERT INTO WD_Workdays (CalendarDay, CalendarWeekday, CalendarWeek) VALUES ('2026-12-10', 3, 50);</v>
      </c>
      <c r="AF347" s="2"/>
    </row>
    <row r="348" spans="18:32" x14ac:dyDescent="0.45">
      <c r="R348" s="10">
        <f t="shared" si="59"/>
        <v>46367</v>
      </c>
      <c r="S348" t="str">
        <f t="shared" si="52"/>
        <v>'2026-12-11'</v>
      </c>
      <c r="T348">
        <f t="shared" si="53"/>
        <v>4</v>
      </c>
      <c r="U348">
        <f t="shared" si="54"/>
        <v>50</v>
      </c>
      <c r="V348">
        <f t="shared" si="55"/>
        <v>2026</v>
      </c>
      <c r="W348">
        <f t="shared" si="56"/>
        <v>12</v>
      </c>
      <c r="X348">
        <f t="shared" si="57"/>
        <v>11</v>
      </c>
      <c r="Y348">
        <f t="shared" si="58"/>
        <v>3</v>
      </c>
      <c r="AE348" s="2" t="str" cm="1">
        <f t="array" ref="AE348">CONCATENATE($AE$2,Liste(S348:U348),";")</f>
        <v>INSERT INTO WD_Workdays (CalendarDay, CalendarWeekday, CalendarWeek) VALUES ('2026-12-11', 4, 50);</v>
      </c>
      <c r="AF348" s="2"/>
    </row>
    <row r="349" spans="18:32" x14ac:dyDescent="0.45">
      <c r="R349" s="10">
        <f t="shared" si="59"/>
        <v>46368</v>
      </c>
      <c r="S349" t="str">
        <f t="shared" si="52"/>
        <v>'2026-12-12'</v>
      </c>
      <c r="T349">
        <f t="shared" si="53"/>
        <v>5</v>
      </c>
      <c r="U349">
        <f t="shared" si="54"/>
        <v>50</v>
      </c>
      <c r="V349">
        <f t="shared" si="55"/>
        <v>2026</v>
      </c>
      <c r="W349">
        <f t="shared" si="56"/>
        <v>12</v>
      </c>
      <c r="X349">
        <f t="shared" si="57"/>
        <v>12</v>
      </c>
      <c r="Y349">
        <f t="shared" si="58"/>
        <v>3</v>
      </c>
      <c r="AE349" s="2" t="str" cm="1">
        <f t="array" ref="AE349">CONCATENATE($AE$2,Liste(S349:U349),";")</f>
        <v>INSERT INTO WD_Workdays (CalendarDay, CalendarWeekday, CalendarWeek) VALUES ('2026-12-12', 5, 50);</v>
      </c>
      <c r="AF349" s="2"/>
    </row>
    <row r="350" spans="18:32" x14ac:dyDescent="0.45">
      <c r="R350" s="10">
        <f t="shared" si="59"/>
        <v>46369</v>
      </c>
      <c r="S350" t="str">
        <f t="shared" si="52"/>
        <v>'2026-12-13'</v>
      </c>
      <c r="T350">
        <f t="shared" si="53"/>
        <v>6</v>
      </c>
      <c r="U350">
        <f t="shared" si="54"/>
        <v>50</v>
      </c>
      <c r="V350">
        <f t="shared" si="55"/>
        <v>2026</v>
      </c>
      <c r="W350">
        <f t="shared" si="56"/>
        <v>12</v>
      </c>
      <c r="X350">
        <f t="shared" si="57"/>
        <v>13</v>
      </c>
      <c r="Y350">
        <f t="shared" si="58"/>
        <v>3</v>
      </c>
      <c r="AE350" s="2" t="str" cm="1">
        <f t="array" ref="AE350">CONCATENATE($AE$2,Liste(S350:U350),";")</f>
        <v>INSERT INTO WD_Workdays (CalendarDay, CalendarWeekday, CalendarWeek) VALUES ('2026-12-13', 6, 50);</v>
      </c>
      <c r="AF350" s="2"/>
    </row>
    <row r="351" spans="18:32" x14ac:dyDescent="0.45">
      <c r="R351" s="10">
        <f t="shared" si="59"/>
        <v>46370</v>
      </c>
      <c r="S351" t="str">
        <f t="shared" si="52"/>
        <v>'2026-12-14'</v>
      </c>
      <c r="T351">
        <f t="shared" si="53"/>
        <v>0</v>
      </c>
      <c r="U351">
        <f t="shared" si="54"/>
        <v>51</v>
      </c>
      <c r="V351">
        <f t="shared" si="55"/>
        <v>2026</v>
      </c>
      <c r="W351">
        <f t="shared" si="56"/>
        <v>12</v>
      </c>
      <c r="X351">
        <f t="shared" si="57"/>
        <v>14</v>
      </c>
      <c r="Y351">
        <f t="shared" si="58"/>
        <v>3</v>
      </c>
      <c r="AE351" s="2" t="str" cm="1">
        <f t="array" ref="AE351">CONCATENATE($AE$2,Liste(S351:U351),";")</f>
        <v>INSERT INTO WD_Workdays (CalendarDay, CalendarWeekday, CalendarWeek) VALUES ('2026-12-14', 0, 51);</v>
      </c>
      <c r="AF351" s="2"/>
    </row>
    <row r="352" spans="18:32" x14ac:dyDescent="0.45">
      <c r="R352" s="10">
        <f t="shared" si="59"/>
        <v>46371</v>
      </c>
      <c r="S352" t="str">
        <f t="shared" si="52"/>
        <v>'2026-12-15'</v>
      </c>
      <c r="T352">
        <f t="shared" si="53"/>
        <v>1</v>
      </c>
      <c r="U352">
        <f t="shared" si="54"/>
        <v>51</v>
      </c>
      <c r="V352">
        <f t="shared" si="55"/>
        <v>2026</v>
      </c>
      <c r="W352">
        <f t="shared" si="56"/>
        <v>12</v>
      </c>
      <c r="X352">
        <f t="shared" si="57"/>
        <v>15</v>
      </c>
      <c r="Y352">
        <f t="shared" si="58"/>
        <v>3</v>
      </c>
      <c r="AE352" s="2" t="str" cm="1">
        <f t="array" ref="AE352">CONCATENATE($AE$2,Liste(S352:U352),";")</f>
        <v>INSERT INTO WD_Workdays (CalendarDay, CalendarWeekday, CalendarWeek) VALUES ('2026-12-15', 1, 51);</v>
      </c>
      <c r="AF352" s="2"/>
    </row>
    <row r="353" spans="18:32" x14ac:dyDescent="0.45">
      <c r="R353" s="10">
        <f t="shared" si="59"/>
        <v>46372</v>
      </c>
      <c r="S353" t="str">
        <f t="shared" si="52"/>
        <v>'2026-12-16'</v>
      </c>
      <c r="T353">
        <f t="shared" si="53"/>
        <v>2</v>
      </c>
      <c r="U353">
        <f t="shared" si="54"/>
        <v>51</v>
      </c>
      <c r="V353">
        <f t="shared" si="55"/>
        <v>2026</v>
      </c>
      <c r="W353">
        <f t="shared" si="56"/>
        <v>12</v>
      </c>
      <c r="X353">
        <f t="shared" si="57"/>
        <v>16</v>
      </c>
      <c r="Y353">
        <f t="shared" si="58"/>
        <v>3</v>
      </c>
      <c r="AE353" s="2" t="str" cm="1">
        <f t="array" ref="AE353">CONCATENATE($AE$2,Liste(S353:U353),";")</f>
        <v>INSERT INTO WD_Workdays (CalendarDay, CalendarWeekday, CalendarWeek) VALUES ('2026-12-16', 2, 51);</v>
      </c>
      <c r="AF353" s="2"/>
    </row>
    <row r="354" spans="18:32" x14ac:dyDescent="0.45">
      <c r="R354" s="10">
        <f t="shared" si="59"/>
        <v>46373</v>
      </c>
      <c r="S354" t="str">
        <f t="shared" si="52"/>
        <v>'2026-12-17'</v>
      </c>
      <c r="T354">
        <f t="shared" si="53"/>
        <v>3</v>
      </c>
      <c r="U354">
        <f t="shared" si="54"/>
        <v>51</v>
      </c>
      <c r="V354">
        <f t="shared" si="55"/>
        <v>2026</v>
      </c>
      <c r="W354">
        <f t="shared" si="56"/>
        <v>12</v>
      </c>
      <c r="X354">
        <f t="shared" si="57"/>
        <v>17</v>
      </c>
      <c r="Y354">
        <f t="shared" si="58"/>
        <v>3</v>
      </c>
      <c r="AE354" s="2" t="str" cm="1">
        <f t="array" ref="AE354">CONCATENATE($AE$2,Liste(S354:U354),";")</f>
        <v>INSERT INTO WD_Workdays (CalendarDay, CalendarWeekday, CalendarWeek) VALUES ('2026-12-17', 3, 51);</v>
      </c>
      <c r="AF354" s="2"/>
    </row>
    <row r="355" spans="18:32" x14ac:dyDescent="0.45">
      <c r="R355" s="10">
        <f t="shared" si="59"/>
        <v>46374</v>
      </c>
      <c r="S355" t="str">
        <f t="shared" si="52"/>
        <v>'2026-12-18'</v>
      </c>
      <c r="T355">
        <f t="shared" si="53"/>
        <v>4</v>
      </c>
      <c r="U355">
        <f t="shared" si="54"/>
        <v>51</v>
      </c>
      <c r="V355">
        <f t="shared" si="55"/>
        <v>2026</v>
      </c>
      <c r="W355">
        <f t="shared" si="56"/>
        <v>12</v>
      </c>
      <c r="X355">
        <f t="shared" si="57"/>
        <v>18</v>
      </c>
      <c r="Y355">
        <f t="shared" si="58"/>
        <v>3</v>
      </c>
      <c r="AE355" s="2" t="str" cm="1">
        <f t="array" ref="AE355">CONCATENATE($AE$2,Liste(S355:U355),";")</f>
        <v>INSERT INTO WD_Workdays (CalendarDay, CalendarWeekday, CalendarWeek) VALUES ('2026-12-18', 4, 51);</v>
      </c>
      <c r="AF355" s="2"/>
    </row>
    <row r="356" spans="18:32" x14ac:dyDescent="0.45">
      <c r="R356" s="10">
        <f t="shared" si="59"/>
        <v>46375</v>
      </c>
      <c r="S356" t="str">
        <f t="shared" si="52"/>
        <v>'2026-12-19'</v>
      </c>
      <c r="T356">
        <f t="shared" si="53"/>
        <v>5</v>
      </c>
      <c r="U356">
        <f t="shared" si="54"/>
        <v>51</v>
      </c>
      <c r="V356">
        <f t="shared" si="55"/>
        <v>2026</v>
      </c>
      <c r="W356">
        <f t="shared" si="56"/>
        <v>12</v>
      </c>
      <c r="X356">
        <f t="shared" si="57"/>
        <v>19</v>
      </c>
      <c r="Y356">
        <f t="shared" si="58"/>
        <v>3</v>
      </c>
      <c r="AE356" s="2" t="str" cm="1">
        <f t="array" ref="AE356">CONCATENATE($AE$2,Liste(S356:U356),";")</f>
        <v>INSERT INTO WD_Workdays (CalendarDay, CalendarWeekday, CalendarWeek) VALUES ('2026-12-19', 5, 51);</v>
      </c>
      <c r="AF356" s="2"/>
    </row>
    <row r="357" spans="18:32" x14ac:dyDescent="0.45">
      <c r="R357" s="10">
        <f t="shared" si="59"/>
        <v>46376</v>
      </c>
      <c r="S357" t="str">
        <f t="shared" si="52"/>
        <v>'2026-12-20'</v>
      </c>
      <c r="T357">
        <f t="shared" si="53"/>
        <v>6</v>
      </c>
      <c r="U357">
        <f t="shared" si="54"/>
        <v>51</v>
      </c>
      <c r="V357">
        <f t="shared" si="55"/>
        <v>2026</v>
      </c>
      <c r="W357">
        <f t="shared" si="56"/>
        <v>12</v>
      </c>
      <c r="X357">
        <f t="shared" si="57"/>
        <v>20</v>
      </c>
      <c r="Y357">
        <f t="shared" si="58"/>
        <v>3</v>
      </c>
      <c r="AE357" s="2" t="str" cm="1">
        <f t="array" ref="AE357">CONCATENATE($AE$2,Liste(S357:U357),";")</f>
        <v>INSERT INTO WD_Workdays (CalendarDay, CalendarWeekday, CalendarWeek) VALUES ('2026-12-20', 6, 51);</v>
      </c>
      <c r="AF357" s="2"/>
    </row>
    <row r="358" spans="18:32" x14ac:dyDescent="0.45">
      <c r="R358" s="10">
        <f t="shared" si="59"/>
        <v>46377</v>
      </c>
      <c r="S358" t="str">
        <f t="shared" si="52"/>
        <v>'2026-12-21'</v>
      </c>
      <c r="T358">
        <f t="shared" si="53"/>
        <v>0</v>
      </c>
      <c r="U358">
        <f t="shared" si="54"/>
        <v>52</v>
      </c>
      <c r="V358">
        <f t="shared" si="55"/>
        <v>2026</v>
      </c>
      <c r="W358">
        <f t="shared" si="56"/>
        <v>12</v>
      </c>
      <c r="X358">
        <f t="shared" si="57"/>
        <v>21</v>
      </c>
      <c r="Y358">
        <f t="shared" si="58"/>
        <v>3</v>
      </c>
      <c r="AE358" s="2" t="str" cm="1">
        <f t="array" ref="AE358">CONCATENATE($AE$2,Liste(S358:U358),";")</f>
        <v>INSERT INTO WD_Workdays (CalendarDay, CalendarWeekday, CalendarWeek) VALUES ('2026-12-21', 0, 52);</v>
      </c>
      <c r="AF358" s="2"/>
    </row>
    <row r="359" spans="18:32" x14ac:dyDescent="0.45">
      <c r="R359" s="10">
        <f t="shared" si="59"/>
        <v>46378</v>
      </c>
      <c r="S359" t="str">
        <f t="shared" si="52"/>
        <v>'2026-12-22'</v>
      </c>
      <c r="T359">
        <f t="shared" si="53"/>
        <v>1</v>
      </c>
      <c r="U359">
        <f t="shared" si="54"/>
        <v>52</v>
      </c>
      <c r="V359">
        <f t="shared" si="55"/>
        <v>2026</v>
      </c>
      <c r="W359">
        <f t="shared" si="56"/>
        <v>12</v>
      </c>
      <c r="X359">
        <f t="shared" si="57"/>
        <v>22</v>
      </c>
      <c r="Y359">
        <f t="shared" si="58"/>
        <v>3</v>
      </c>
      <c r="AE359" s="2" t="str" cm="1">
        <f t="array" ref="AE359">CONCATENATE($AE$2,Liste(S359:U359),";")</f>
        <v>INSERT INTO WD_Workdays (CalendarDay, CalendarWeekday, CalendarWeek) VALUES ('2026-12-22', 1, 52);</v>
      </c>
      <c r="AF359" s="2"/>
    </row>
    <row r="360" spans="18:32" x14ac:dyDescent="0.45">
      <c r="R360" s="10">
        <f t="shared" si="59"/>
        <v>46379</v>
      </c>
      <c r="S360" t="str">
        <f t="shared" si="52"/>
        <v>'2026-12-23'</v>
      </c>
      <c r="T360">
        <f t="shared" si="53"/>
        <v>2</v>
      </c>
      <c r="U360">
        <f t="shared" si="54"/>
        <v>52</v>
      </c>
      <c r="V360">
        <f t="shared" si="55"/>
        <v>2026</v>
      </c>
      <c r="W360">
        <f t="shared" si="56"/>
        <v>12</v>
      </c>
      <c r="X360">
        <f t="shared" si="57"/>
        <v>23</v>
      </c>
      <c r="Y360">
        <f t="shared" si="58"/>
        <v>3</v>
      </c>
      <c r="AE360" s="2" t="str" cm="1">
        <f t="array" ref="AE360">CONCATENATE($AE$2,Liste(S360:U360),";")</f>
        <v>INSERT INTO WD_Workdays (CalendarDay, CalendarWeekday, CalendarWeek) VALUES ('2026-12-23', 2, 52);</v>
      </c>
      <c r="AF360" s="2"/>
    </row>
    <row r="361" spans="18:32" x14ac:dyDescent="0.45">
      <c r="R361" s="10">
        <f t="shared" si="59"/>
        <v>46380</v>
      </c>
      <c r="S361" t="str">
        <f t="shared" si="52"/>
        <v>'2026-12-24'</v>
      </c>
      <c r="T361">
        <f t="shared" si="53"/>
        <v>3</v>
      </c>
      <c r="U361">
        <f t="shared" si="54"/>
        <v>52</v>
      </c>
      <c r="V361">
        <f t="shared" si="55"/>
        <v>2026</v>
      </c>
      <c r="W361">
        <f t="shared" si="56"/>
        <v>12</v>
      </c>
      <c r="X361">
        <f t="shared" si="57"/>
        <v>24</v>
      </c>
      <c r="Y361">
        <f t="shared" si="58"/>
        <v>3</v>
      </c>
      <c r="AE361" s="2" t="str" cm="1">
        <f t="array" ref="AE361">CONCATENATE($AE$2,Liste(S361:U361),";")</f>
        <v>INSERT INTO WD_Workdays (CalendarDay, CalendarWeekday, CalendarWeek) VALUES ('2026-12-24', 3, 52);</v>
      </c>
      <c r="AF361" s="2"/>
    </row>
    <row r="362" spans="18:32" x14ac:dyDescent="0.45">
      <c r="R362" s="10">
        <f t="shared" si="59"/>
        <v>46381</v>
      </c>
      <c r="S362" t="str">
        <f t="shared" si="52"/>
        <v>'2026-12-25'</v>
      </c>
      <c r="T362">
        <f t="shared" si="53"/>
        <v>4</v>
      </c>
      <c r="U362">
        <f t="shared" si="54"/>
        <v>52</v>
      </c>
      <c r="V362">
        <f t="shared" si="55"/>
        <v>2026</v>
      </c>
      <c r="W362">
        <f t="shared" si="56"/>
        <v>12</v>
      </c>
      <c r="X362">
        <f t="shared" si="57"/>
        <v>25</v>
      </c>
      <c r="Y362">
        <f t="shared" si="58"/>
        <v>3</v>
      </c>
      <c r="AE362" s="2" t="str" cm="1">
        <f t="array" ref="AE362">CONCATENATE($AE$2,Liste(S362:U362),";")</f>
        <v>INSERT INTO WD_Workdays (CalendarDay, CalendarWeekday, CalendarWeek) VALUES ('2026-12-25', 4, 52);</v>
      </c>
      <c r="AF362" s="2"/>
    </row>
    <row r="363" spans="18:32" x14ac:dyDescent="0.45">
      <c r="R363" s="10">
        <f t="shared" si="59"/>
        <v>46382</v>
      </c>
      <c r="S363" t="str">
        <f t="shared" si="52"/>
        <v>'2026-12-26'</v>
      </c>
      <c r="T363">
        <f t="shared" si="53"/>
        <v>5</v>
      </c>
      <c r="U363">
        <f t="shared" si="54"/>
        <v>52</v>
      </c>
      <c r="V363">
        <f t="shared" si="55"/>
        <v>2026</v>
      </c>
      <c r="W363">
        <f t="shared" si="56"/>
        <v>12</v>
      </c>
      <c r="X363">
        <f t="shared" si="57"/>
        <v>26</v>
      </c>
      <c r="Y363">
        <f t="shared" si="58"/>
        <v>3</v>
      </c>
      <c r="AE363" s="2" t="str" cm="1">
        <f t="array" ref="AE363">CONCATENATE($AE$2,Liste(S363:U363),";")</f>
        <v>INSERT INTO WD_Workdays (CalendarDay, CalendarWeekday, CalendarWeek) VALUES ('2026-12-26', 5, 52);</v>
      </c>
      <c r="AF363" s="2"/>
    </row>
    <row r="364" spans="18:32" x14ac:dyDescent="0.45">
      <c r="R364" s="10">
        <f t="shared" si="59"/>
        <v>46383</v>
      </c>
      <c r="S364" t="str">
        <f t="shared" si="52"/>
        <v>'2026-12-27'</v>
      </c>
      <c r="T364">
        <f t="shared" si="53"/>
        <v>6</v>
      </c>
      <c r="U364">
        <f t="shared" si="54"/>
        <v>52</v>
      </c>
      <c r="V364">
        <f t="shared" si="55"/>
        <v>2026</v>
      </c>
      <c r="W364">
        <f t="shared" si="56"/>
        <v>12</v>
      </c>
      <c r="X364">
        <f t="shared" si="57"/>
        <v>27</v>
      </c>
      <c r="Y364">
        <f t="shared" si="58"/>
        <v>3</v>
      </c>
      <c r="AE364" s="2" t="str" cm="1">
        <f t="array" ref="AE364">CONCATENATE($AE$2,Liste(S364:U364),";")</f>
        <v>INSERT INTO WD_Workdays (CalendarDay, CalendarWeekday, CalendarWeek) VALUES ('2026-12-27', 6, 52);</v>
      </c>
      <c r="AF364" s="2"/>
    </row>
    <row r="365" spans="18:32" x14ac:dyDescent="0.45">
      <c r="R365" s="10">
        <f t="shared" si="59"/>
        <v>46384</v>
      </c>
      <c r="S365" t="str">
        <f t="shared" si="52"/>
        <v>'2026-12-28'</v>
      </c>
      <c r="T365">
        <f t="shared" si="53"/>
        <v>0</v>
      </c>
      <c r="U365">
        <f t="shared" si="54"/>
        <v>53</v>
      </c>
      <c r="V365">
        <f t="shared" si="55"/>
        <v>2026</v>
      </c>
      <c r="W365">
        <f t="shared" si="56"/>
        <v>12</v>
      </c>
      <c r="X365">
        <f t="shared" si="57"/>
        <v>28</v>
      </c>
      <c r="Y365">
        <f t="shared" si="58"/>
        <v>3</v>
      </c>
      <c r="AE365" s="2" t="str" cm="1">
        <f t="array" ref="AE365">CONCATENATE($AE$2,Liste(S365:U365),";")</f>
        <v>INSERT INTO WD_Workdays (CalendarDay, CalendarWeekday, CalendarWeek) VALUES ('2026-12-28', 0, 53);</v>
      </c>
      <c r="AF365" s="2"/>
    </row>
    <row r="366" spans="18:32" x14ac:dyDescent="0.45">
      <c r="R366" s="10">
        <f t="shared" si="59"/>
        <v>46385</v>
      </c>
      <c r="S366" t="str">
        <f t="shared" si="52"/>
        <v>'2026-12-29'</v>
      </c>
      <c r="T366">
        <f t="shared" si="53"/>
        <v>1</v>
      </c>
      <c r="U366">
        <f t="shared" si="54"/>
        <v>53</v>
      </c>
      <c r="V366">
        <f t="shared" si="55"/>
        <v>2026</v>
      </c>
      <c r="W366">
        <f t="shared" si="56"/>
        <v>12</v>
      </c>
      <c r="X366">
        <f t="shared" si="57"/>
        <v>29</v>
      </c>
      <c r="Y366">
        <f t="shared" si="58"/>
        <v>3</v>
      </c>
      <c r="AE366" s="2" t="str" cm="1">
        <f t="array" ref="AE366">CONCATENATE($AE$2,Liste(S366:U366),";")</f>
        <v>INSERT INTO WD_Workdays (CalendarDay, CalendarWeekday, CalendarWeek) VALUES ('2026-12-29', 1, 53);</v>
      </c>
      <c r="AF366" s="2"/>
    </row>
    <row r="367" spans="18:32" x14ac:dyDescent="0.45">
      <c r="R367" s="10">
        <f t="shared" si="59"/>
        <v>46386</v>
      </c>
      <c r="S367" t="str">
        <f t="shared" si="52"/>
        <v>'2026-12-30'</v>
      </c>
      <c r="T367">
        <f t="shared" si="53"/>
        <v>2</v>
      </c>
      <c r="U367">
        <f t="shared" si="54"/>
        <v>53</v>
      </c>
      <c r="V367">
        <f t="shared" si="55"/>
        <v>2026</v>
      </c>
      <c r="W367">
        <f t="shared" si="56"/>
        <v>12</v>
      </c>
      <c r="X367">
        <f t="shared" si="57"/>
        <v>30</v>
      </c>
      <c r="Y367">
        <f t="shared" si="58"/>
        <v>3</v>
      </c>
      <c r="AE367" s="2" t="str" cm="1">
        <f t="array" ref="AE367">CONCATENATE($AE$2,Liste(S367:U367),";")</f>
        <v>INSERT INTO WD_Workdays (CalendarDay, CalendarWeekday, CalendarWeek) VALUES ('2026-12-30', 2, 53);</v>
      </c>
      <c r="AF367" s="2"/>
    </row>
    <row r="368" spans="18:32" x14ac:dyDescent="0.45">
      <c r="R368" s="10">
        <f t="shared" si="59"/>
        <v>46387</v>
      </c>
      <c r="S368" t="str">
        <f t="shared" si="52"/>
        <v>'2026-12-31'</v>
      </c>
      <c r="T368">
        <f t="shared" si="53"/>
        <v>3</v>
      </c>
      <c r="U368">
        <f t="shared" si="54"/>
        <v>53</v>
      </c>
      <c r="V368">
        <f t="shared" si="55"/>
        <v>2026</v>
      </c>
      <c r="W368">
        <f t="shared" si="56"/>
        <v>12</v>
      </c>
      <c r="X368">
        <f t="shared" si="57"/>
        <v>31</v>
      </c>
      <c r="Y368">
        <f t="shared" si="58"/>
        <v>3</v>
      </c>
      <c r="AE368" s="2" t="str" cm="1">
        <f t="array" ref="AE368">CONCATENATE($AE$2,Liste(S368:U368),";")</f>
        <v>INSERT INTO WD_Workdays (CalendarDay, CalendarWeekday, CalendarWeek) VALUES ('2026-12-31', 3, 53);</v>
      </c>
      <c r="AF368" s="2"/>
    </row>
    <row r="369" spans="18:32" x14ac:dyDescent="0.45">
      <c r="R369" s="10">
        <f t="shared" si="59"/>
        <v>46388</v>
      </c>
      <c r="S369" t="str">
        <f t="shared" ref="S369" si="60">CONCATENATE("'",TEXT(R369,"jjjj-MM-tt"),"'")</f>
        <v>'2027-01-01'</v>
      </c>
      <c r="T369">
        <f t="shared" ref="T369" si="61">WEEKDAY(R369,3)</f>
        <v>4</v>
      </c>
      <c r="U369">
        <f t="shared" ref="U369" si="62">_xlfn.ISOWEEKNUM(R369)</f>
        <v>53</v>
      </c>
      <c r="V369">
        <f t="shared" ref="V369" si="63">YEAR(R369)</f>
        <v>2027</v>
      </c>
      <c r="W369">
        <f t="shared" ref="W369" si="64">MONTH(R369)</f>
        <v>1</v>
      </c>
      <c r="X369">
        <f t="shared" ref="X369" si="65">DAY(R369)</f>
        <v>1</v>
      </c>
      <c r="Y369">
        <f t="shared" ref="Y369" si="66">IF(AND(W369&gt;=1,W369&lt;=3),0,IF(AND(W369&gt;=4,W369&lt;=6),1,IF(AND(W369&gt;=7,W369&lt;=8),2,IF(AND(W369&gt;=9,W369&lt;=12),3,-1))))</f>
        <v>0</v>
      </c>
      <c r="AE369" s="2" t="str" cm="1">
        <f t="array" ref="AE369">CONCATENATE($AE$2,Liste(S369:U369),";")</f>
        <v>INSERT INTO WD_Workdays (CalendarDay, CalendarWeekday, CalendarWeek) VALUES ('2027-01-01', 4, 53);</v>
      </c>
      <c r="AF369" s="2"/>
    </row>
    <row r="370" spans="18:32" x14ac:dyDescent="0.45">
      <c r="R370" s="10"/>
      <c r="AE370" s="2"/>
      <c r="AF370" s="2"/>
    </row>
    <row r="371" spans="18:32" x14ac:dyDescent="0.45">
      <c r="R371" s="10"/>
      <c r="AE371" s="2"/>
      <c r="AF371" s="2"/>
    </row>
    <row r="372" spans="18:32" x14ac:dyDescent="0.45">
      <c r="R372" s="10"/>
      <c r="AE372" s="2"/>
      <c r="AF372" s="2"/>
    </row>
    <row r="373" spans="18:32" x14ac:dyDescent="0.45">
      <c r="R373" s="10"/>
      <c r="AE373" s="2"/>
      <c r="AF373" s="2"/>
    </row>
    <row r="374" spans="18:32" x14ac:dyDescent="0.45">
      <c r="R374" s="10"/>
      <c r="AE374" s="2"/>
      <c r="AF374" s="2"/>
    </row>
    <row r="375" spans="18:32" x14ac:dyDescent="0.45">
      <c r="R375" s="10"/>
      <c r="AE375" s="2"/>
      <c r="AF375" s="2"/>
    </row>
    <row r="376" spans="18:32" x14ac:dyDescent="0.45">
      <c r="R376" s="10"/>
      <c r="AE376" s="2"/>
      <c r="AF376" s="2"/>
    </row>
    <row r="377" spans="18:32" x14ac:dyDescent="0.45">
      <c r="R377" s="10"/>
      <c r="AE377" s="2"/>
      <c r="AF377" s="2"/>
    </row>
    <row r="378" spans="18:32" x14ac:dyDescent="0.45">
      <c r="R378" s="10"/>
      <c r="AE378" s="2"/>
      <c r="AF378" s="2"/>
    </row>
    <row r="379" spans="18:32" x14ac:dyDescent="0.45">
      <c r="R379" s="10"/>
      <c r="AE379" s="2"/>
      <c r="AF379" s="2"/>
    </row>
    <row r="380" spans="18:32" x14ac:dyDescent="0.45">
      <c r="R380" s="10"/>
      <c r="AE380" s="2"/>
      <c r="AF380" s="2"/>
    </row>
    <row r="381" spans="18:32" x14ac:dyDescent="0.45">
      <c r="R381" s="10"/>
      <c r="AE381" s="2"/>
      <c r="AF381" s="2"/>
    </row>
    <row r="382" spans="18:32" x14ac:dyDescent="0.45">
      <c r="R382" s="10"/>
      <c r="AE382" s="2"/>
      <c r="AF382" s="2"/>
    </row>
    <row r="383" spans="18:32" x14ac:dyDescent="0.45">
      <c r="R383" s="10"/>
      <c r="AE383" s="2"/>
      <c r="AF383" s="2"/>
    </row>
    <row r="384" spans="18:32" x14ac:dyDescent="0.45">
      <c r="R384" s="10"/>
      <c r="AE384" s="2"/>
      <c r="AF384" s="2"/>
    </row>
    <row r="385" spans="18:32" x14ac:dyDescent="0.45">
      <c r="R385" s="10"/>
      <c r="AE385" s="2"/>
      <c r="AF385" s="2"/>
    </row>
    <row r="386" spans="18:32" x14ac:dyDescent="0.45">
      <c r="R386" s="10"/>
      <c r="AE386" s="2"/>
      <c r="AF386" s="2"/>
    </row>
    <row r="387" spans="18:32" x14ac:dyDescent="0.45">
      <c r="R387" s="10"/>
      <c r="AE387" s="2"/>
      <c r="AF387" s="2"/>
    </row>
    <row r="388" spans="18:32" x14ac:dyDescent="0.45">
      <c r="R388" s="10"/>
      <c r="AE388" s="2"/>
      <c r="AF388" s="2"/>
    </row>
    <row r="389" spans="18:32" x14ac:dyDescent="0.45">
      <c r="R389" s="10"/>
      <c r="AE389" s="2"/>
      <c r="AF389" s="2"/>
    </row>
    <row r="390" spans="18:32" x14ac:dyDescent="0.45">
      <c r="R390" s="10"/>
      <c r="AE390" s="2"/>
      <c r="AF390" s="2"/>
    </row>
    <row r="391" spans="18:32" x14ac:dyDescent="0.45">
      <c r="R391" s="10"/>
      <c r="AE391" s="2"/>
      <c r="AF391" s="2"/>
    </row>
    <row r="392" spans="18:32" x14ac:dyDescent="0.45">
      <c r="R392" s="10"/>
      <c r="AE392" s="2"/>
      <c r="AF392" s="2"/>
    </row>
    <row r="393" spans="18:32" x14ac:dyDescent="0.45">
      <c r="R393" s="10"/>
      <c r="AE393" s="2"/>
      <c r="AF393" s="2"/>
    </row>
    <row r="394" spans="18:32" x14ac:dyDescent="0.45">
      <c r="R394" s="10"/>
      <c r="AE394" s="2"/>
      <c r="AF394" s="2"/>
    </row>
    <row r="395" spans="18:32" x14ac:dyDescent="0.45">
      <c r="R395" s="10"/>
      <c r="AE395" s="2"/>
      <c r="AF395" s="2"/>
    </row>
    <row r="396" spans="18:32" x14ac:dyDescent="0.45">
      <c r="R396" s="10"/>
      <c r="AE396" s="2"/>
      <c r="AF396" s="2"/>
    </row>
    <row r="397" spans="18:32" x14ac:dyDescent="0.45">
      <c r="R397" s="10"/>
      <c r="AE397" s="2"/>
      <c r="AF397" s="2"/>
    </row>
    <row r="398" spans="18:32" x14ac:dyDescent="0.45">
      <c r="R398" s="10"/>
    </row>
    <row r="399" spans="18:32" x14ac:dyDescent="0.45">
      <c r="R399" s="10"/>
    </row>
    <row r="400" spans="18:32" x14ac:dyDescent="0.45">
      <c r="R400" s="10"/>
    </row>
    <row r="401" spans="18:18" x14ac:dyDescent="0.45">
      <c r="R401" s="10"/>
    </row>
    <row r="402" spans="18:18" x14ac:dyDescent="0.45">
      <c r="R402" s="10"/>
    </row>
    <row r="403" spans="18:18" x14ac:dyDescent="0.45">
      <c r="R403" s="10"/>
    </row>
    <row r="404" spans="18:18" x14ac:dyDescent="0.45">
      <c r="R404" s="10"/>
    </row>
    <row r="405" spans="18:18" x14ac:dyDescent="0.45">
      <c r="R405" s="10"/>
    </row>
    <row r="406" spans="18:18" x14ac:dyDescent="0.45">
      <c r="R406" s="10"/>
    </row>
    <row r="407" spans="18:18" x14ac:dyDescent="0.45">
      <c r="R407" s="10"/>
    </row>
    <row r="408" spans="18:18" x14ac:dyDescent="0.45">
      <c r="R408" s="10"/>
    </row>
    <row r="409" spans="18:18" x14ac:dyDescent="0.45">
      <c r="R409" s="10"/>
    </row>
    <row r="410" spans="18:18" x14ac:dyDescent="0.45">
      <c r="R410" s="10"/>
    </row>
    <row r="411" spans="18:18" x14ac:dyDescent="0.45">
      <c r="R411" s="10"/>
    </row>
    <row r="412" spans="18:18" x14ac:dyDescent="0.45">
      <c r="R412" s="10"/>
    </row>
    <row r="413" spans="18:18" x14ac:dyDescent="0.45">
      <c r="R413" s="10"/>
    </row>
    <row r="414" spans="18:18" x14ac:dyDescent="0.45">
      <c r="R414" s="10"/>
    </row>
    <row r="415" spans="18:18" x14ac:dyDescent="0.45">
      <c r="R415" s="10"/>
    </row>
    <row r="416" spans="18:18" x14ac:dyDescent="0.45">
      <c r="R416" s="10"/>
    </row>
    <row r="417" spans="18:18" x14ac:dyDescent="0.45">
      <c r="R417" s="10"/>
    </row>
    <row r="418" spans="18:18" x14ac:dyDescent="0.45">
      <c r="R418" s="10"/>
    </row>
    <row r="419" spans="18:18" x14ac:dyDescent="0.45">
      <c r="R419" s="10"/>
    </row>
    <row r="420" spans="18:18" x14ac:dyDescent="0.45">
      <c r="R420" s="10"/>
    </row>
    <row r="421" spans="18:18" x14ac:dyDescent="0.45">
      <c r="R421" s="10"/>
    </row>
    <row r="422" spans="18:18" x14ac:dyDescent="0.45">
      <c r="R422" s="10"/>
    </row>
    <row r="423" spans="18:18" x14ac:dyDescent="0.45">
      <c r="R423" s="10"/>
    </row>
    <row r="424" spans="18:18" x14ac:dyDescent="0.45">
      <c r="R424" s="10"/>
    </row>
    <row r="425" spans="18:18" x14ac:dyDescent="0.45">
      <c r="R425" s="10"/>
    </row>
    <row r="426" spans="18:18" x14ac:dyDescent="0.45">
      <c r="R426" s="10"/>
    </row>
    <row r="427" spans="18:18" x14ac:dyDescent="0.45">
      <c r="R427" s="10"/>
    </row>
    <row r="428" spans="18:18" x14ac:dyDescent="0.45">
      <c r="R428" s="10"/>
    </row>
    <row r="429" spans="18:18" x14ac:dyDescent="0.45">
      <c r="R429" s="10"/>
    </row>
    <row r="430" spans="18:18" x14ac:dyDescent="0.45">
      <c r="R430" s="10"/>
    </row>
    <row r="431" spans="18:18" x14ac:dyDescent="0.45">
      <c r="R431" s="10"/>
    </row>
    <row r="432" spans="18:18" x14ac:dyDescent="0.45">
      <c r="R432" s="10"/>
    </row>
    <row r="433" spans="18:18" x14ac:dyDescent="0.45">
      <c r="R433" s="10"/>
    </row>
    <row r="434" spans="18:18" x14ac:dyDescent="0.45">
      <c r="R434" s="10"/>
    </row>
    <row r="435" spans="18:18" x14ac:dyDescent="0.45">
      <c r="R435" s="10"/>
    </row>
    <row r="436" spans="18:18" x14ac:dyDescent="0.45">
      <c r="R436" s="10"/>
    </row>
    <row r="437" spans="18:18" x14ac:dyDescent="0.45">
      <c r="R437" s="10"/>
    </row>
    <row r="438" spans="18:18" x14ac:dyDescent="0.45">
      <c r="R438" s="10"/>
    </row>
    <row r="439" spans="18:18" x14ac:dyDescent="0.45">
      <c r="R439" s="10"/>
    </row>
    <row r="440" spans="18:18" x14ac:dyDescent="0.45">
      <c r="R440" s="10"/>
    </row>
    <row r="441" spans="18:18" x14ac:dyDescent="0.45">
      <c r="R441" s="10"/>
    </row>
    <row r="442" spans="18:18" x14ac:dyDescent="0.45">
      <c r="R442" s="10"/>
    </row>
    <row r="443" spans="18:18" x14ac:dyDescent="0.45">
      <c r="R443" s="10"/>
    </row>
    <row r="444" spans="18:18" x14ac:dyDescent="0.45">
      <c r="R444" s="10"/>
    </row>
    <row r="445" spans="18:18" x14ac:dyDescent="0.45">
      <c r="R445" s="10"/>
    </row>
    <row r="446" spans="18:18" x14ac:dyDescent="0.45">
      <c r="R446" s="10"/>
    </row>
    <row r="447" spans="18:18" x14ac:dyDescent="0.45">
      <c r="R447" s="10"/>
    </row>
    <row r="448" spans="18:18" x14ac:dyDescent="0.45">
      <c r="R448" s="10"/>
    </row>
    <row r="449" spans="18:18" x14ac:dyDescent="0.45">
      <c r="R449" s="10"/>
    </row>
    <row r="450" spans="18:18" x14ac:dyDescent="0.45">
      <c r="R450" s="10"/>
    </row>
    <row r="451" spans="18:18" x14ac:dyDescent="0.45">
      <c r="R451" s="10"/>
    </row>
    <row r="452" spans="18:18" x14ac:dyDescent="0.45">
      <c r="R452" s="10"/>
    </row>
    <row r="453" spans="18:18" x14ac:dyDescent="0.45">
      <c r="R453" s="10"/>
    </row>
    <row r="454" spans="18:18" x14ac:dyDescent="0.45">
      <c r="R454" s="10"/>
    </row>
    <row r="455" spans="18:18" x14ac:dyDescent="0.45">
      <c r="R455" s="10"/>
    </row>
    <row r="456" spans="18:18" x14ac:dyDescent="0.45">
      <c r="R456" s="10"/>
    </row>
    <row r="457" spans="18:18" x14ac:dyDescent="0.45">
      <c r="R457" s="10"/>
    </row>
    <row r="458" spans="18:18" x14ac:dyDescent="0.45">
      <c r="R458" s="10"/>
    </row>
    <row r="459" spans="18:18" x14ac:dyDescent="0.45">
      <c r="R459" s="10"/>
    </row>
    <row r="460" spans="18:18" x14ac:dyDescent="0.45">
      <c r="R460" s="10"/>
    </row>
    <row r="461" spans="18:18" x14ac:dyDescent="0.45">
      <c r="R461" s="10"/>
    </row>
  </sheetData>
  <mergeCells count="4">
    <mergeCell ref="A1:D1"/>
    <mergeCell ref="R1:Y1"/>
    <mergeCell ref="F1:I1"/>
    <mergeCell ref="K1:O1"/>
  </mergeCells>
  <phoneticPr fontId="7"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Metadata</vt:lpstr>
      <vt:lpstr>Indices</vt:lpstr>
      <vt:lpstr>Relationships</vt:lpstr>
      <vt:lpstr>Types</vt:lpstr>
      <vt:lpstr>RangeValues</vt:lpstr>
      <vt:lpstr>PostConditions</vt:lpstr>
      <vt:lpstr>Metadata old</vt:lpstr>
      <vt:lpstr>Workdays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2024-02-27T16:44:29Z</dcterms:modified>
</cp:coreProperties>
</file>