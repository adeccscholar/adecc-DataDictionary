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4EEE46DF-CDB4-4F1D-9DE4-376E0B1F939B}" xr6:coauthVersionLast="47" xr6:coauthVersionMax="47" xr10:uidLastSave="{00000000-0000-0000-0000-000000000000}"/>
  <bookViews>
    <workbookView xWindow="-98" yWindow="-98" windowWidth="28996" windowHeight="15675" activeTab="3"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81" i="8" l="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5" i="8"/>
  <c r="L6" i="8"/>
  <c r="L7" i="8"/>
  <c r="L8" i="8"/>
  <c r="L9" i="8"/>
  <c r="L10" i="8"/>
  <c r="L11" i="8"/>
  <c r="L12" i="8"/>
  <c r="L13" i="8"/>
  <c r="L14" i="8"/>
  <c r="L15" i="8"/>
  <c r="L16" i="8"/>
  <c r="L17" i="8"/>
  <c r="L18" i="8"/>
  <c r="L19" i="8"/>
  <c r="L20" i="8"/>
  <c r="L21" i="8"/>
  <c r="L22" i="8"/>
  <c r="L23" i="8"/>
  <c r="L24" i="8"/>
  <c r="L25" i="8"/>
  <c r="L26" i="8"/>
  <c r="L27" i="8"/>
  <c r="L28" i="8"/>
  <c r="L29" i="8"/>
  <c r="L4" i="8"/>
  <c r="AG239" i="8" a="1"/>
  <c r="AG247" i="8" a="1"/>
  <c r="AG255" i="8" a="1"/>
  <c r="AG263" i="8" a="1"/>
  <c r="AG271" i="8" a="1"/>
  <c r="AG279" i="8" a="1"/>
  <c r="AG287" i="8" a="1"/>
  <c r="AG295" i="8" a="1"/>
  <c r="AG303" i="8" a="1"/>
  <c r="AG311" i="8" a="1"/>
  <c r="AG319" i="8" a="1"/>
  <c r="AG327" i="8" a="1"/>
  <c r="AG335" i="8" a="1"/>
  <c r="AG343" i="8" a="1"/>
  <c r="AG351" i="8" a="1"/>
  <c r="AG359" i="8" a="1"/>
  <c r="AG367" i="8" a="1"/>
  <c r="AG375" i="8" a="1"/>
  <c r="AG383" i="8" a="1"/>
  <c r="AG391" i="8" a="1"/>
  <c r="AG399" i="8" a="1"/>
  <c r="AG407" i="8" a="1"/>
  <c r="AG415" i="8" a="1"/>
  <c r="AG423" i="8" a="1"/>
  <c r="AG431" i="8" a="1"/>
  <c r="AG388" i="8" a="1"/>
  <c r="AG301" i="8" a="1"/>
  <c r="AG405" i="8" a="1"/>
  <c r="AG254" i="8" a="1"/>
  <c r="AG422" i="8" a="1"/>
  <c r="AG404" i="8" a="1"/>
  <c r="AG309" i="8" a="1"/>
  <c r="AG381" i="8" a="1"/>
  <c r="AG286" i="8" a="1"/>
  <c r="AG350" i="8" a="1"/>
  <c r="AG240" i="8" a="1"/>
  <c r="AG248" i="8" a="1"/>
  <c r="AG256" i="8" a="1"/>
  <c r="AG264" i="8" a="1"/>
  <c r="AG272" i="8" a="1"/>
  <c r="AG280" i="8" a="1"/>
  <c r="AG288" i="8" a="1"/>
  <c r="AG296" i="8" a="1"/>
  <c r="AG304" i="8" a="1"/>
  <c r="AG312" i="8" a="1"/>
  <c r="AG320" i="8" a="1"/>
  <c r="AG328" i="8" a="1"/>
  <c r="AG336" i="8" a="1"/>
  <c r="AG344" i="8" a="1"/>
  <c r="AG352" i="8" a="1"/>
  <c r="AG360" i="8" a="1"/>
  <c r="AG368" i="8" a="1"/>
  <c r="AG376" i="8" a="1"/>
  <c r="AG384" i="8" a="1"/>
  <c r="AG392" i="8" a="1"/>
  <c r="AG400" i="8" a="1"/>
  <c r="AG408" i="8" a="1"/>
  <c r="AG416" i="8" a="1"/>
  <c r="AG424" i="8" a="1"/>
  <c r="AG432" i="8" a="1"/>
  <c r="AG428" i="8" a="1"/>
  <c r="AG269" i="8" a="1"/>
  <c r="AG333" i="8" a="1"/>
  <c r="AG365" i="8" a="1"/>
  <c r="AG310" i="8" a="1"/>
  <c r="AG382" i="8" a="1"/>
  <c r="AG348" i="8" a="1"/>
  <c r="AG285" i="8" a="1"/>
  <c r="AG397" i="8" a="1"/>
  <c r="AG246" i="8" a="1"/>
  <c r="AG241" i="8" a="1"/>
  <c r="AG249" i="8" a="1"/>
  <c r="AG257" i="8" a="1"/>
  <c r="AG265" i="8" a="1"/>
  <c r="AG273" i="8" a="1"/>
  <c r="AG281" i="8" a="1"/>
  <c r="AG289" i="8" a="1"/>
  <c r="AG297" i="8" a="1"/>
  <c r="AG305" i="8" a="1"/>
  <c r="AG313" i="8" a="1"/>
  <c r="AG321" i="8" a="1"/>
  <c r="AG329" i="8" a="1"/>
  <c r="AG337" i="8" a="1"/>
  <c r="AG345" i="8" a="1"/>
  <c r="AG353" i="8" a="1"/>
  <c r="AG361" i="8" a="1"/>
  <c r="AG369" i="8" a="1"/>
  <c r="AG377" i="8" a="1"/>
  <c r="AG385" i="8" a="1"/>
  <c r="AG393" i="8" a="1"/>
  <c r="AG401" i="8" a="1"/>
  <c r="AG409" i="8" a="1"/>
  <c r="AG417" i="8" a="1"/>
  <c r="AG425" i="8" a="1"/>
  <c r="AG433" i="8" a="1"/>
  <c r="AG380" i="8" a="1"/>
  <c r="AG293" i="8" a="1"/>
  <c r="AG413" i="8" a="1"/>
  <c r="AG270" i="8" a="1"/>
  <c r="AG414" i="8" a="1"/>
  <c r="AG412" i="8" a="1"/>
  <c r="AG326" i="8" a="1"/>
  <c r="AG430" i="8" a="1"/>
  <c r="AG242" i="8" a="1"/>
  <c r="AG250" i="8" a="1"/>
  <c r="AG258" i="8" a="1"/>
  <c r="AG266" i="8" a="1"/>
  <c r="AG274" i="8" a="1"/>
  <c r="AG282" i="8" a="1"/>
  <c r="AG290" i="8" a="1"/>
  <c r="AG298" i="8" a="1"/>
  <c r="AG306" i="8" a="1"/>
  <c r="AG314" i="8" a="1"/>
  <c r="AG322" i="8" a="1"/>
  <c r="AG330" i="8" a="1"/>
  <c r="AG338" i="8" a="1"/>
  <c r="AG346" i="8" a="1"/>
  <c r="AG354" i="8" a="1"/>
  <c r="AG362" i="8" a="1"/>
  <c r="AG370" i="8" a="1"/>
  <c r="AG378" i="8" a="1"/>
  <c r="AG386" i="8" a="1"/>
  <c r="AG394" i="8" a="1"/>
  <c r="AG402" i="8" a="1"/>
  <c r="AG410" i="8" a="1"/>
  <c r="AG418" i="8" a="1"/>
  <c r="AG426" i="8" a="1"/>
  <c r="AG434" i="8" a="1"/>
  <c r="AG396" i="8" a="1"/>
  <c r="AG317" i="8" a="1"/>
  <c r="AG421" i="8" a="1"/>
  <c r="AG302" i="8" a="1"/>
  <c r="AG374" i="8" a="1"/>
  <c r="AG332" i="8" a="1"/>
  <c r="AG342" i="8" a="1"/>
  <c r="AG243" i="8" a="1"/>
  <c r="AG251" i="8" a="1"/>
  <c r="AG259" i="8" a="1"/>
  <c r="AG267" i="8" a="1"/>
  <c r="AG275" i="8" a="1"/>
  <c r="AG283" i="8" a="1"/>
  <c r="AG291" i="8" a="1"/>
  <c r="AG299" i="8" a="1"/>
  <c r="AG307" i="8" a="1"/>
  <c r="AG315" i="8" a="1"/>
  <c r="AG323" i="8" a="1"/>
  <c r="AG331" i="8" a="1"/>
  <c r="AG339" i="8" a="1"/>
  <c r="AG347" i="8" a="1"/>
  <c r="AG355" i="8" a="1"/>
  <c r="AG363" i="8" a="1"/>
  <c r="AG371" i="8" a="1"/>
  <c r="AG379" i="8" a="1"/>
  <c r="AG387" i="8" a="1"/>
  <c r="AG395" i="8" a="1"/>
  <c r="AG403" i="8" a="1"/>
  <c r="AG411" i="8" a="1"/>
  <c r="AG419" i="8" a="1"/>
  <c r="AG427" i="8" a="1"/>
  <c r="AG324" i="8" a="1"/>
  <c r="AG277" i="8" a="1"/>
  <c r="AG389" i="8" a="1"/>
  <c r="AG262" i="8" a="1"/>
  <c r="AG358" i="8" a="1"/>
  <c r="AG364" i="8" a="1"/>
  <c r="AG373" i="8" a="1"/>
  <c r="AG278" i="8" a="1"/>
  <c r="AG406" i="8" a="1"/>
  <c r="AG244" i="8" a="1"/>
  <c r="AG252" i="8" a="1"/>
  <c r="AG260" i="8" a="1"/>
  <c r="AG268" i="8" a="1"/>
  <c r="AG276" i="8" a="1"/>
  <c r="AG284" i="8" a="1"/>
  <c r="AG292" i="8" a="1"/>
  <c r="AG300" i="8" a="1"/>
  <c r="AG308" i="8" a="1"/>
  <c r="AG316" i="8" a="1"/>
  <c r="AG340" i="8" a="1"/>
  <c r="AG356" i="8" a="1"/>
  <c r="AG372" i="8" a="1"/>
  <c r="AG420" i="8" a="1"/>
  <c r="AG261" i="8" a="1"/>
  <c r="AG341" i="8" a="1"/>
  <c r="AG429" i="8" a="1"/>
  <c r="AG318" i="8" a="1"/>
  <c r="AG366" i="8" a="1"/>
  <c r="AG245" i="8" a="1"/>
  <c r="AG325" i="8" a="1"/>
  <c r="AG357" i="8" a="1"/>
  <c r="AG294" i="8" a="1"/>
  <c r="AG390" i="8" a="1"/>
  <c r="AG253" i="8" a="1"/>
  <c r="AG349" i="8" a="1"/>
  <c r="AG334" i="8" a="1"/>
  <c r="AG398" i="8" a="1"/>
  <c r="AG5" i="8" a="1"/>
  <c r="AG13" i="8" a="1"/>
  <c r="AG21" i="8" a="1"/>
  <c r="AG29" i="8" a="1"/>
  <c r="AG37" i="8" a="1"/>
  <c r="AG45" i="8" a="1"/>
  <c r="AG53" i="8" a="1"/>
  <c r="AG61" i="8" a="1"/>
  <c r="AG69" i="8" a="1"/>
  <c r="AG77" i="8" a="1"/>
  <c r="AG85" i="8" a="1"/>
  <c r="AG93" i="8" a="1"/>
  <c r="AG101" i="8" a="1"/>
  <c r="AG109" i="8" a="1"/>
  <c r="AG117" i="8" a="1"/>
  <c r="AG125" i="8" a="1"/>
  <c r="AG133" i="8" a="1"/>
  <c r="AG141" i="8" a="1"/>
  <c r="AG149" i="8" a="1"/>
  <c r="AG157" i="8" a="1"/>
  <c r="AG165" i="8" a="1"/>
  <c r="AG173" i="8" a="1"/>
  <c r="AG181" i="8" a="1"/>
  <c r="AG189" i="8" a="1"/>
  <c r="AG197" i="8" a="1"/>
  <c r="AG205" i="8" a="1"/>
  <c r="AG213" i="8" a="1"/>
  <c r="AG221" i="8" a="1"/>
  <c r="AG229" i="8" a="1"/>
  <c r="AG237" i="8" a="1"/>
  <c r="AG217" i="8" a="1"/>
  <c r="AG202" i="8" a="1"/>
  <c r="AG131" i="8" a="1"/>
  <c r="AG187" i="8" a="1"/>
  <c r="AG68" i="8" a="1"/>
  <c r="AG164" i="8" a="1"/>
  <c r="AG230" i="8" a="1"/>
  <c r="AG209" i="8" a="1"/>
  <c r="AG91" i="8" a="1"/>
  <c r="AG235" i="8" a="1"/>
  <c r="AG92" i="8" a="1"/>
  <c r="AG116" i="8" a="1"/>
  <c r="AG220" i="8" a="1"/>
  <c r="AG6" i="8" a="1"/>
  <c r="AG14" i="8" a="1"/>
  <c r="AG22" i="8" a="1"/>
  <c r="AG30" i="8" a="1"/>
  <c r="AG38" i="8" a="1"/>
  <c r="AG46" i="8" a="1"/>
  <c r="AG54" i="8" a="1"/>
  <c r="AG62" i="8" a="1"/>
  <c r="AG70" i="8" a="1"/>
  <c r="AG78" i="8" a="1"/>
  <c r="AG86" i="8" a="1"/>
  <c r="AG94" i="8" a="1"/>
  <c r="AG102" i="8" a="1"/>
  <c r="AG110" i="8" a="1"/>
  <c r="AG118" i="8" a="1"/>
  <c r="AG126" i="8" a="1"/>
  <c r="AG134" i="8" a="1"/>
  <c r="AG142" i="8" a="1"/>
  <c r="AG150" i="8" a="1"/>
  <c r="AG158" i="8" a="1"/>
  <c r="AG166" i="8" a="1"/>
  <c r="AG174" i="8" a="1"/>
  <c r="AG182" i="8" a="1"/>
  <c r="AG190" i="8" a="1"/>
  <c r="AG198" i="8" a="1"/>
  <c r="AG206" i="8" a="1"/>
  <c r="AG214" i="8" a="1"/>
  <c r="AG222" i="8" a="1"/>
  <c r="AG238" i="8" a="1"/>
  <c r="AG193" i="8" a="1"/>
  <c r="AG210" i="8" a="1"/>
  <c r="AG75" i="8" a="1"/>
  <c r="AG211" i="8" a="1"/>
  <c r="AG36" i="8" a="1"/>
  <c r="AG196" i="8" a="1"/>
  <c r="AG224" i="8" a="1"/>
  <c r="AG233" i="8" a="1"/>
  <c r="AG83" i="8" a="1"/>
  <c r="AG20" i="8" a="1"/>
  <c r="AG204" i="8" a="1"/>
  <c r="AG7" i="8" a="1"/>
  <c r="AG15" i="8" a="1"/>
  <c r="AG23" i="8" a="1"/>
  <c r="AG31" i="8" a="1"/>
  <c r="AG39" i="8" a="1"/>
  <c r="AG47" i="8" a="1"/>
  <c r="AG55" i="8" a="1"/>
  <c r="AG63" i="8" a="1"/>
  <c r="AG71" i="8" a="1"/>
  <c r="AG79" i="8" a="1"/>
  <c r="AG87" i="8" a="1"/>
  <c r="AG95" i="8" a="1"/>
  <c r="AG103" i="8" a="1"/>
  <c r="AG111" i="8" a="1"/>
  <c r="AG119" i="8" a="1"/>
  <c r="AG127" i="8" a="1"/>
  <c r="AG135" i="8" a="1"/>
  <c r="AG143" i="8" a="1"/>
  <c r="AG151" i="8" a="1"/>
  <c r="AG159" i="8" a="1"/>
  <c r="AG167" i="8" a="1"/>
  <c r="AG175" i="8" a="1"/>
  <c r="AG183" i="8" a="1"/>
  <c r="AG191" i="8" a="1"/>
  <c r="AG199" i="8" a="1"/>
  <c r="AG207" i="8" a="1"/>
  <c r="AG215" i="8" a="1"/>
  <c r="AG223" i="8" a="1"/>
  <c r="AG231" i="8" a="1"/>
  <c r="AG232" i="8" a="1"/>
  <c r="AG201" i="8" a="1"/>
  <c r="AG99" i="8" a="1"/>
  <c r="AG227" i="8" a="1"/>
  <c r="AG84" i="8" a="1"/>
  <c r="AG140" i="8" a="1"/>
  <c r="AG236" i="8" a="1"/>
  <c r="AG208" i="8" a="1"/>
  <c r="AG218" i="8" a="1"/>
  <c r="AG107" i="8" a="1"/>
  <c r="AG108" i="8" a="1"/>
  <c r="AG148" i="8" a="1"/>
  <c r="AG8" i="8" a="1"/>
  <c r="AG16" i="8" a="1"/>
  <c r="AG24" i="8" a="1"/>
  <c r="AG32" i="8" a="1"/>
  <c r="AG40" i="8" a="1"/>
  <c r="AG48" i="8" a="1"/>
  <c r="AG56" i="8" a="1"/>
  <c r="AG64" i="8" a="1"/>
  <c r="AG72" i="8" a="1"/>
  <c r="AG80" i="8" a="1"/>
  <c r="AG88" i="8" a="1"/>
  <c r="AG96" i="8" a="1"/>
  <c r="AG104" i="8" a="1"/>
  <c r="AG112" i="8" a="1"/>
  <c r="AG120" i="8" a="1"/>
  <c r="AG128" i="8" a="1"/>
  <c r="AG136" i="8" a="1"/>
  <c r="AG144" i="8" a="1"/>
  <c r="AG152" i="8" a="1"/>
  <c r="AG160" i="8" a="1"/>
  <c r="AG168" i="8" a="1"/>
  <c r="AG176" i="8" a="1"/>
  <c r="AG184" i="8" a="1"/>
  <c r="AG192" i="8" a="1"/>
  <c r="AG200" i="8" a="1"/>
  <c r="AG216" i="8" a="1"/>
  <c r="AG185" i="8" a="1"/>
  <c r="AG234" i="8" a="1"/>
  <c r="AG139" i="8" a="1"/>
  <c r="AG171" i="8" a="1"/>
  <c r="AG219" i="8" a="1"/>
  <c r="AG44" i="8" a="1"/>
  <c r="AG212" i="8" a="1"/>
  <c r="AG163" i="8" a="1"/>
  <c r="AG100" i="8" a="1"/>
  <c r="AG132" i="8" a="1"/>
  <c r="AG228" i="8" a="1"/>
  <c r="AG9" i="8" a="1"/>
  <c r="AG17" i="8" a="1"/>
  <c r="AG25" i="8" a="1"/>
  <c r="AG33" i="8" a="1"/>
  <c r="AG41" i="8" a="1"/>
  <c r="AG49" i="8" a="1"/>
  <c r="AG57" i="8" a="1"/>
  <c r="AG65" i="8" a="1"/>
  <c r="AG73" i="8" a="1"/>
  <c r="AG81" i="8" a="1"/>
  <c r="AG89" i="8" a="1"/>
  <c r="AG97" i="8" a="1"/>
  <c r="AG105" i="8" a="1"/>
  <c r="AG113" i="8" a="1"/>
  <c r="AG121" i="8" a="1"/>
  <c r="AG129" i="8" a="1"/>
  <c r="AG137" i="8" a="1"/>
  <c r="AG145" i="8" a="1"/>
  <c r="AG153" i="8" a="1"/>
  <c r="AG161" i="8" a="1"/>
  <c r="AG169" i="8" a="1"/>
  <c r="AG177" i="8" a="1"/>
  <c r="AG225" i="8" a="1"/>
  <c r="AG115" i="8" a="1"/>
  <c r="AG179" i="8" a="1"/>
  <c r="AG52" i="8" a="1"/>
  <c r="AG188" i="8" a="1"/>
  <c r="AG147" i="8" a="1"/>
  <c r="AG195" i="8" a="1"/>
  <c r="AG76" i="8" a="1"/>
  <c r="AG156" i="8" a="1"/>
  <c r="AG10" i="8" a="1"/>
  <c r="AG18" i="8" a="1"/>
  <c r="AG26" i="8" a="1"/>
  <c r="AG34" i="8" a="1"/>
  <c r="AG42" i="8" a="1"/>
  <c r="AG50" i="8" a="1"/>
  <c r="AG58" i="8" a="1"/>
  <c r="AG66" i="8" a="1"/>
  <c r="AG74" i="8" a="1"/>
  <c r="AG82" i="8" a="1"/>
  <c r="AG90" i="8" a="1"/>
  <c r="AG98" i="8" a="1"/>
  <c r="AG106" i="8" a="1"/>
  <c r="AG114" i="8" a="1"/>
  <c r="AG122" i="8" a="1"/>
  <c r="AG130" i="8" a="1"/>
  <c r="AG138" i="8" a="1"/>
  <c r="AG146" i="8" a="1"/>
  <c r="AG154" i="8" a="1"/>
  <c r="AG162" i="8" a="1"/>
  <c r="AG170" i="8" a="1"/>
  <c r="AG178" i="8" a="1"/>
  <c r="AG186" i="8" a="1"/>
  <c r="AG194" i="8" a="1"/>
  <c r="AG226" i="8" a="1"/>
  <c r="AG67" i="8" a="1"/>
  <c r="AG203" i="8" a="1"/>
  <c r="AG60" i="8" a="1"/>
  <c r="AG172" i="8" a="1"/>
  <c r="AG155" i="8" a="1"/>
  <c r="AG12" i="8" a="1"/>
  <c r="AG11" i="8" a="1"/>
  <c r="AG19" i="8" a="1"/>
  <c r="AG27" i="8" a="1"/>
  <c r="AG35" i="8" a="1"/>
  <c r="AG43" i="8" a="1"/>
  <c r="AG51" i="8" a="1"/>
  <c r="AG59" i="8" a="1"/>
  <c r="AG123" i="8" a="1"/>
  <c r="AG28" i="8" a="1"/>
  <c r="AG180" i="8" a="1"/>
  <c r="AG124" i="8" a="1"/>
  <c r="AG398" i="8" l="1"/>
  <c r="AG334" i="8"/>
  <c r="AG349" i="8"/>
  <c r="AG253" i="8"/>
  <c r="AG390" i="8"/>
  <c r="AG294" i="8"/>
  <c r="AG357" i="8"/>
  <c r="AG325" i="8"/>
  <c r="AG245" i="8"/>
  <c r="AG366" i="8"/>
  <c r="AG318" i="8"/>
  <c r="AG429" i="8"/>
  <c r="AG341" i="8"/>
  <c r="AG261" i="8"/>
  <c r="AG420" i="8"/>
  <c r="AG372" i="8"/>
  <c r="AG356" i="8"/>
  <c r="AG340" i="8"/>
  <c r="AG316" i="8"/>
  <c r="AG308" i="8"/>
  <c r="AG300" i="8"/>
  <c r="AG292" i="8"/>
  <c r="AG284" i="8"/>
  <c r="AG276" i="8"/>
  <c r="AG268" i="8"/>
  <c r="AG260" i="8"/>
  <c r="AG252" i="8"/>
  <c r="AG244" i="8"/>
  <c r="AG406" i="8"/>
  <c r="AG278" i="8"/>
  <c r="AG373" i="8"/>
  <c r="AG364" i="8"/>
  <c r="AG358" i="8"/>
  <c r="AG262" i="8"/>
  <c r="AG389" i="8"/>
  <c r="AG277" i="8"/>
  <c r="AG324" i="8"/>
  <c r="AG427" i="8"/>
  <c r="AG419" i="8"/>
  <c r="AG411" i="8"/>
  <c r="AG403" i="8"/>
  <c r="AG395" i="8"/>
  <c r="AG387" i="8"/>
  <c r="AG379" i="8"/>
  <c r="AG371" i="8"/>
  <c r="AG363" i="8"/>
  <c r="AG355" i="8"/>
  <c r="AG347" i="8"/>
  <c r="AG339" i="8"/>
  <c r="AG331" i="8"/>
  <c r="AG323" i="8"/>
  <c r="AG315" i="8"/>
  <c r="AG307" i="8"/>
  <c r="AG299" i="8"/>
  <c r="AG291" i="8"/>
  <c r="AG283" i="8"/>
  <c r="AG275" i="8"/>
  <c r="AG267" i="8"/>
  <c r="AG259" i="8"/>
  <c r="AG251" i="8"/>
  <c r="AG243" i="8"/>
  <c r="AG342" i="8"/>
  <c r="AG332" i="8"/>
  <c r="AG374" i="8"/>
  <c r="AG302" i="8"/>
  <c r="AG421" i="8"/>
  <c r="AG317" i="8"/>
  <c r="AG396" i="8"/>
  <c r="AG434" i="8"/>
  <c r="AG426" i="8"/>
  <c r="AG418" i="8"/>
  <c r="AG410" i="8"/>
  <c r="AG402" i="8"/>
  <c r="AG394" i="8"/>
  <c r="AG386" i="8"/>
  <c r="AG378" i="8"/>
  <c r="AG370" i="8"/>
  <c r="AG362" i="8"/>
  <c r="AG354" i="8"/>
  <c r="AG346" i="8"/>
  <c r="AG338" i="8"/>
  <c r="AG330" i="8"/>
  <c r="AG322" i="8"/>
  <c r="AG314" i="8"/>
  <c r="AG306" i="8"/>
  <c r="AG298" i="8"/>
  <c r="AG290" i="8"/>
  <c r="AG282" i="8"/>
  <c r="AG274" i="8"/>
  <c r="AG266" i="8"/>
  <c r="AG258" i="8"/>
  <c r="AG250" i="8"/>
  <c r="AG242" i="8"/>
  <c r="AG430" i="8"/>
  <c r="AG326" i="8"/>
  <c r="AG412" i="8"/>
  <c r="AG414" i="8"/>
  <c r="AG270" i="8"/>
  <c r="AG413" i="8"/>
  <c r="AG293" i="8"/>
  <c r="AG380" i="8"/>
  <c r="AG433" i="8"/>
  <c r="AG425" i="8"/>
  <c r="AG417" i="8"/>
  <c r="AG409" i="8"/>
  <c r="AG401" i="8"/>
  <c r="AG393" i="8"/>
  <c r="AG385" i="8"/>
  <c r="AG377" i="8"/>
  <c r="AG369" i="8"/>
  <c r="AG361" i="8"/>
  <c r="AG353" i="8"/>
  <c r="AG345" i="8"/>
  <c r="AG337" i="8"/>
  <c r="AG329" i="8"/>
  <c r="AG321" i="8"/>
  <c r="AG313" i="8"/>
  <c r="AG305" i="8"/>
  <c r="AG297" i="8"/>
  <c r="AG289" i="8"/>
  <c r="AG281" i="8"/>
  <c r="AG273" i="8"/>
  <c r="AG265" i="8"/>
  <c r="AG257" i="8"/>
  <c r="AG249" i="8"/>
  <c r="AG241" i="8"/>
  <c r="AG246" i="8"/>
  <c r="AG397" i="8"/>
  <c r="AG285" i="8"/>
  <c r="AG348" i="8"/>
  <c r="AG382" i="8"/>
  <c r="AG310" i="8"/>
  <c r="AG365" i="8"/>
  <c r="AG333" i="8"/>
  <c r="AG269" i="8"/>
  <c r="AG428" i="8"/>
  <c r="AG432" i="8"/>
  <c r="AG424" i="8"/>
  <c r="AG416" i="8"/>
  <c r="AG408" i="8"/>
  <c r="AG400" i="8"/>
  <c r="AG392" i="8"/>
  <c r="AG384" i="8"/>
  <c r="AG376" i="8"/>
  <c r="AG368" i="8"/>
  <c r="AG360" i="8"/>
  <c r="AG352" i="8"/>
  <c r="AG344" i="8"/>
  <c r="AG336" i="8"/>
  <c r="AG328" i="8"/>
  <c r="AG320" i="8"/>
  <c r="AG312" i="8"/>
  <c r="AG304" i="8"/>
  <c r="AG296" i="8"/>
  <c r="AG288" i="8"/>
  <c r="AG280" i="8"/>
  <c r="AG272" i="8"/>
  <c r="AG264" i="8"/>
  <c r="AG256" i="8"/>
  <c r="AG248" i="8"/>
  <c r="AG240" i="8"/>
  <c r="AG350" i="8"/>
  <c r="AG286" i="8"/>
  <c r="AG381" i="8"/>
  <c r="AG309" i="8"/>
  <c r="AG404" i="8"/>
  <c r="AG422" i="8"/>
  <c r="AG254" i="8"/>
  <c r="AG405" i="8"/>
  <c r="AG301" i="8"/>
  <c r="AG388" i="8"/>
  <c r="AG431" i="8"/>
  <c r="AG423" i="8"/>
  <c r="AG415" i="8"/>
  <c r="AG407" i="8"/>
  <c r="AG399" i="8"/>
  <c r="AG391" i="8"/>
  <c r="AG383" i="8"/>
  <c r="AG375" i="8"/>
  <c r="AG367" i="8"/>
  <c r="AG359" i="8"/>
  <c r="AG351" i="8"/>
  <c r="AG343" i="8"/>
  <c r="AG335" i="8"/>
  <c r="AG327" i="8"/>
  <c r="AG319" i="8"/>
  <c r="AG311" i="8"/>
  <c r="AG303" i="8"/>
  <c r="AG295" i="8"/>
  <c r="AG287" i="8"/>
  <c r="AG279" i="8"/>
  <c r="AG271" i="8"/>
  <c r="AG263" i="8"/>
  <c r="AG255" i="8"/>
  <c r="AG247" i="8"/>
  <c r="AG239" i="8"/>
  <c r="AG124" i="8"/>
  <c r="AG180" i="8"/>
  <c r="AG28" i="8"/>
  <c r="AG123" i="8"/>
  <c r="AG59" i="8"/>
  <c r="AG51" i="8"/>
  <c r="AG43" i="8"/>
  <c r="AG35" i="8"/>
  <c r="AG27" i="8"/>
  <c r="AG19" i="8"/>
  <c r="AG11" i="8"/>
  <c r="AG12" i="8"/>
  <c r="AG155" i="8"/>
  <c r="AG172" i="8"/>
  <c r="AG60" i="8"/>
  <c r="AG203" i="8"/>
  <c r="AG67" i="8"/>
  <c r="AG226" i="8"/>
  <c r="AG194" i="8"/>
  <c r="AG186" i="8"/>
  <c r="AG178" i="8"/>
  <c r="AG170" i="8"/>
  <c r="AG162" i="8"/>
  <c r="AG154" i="8"/>
  <c r="AG146" i="8"/>
  <c r="AG138" i="8"/>
  <c r="AG130" i="8"/>
  <c r="AG122" i="8"/>
  <c r="AG114" i="8"/>
  <c r="AG106" i="8"/>
  <c r="AG98" i="8"/>
  <c r="AG90" i="8"/>
  <c r="AG82" i="8"/>
  <c r="AG74" i="8"/>
  <c r="AG66" i="8"/>
  <c r="AG58" i="8"/>
  <c r="AG50" i="8"/>
  <c r="AG42" i="8"/>
  <c r="AG34" i="8"/>
  <c r="AG26" i="8"/>
  <c r="AG18" i="8"/>
  <c r="AG10" i="8"/>
  <c r="AG156" i="8"/>
  <c r="AG76" i="8"/>
  <c r="AG195" i="8"/>
  <c r="AG147" i="8"/>
  <c r="AG188" i="8"/>
  <c r="AG52" i="8"/>
  <c r="AG179" i="8"/>
  <c r="AG115" i="8"/>
  <c r="AG225" i="8"/>
  <c r="AG177" i="8"/>
  <c r="AG169" i="8"/>
  <c r="AG161" i="8"/>
  <c r="AG153" i="8"/>
  <c r="AG145" i="8"/>
  <c r="AG137" i="8"/>
  <c r="AG129" i="8"/>
  <c r="AG121" i="8"/>
  <c r="AG113" i="8"/>
  <c r="AG105" i="8"/>
  <c r="AG97" i="8"/>
  <c r="AG89" i="8"/>
  <c r="AG81" i="8"/>
  <c r="AG73" i="8"/>
  <c r="AG65" i="8"/>
  <c r="AG57" i="8"/>
  <c r="AG49" i="8"/>
  <c r="AG41" i="8"/>
  <c r="AG33" i="8"/>
  <c r="AG25" i="8"/>
  <c r="AG17" i="8"/>
  <c r="AG9" i="8"/>
  <c r="AG228" i="8"/>
  <c r="AG132" i="8"/>
  <c r="AG100" i="8"/>
  <c r="AG163" i="8"/>
  <c r="AG212" i="8"/>
  <c r="AG44" i="8"/>
  <c r="AG219" i="8"/>
  <c r="AG171" i="8"/>
  <c r="AG139" i="8"/>
  <c r="AG234" i="8"/>
  <c r="AG185" i="8"/>
  <c r="AG216" i="8"/>
  <c r="AG200" i="8"/>
  <c r="AG192" i="8"/>
  <c r="AG184" i="8"/>
  <c r="AG176" i="8"/>
  <c r="AG168" i="8"/>
  <c r="AG160" i="8"/>
  <c r="AG152" i="8"/>
  <c r="AG144" i="8"/>
  <c r="AG136" i="8"/>
  <c r="AG128" i="8"/>
  <c r="AG120" i="8"/>
  <c r="AG112" i="8"/>
  <c r="AG104" i="8"/>
  <c r="AG96" i="8"/>
  <c r="AG88" i="8"/>
  <c r="AG80" i="8"/>
  <c r="AG72" i="8"/>
  <c r="AG64" i="8"/>
  <c r="AG56" i="8"/>
  <c r="AG48" i="8"/>
  <c r="AG40" i="8"/>
  <c r="AG32" i="8"/>
  <c r="AG24" i="8"/>
  <c r="AG16" i="8"/>
  <c r="AG8" i="8"/>
  <c r="AG148" i="8"/>
  <c r="AG108" i="8"/>
  <c r="AG107" i="8"/>
  <c r="AG218" i="8"/>
  <c r="AG208" i="8"/>
  <c r="AG236" i="8"/>
  <c r="AG140" i="8"/>
  <c r="AG84" i="8"/>
  <c r="AG227" i="8"/>
  <c r="AG99" i="8"/>
  <c r="AG201" i="8"/>
  <c r="AG232" i="8"/>
  <c r="AG231" i="8"/>
  <c r="AG223" i="8"/>
  <c r="AG215" i="8"/>
  <c r="AG207" i="8"/>
  <c r="AG199" i="8"/>
  <c r="AG191" i="8"/>
  <c r="AG183" i="8"/>
  <c r="AG175" i="8"/>
  <c r="AG167" i="8"/>
  <c r="AG159" i="8"/>
  <c r="AG151" i="8"/>
  <c r="AG143" i="8"/>
  <c r="AG135" i="8"/>
  <c r="AG127" i="8"/>
  <c r="AG119" i="8"/>
  <c r="AG111" i="8"/>
  <c r="AG103" i="8"/>
  <c r="AG95" i="8"/>
  <c r="AG87" i="8"/>
  <c r="AG79" i="8"/>
  <c r="AG71" i="8"/>
  <c r="AG63" i="8"/>
  <c r="AG55" i="8"/>
  <c r="AG47" i="8"/>
  <c r="AG39" i="8"/>
  <c r="AG31" i="8"/>
  <c r="AG23" i="8"/>
  <c r="AG15" i="8"/>
  <c r="AG7" i="8"/>
  <c r="AG204" i="8"/>
  <c r="AG20" i="8"/>
  <c r="AG83" i="8"/>
  <c r="AG233" i="8"/>
  <c r="AG224" i="8"/>
  <c r="AG196" i="8"/>
  <c r="AG36" i="8"/>
  <c r="AG211" i="8"/>
  <c r="AG75" i="8"/>
  <c r="AG210" i="8"/>
  <c r="AG193" i="8"/>
  <c r="AG238" i="8"/>
  <c r="AG222" i="8"/>
  <c r="AG214" i="8"/>
  <c r="AG206" i="8"/>
  <c r="AG198" i="8"/>
  <c r="AG190" i="8"/>
  <c r="AG182" i="8"/>
  <c r="AG174" i="8"/>
  <c r="AG166" i="8"/>
  <c r="AG158" i="8"/>
  <c r="AG150" i="8"/>
  <c r="AG142" i="8"/>
  <c r="AG134" i="8"/>
  <c r="AG126" i="8"/>
  <c r="AG118" i="8"/>
  <c r="AG110" i="8"/>
  <c r="AG102" i="8"/>
  <c r="AG94" i="8"/>
  <c r="AG86" i="8"/>
  <c r="AG78" i="8"/>
  <c r="AG70" i="8"/>
  <c r="AG62" i="8"/>
  <c r="AG54" i="8"/>
  <c r="AG46" i="8"/>
  <c r="AG38" i="8"/>
  <c r="AG30" i="8"/>
  <c r="AG22" i="8"/>
  <c r="AG14" i="8"/>
  <c r="AG6" i="8"/>
  <c r="AG220" i="8"/>
  <c r="AG116" i="8"/>
  <c r="AG92" i="8"/>
  <c r="AG235" i="8"/>
  <c r="AG91" i="8"/>
  <c r="AG209" i="8"/>
  <c r="AG230" i="8"/>
  <c r="AG164" i="8"/>
  <c r="AG68" i="8"/>
  <c r="AG187" i="8"/>
  <c r="AG131" i="8"/>
  <c r="AG202" i="8"/>
  <c r="AG217" i="8"/>
  <c r="AG237" i="8"/>
  <c r="AG229" i="8"/>
  <c r="AG221" i="8"/>
  <c r="AG213" i="8"/>
  <c r="AG205" i="8"/>
  <c r="AG197" i="8"/>
  <c r="AG189" i="8"/>
  <c r="AG181" i="8"/>
  <c r="AG173" i="8"/>
  <c r="AG165" i="8"/>
  <c r="AG157" i="8"/>
  <c r="AG149" i="8"/>
  <c r="AG141" i="8"/>
  <c r="AG133" i="8"/>
  <c r="AG125" i="8"/>
  <c r="AG117" i="8"/>
  <c r="AG109" i="8"/>
  <c r="AG101" i="8"/>
  <c r="AG93" i="8"/>
  <c r="AG85" i="8"/>
  <c r="AG77" i="8"/>
  <c r="AG69" i="8"/>
  <c r="AG61" i="8"/>
  <c r="AG53" i="8"/>
  <c r="AG45" i="8"/>
  <c r="AG37" i="8"/>
  <c r="AG29" i="8"/>
  <c r="AG21" i="8"/>
  <c r="AG13" i="8"/>
  <c r="AG5" i="8"/>
  <c r="L31" i="8"/>
  <c r="L32" i="8"/>
  <c r="L33" i="8"/>
  <c r="L34" i="8"/>
  <c r="L35" i="8"/>
  <c r="L36" i="8"/>
  <c r="L37" i="8"/>
  <c r="L38" i="8"/>
  <c r="L39" i="8"/>
  <c r="L40" i="8"/>
  <c r="L41" i="8"/>
  <c r="L42" i="8"/>
  <c r="L30" i="8"/>
  <c r="L44" i="8"/>
  <c r="L45" i="8"/>
  <c r="L46" i="8"/>
  <c r="L47" i="8"/>
  <c r="L48" i="8"/>
  <c r="L49" i="8"/>
  <c r="L50" i="8"/>
  <c r="L51" i="8"/>
  <c r="L52" i="8"/>
  <c r="L53" i="8"/>
  <c r="L54" i="8"/>
  <c r="L55" i="8"/>
  <c r="L56" i="8"/>
  <c r="L43" i="8"/>
  <c r="L90" i="8"/>
  <c r="L58" i="8"/>
  <c r="L59" i="8"/>
  <c r="L60" i="8"/>
  <c r="L61" i="8"/>
  <c r="L62" i="8"/>
  <c r="L63" i="8"/>
  <c r="L64" i="8"/>
  <c r="L65" i="8"/>
  <c r="L66" i="8"/>
  <c r="L67" i="8"/>
  <c r="L68" i="8"/>
  <c r="L69" i="8"/>
  <c r="L57" i="8"/>
  <c r="L71" i="8"/>
  <c r="L72" i="8"/>
  <c r="L73" i="8"/>
  <c r="L74" i="8"/>
  <c r="L75" i="8"/>
  <c r="L76" i="8"/>
  <c r="L77" i="8"/>
  <c r="L78" i="8"/>
  <c r="L79" i="8"/>
  <c r="L80" i="8"/>
  <c r="L81" i="8"/>
  <c r="L82" i="8"/>
  <c r="L83" i="8"/>
  <c r="L70" i="8"/>
  <c r="L98" i="8"/>
  <c r="L97" i="8"/>
  <c r="L96" i="8"/>
  <c r="L95" i="8"/>
  <c r="L94" i="8"/>
  <c r="L93" i="8"/>
  <c r="L92" i="8"/>
  <c r="L91" i="8"/>
  <c r="L89" i="8"/>
  <c r="L88" i="8"/>
  <c r="L87" i="8"/>
  <c r="L86" i="8"/>
  <c r="L85" i="8"/>
  <c r="L84" i="8"/>
  <c r="M4" i="2"/>
  <c r="M5" i="2"/>
  <c r="M6" i="2"/>
  <c r="M7" i="2"/>
  <c r="M8" i="2"/>
  <c r="M9" i="2"/>
  <c r="M10" i="2"/>
  <c r="M11" i="2"/>
  <c r="M12" i="2"/>
  <c r="M13" i="2"/>
  <c r="M14" i="2"/>
  <c r="M3" i="2"/>
  <c r="P244" i="1"/>
  <c r="P239" i="1"/>
  <c r="P260" i="1"/>
  <c r="P252" i="1"/>
  <c r="P268" i="1"/>
  <c r="P206" i="1"/>
  <c r="AC58" i="3" a="1"/>
  <c r="AC56" i="3" a="1"/>
  <c r="AC57" i="3" a="1"/>
  <c r="M83" i="5" a="1"/>
  <c r="M88" i="5" a="1"/>
  <c r="M81" i="5" a="1"/>
  <c r="M76" i="5" a="1"/>
  <c r="M98" i="5" a="1"/>
  <c r="M90" i="5" a="1"/>
  <c r="P266" i="1" a="1"/>
  <c r="P123" i="1" a="1"/>
  <c r="P270" i="1" a="1"/>
  <c r="P64" i="1" a="1"/>
  <c r="P124" i="1" a="1"/>
  <c r="P207" i="1" a="1"/>
  <c r="P262" i="1" a="1"/>
  <c r="P255" i="1" a="1"/>
  <c r="P241" i="1" a="1"/>
  <c r="P254" i="1" a="1"/>
  <c r="P63" i="1" a="1"/>
  <c r="P60" i="1" a="1"/>
  <c r="P71" i="1" a="1"/>
  <c r="P257" i="1" a="1"/>
  <c r="P59" i="1" a="1"/>
  <c r="P69" i="1" a="1"/>
  <c r="P269" i="1" a="1"/>
  <c r="P208" i="1" a="1"/>
  <c r="P253" i="1" a="1"/>
  <c r="P265" i="1" a="1"/>
  <c r="P209" i="1" a="1"/>
  <c r="P256" i="1" a="1"/>
  <c r="P272" i="1" a="1"/>
  <c r="P264" i="1" a="1"/>
  <c r="P67" i="1" a="1"/>
  <c r="P250" i="1" a="1"/>
  <c r="P66" i="1" a="1"/>
  <c r="P61" i="1" a="1"/>
  <c r="P68" i="1" a="1"/>
  <c r="P70" i="1" a="1"/>
  <c r="P249" i="1" a="1"/>
  <c r="P248" i="1" a="1"/>
  <c r="P261" i="1" a="1"/>
  <c r="P65" i="1" a="1"/>
  <c r="P211" i="1" a="1"/>
  <c r="P58" i="1" a="1"/>
  <c r="P247" i="1" a="1"/>
  <c r="P210" i="1" a="1"/>
  <c r="P258" i="1" a="1"/>
  <c r="P246" i="1" a="1"/>
  <c r="P245" i="1" a="1"/>
  <c r="P271" i="1" a="1"/>
  <c r="P242" i="1" a="1"/>
  <c r="P62" i="1" a="1"/>
  <c r="P263" i="1" a="1"/>
  <c r="P240" i="1" a="1"/>
  <c r="P125" i="1" a="1"/>
  <c r="AG4" i="8" a="1"/>
  <c r="R66" i="4" a="1"/>
  <c r="R67" i="4" a="1"/>
  <c r="R69" i="4" a="1"/>
  <c r="R71" i="4" a="1"/>
  <c r="AC60" i="3" a="1"/>
  <c r="AC61" i="3" a="1"/>
  <c r="AC62" i="3" a="1"/>
  <c r="AC63" i="3" a="1"/>
  <c r="AC47" i="3" a="1"/>
  <c r="AC46" i="3" a="1"/>
  <c r="AC45" i="3" a="1"/>
  <c r="AC31" i="3" a="1"/>
  <c r="AG4" i="8" l="1"/>
  <c r="M98" i="5"/>
  <c r="AC63" i="3"/>
  <c r="R67" i="4"/>
  <c r="R66" i="4"/>
  <c r="P272" i="1"/>
  <c r="P250" i="1"/>
  <c r="P249" i="1"/>
  <c r="P248" i="1"/>
  <c r="P247" i="1"/>
  <c r="P246" i="1"/>
  <c r="P245" i="1"/>
  <c r="M90" i="5"/>
  <c r="AC57" i="3"/>
  <c r="AC56" i="3"/>
  <c r="AC58" i="3"/>
  <c r="P242" i="1"/>
  <c r="P241" i="1"/>
  <c r="P240" i="1"/>
  <c r="M88" i="5"/>
  <c r="M83" i="5"/>
  <c r="R71" i="4"/>
  <c r="P261" i="1"/>
  <c r="P264" i="1"/>
  <c r="P262" i="1"/>
  <c r="P266" i="1"/>
  <c r="P263" i="1"/>
  <c r="P265" i="1"/>
  <c r="P271" i="1"/>
  <c r="M81" i="5"/>
  <c r="M76" i="5"/>
  <c r="P257" i="1"/>
  <c r="P255" i="1"/>
  <c r="P258" i="1"/>
  <c r="P256" i="1"/>
  <c r="P254" i="1"/>
  <c r="P253" i="1"/>
  <c r="R69" i="4"/>
  <c r="AC60" i="3"/>
  <c r="AC61" i="3"/>
  <c r="AC62" i="3"/>
  <c r="P270" i="1"/>
  <c r="P269" i="1"/>
  <c r="P60" i="1"/>
  <c r="P61" i="1"/>
  <c r="P64" i="1"/>
  <c r="P71" i="1"/>
  <c r="P70" i="1"/>
  <c r="P69" i="1"/>
  <c r="P67" i="1"/>
  <c r="P59" i="1"/>
  <c r="P68" i="1"/>
  <c r="P65" i="1"/>
  <c r="P63" i="1"/>
  <c r="P62" i="1"/>
  <c r="P66" i="1"/>
  <c r="P58" i="1"/>
  <c r="P124" i="1"/>
  <c r="P125" i="1"/>
  <c r="P123" i="1"/>
  <c r="AC31" i="3"/>
  <c r="AC47" i="3"/>
  <c r="AC46" i="3"/>
  <c r="AC45" i="3"/>
  <c r="P211" i="1"/>
  <c r="P210" i="1"/>
  <c r="P209" i="1"/>
  <c r="P208" i="1"/>
  <c r="P207" i="1"/>
  <c r="M87" i="5" a="1"/>
  <c r="M80" i="5" a="1"/>
  <c r="M97" i="5" a="1"/>
  <c r="M97" i="5" l="1"/>
  <c r="M87" i="5"/>
  <c r="M80" i="5"/>
  <c r="L176" i="8"/>
  <c r="L162" i="8"/>
  <c r="L148" i="8"/>
  <c r="L134" i="8"/>
  <c r="L120" i="8"/>
  <c r="L106" i="8"/>
  <c r="L182" i="8"/>
  <c r="L181" i="8"/>
  <c r="L180" i="8"/>
  <c r="L179" i="8"/>
  <c r="L178" i="8"/>
  <c r="L177" i="8"/>
  <c r="L175" i="8"/>
  <c r="L174" i="8"/>
  <c r="L173" i="8"/>
  <c r="L172" i="8"/>
  <c r="L171" i="8"/>
  <c r="L170" i="8"/>
  <c r="L169" i="8"/>
  <c r="L168" i="8"/>
  <c r="L167" i="8"/>
  <c r="L166" i="8"/>
  <c r="L165" i="8"/>
  <c r="L164" i="8"/>
  <c r="L163" i="8"/>
  <c r="L161" i="8"/>
  <c r="L160" i="8"/>
  <c r="L159" i="8"/>
  <c r="L158" i="8"/>
  <c r="L157" i="8"/>
  <c r="L156" i="8"/>
  <c r="L155" i="8"/>
  <c r="L126" i="8"/>
  <c r="L125" i="8"/>
  <c r="L124" i="8"/>
  <c r="L123" i="8"/>
  <c r="L122" i="8"/>
  <c r="L121" i="8"/>
  <c r="L119" i="8"/>
  <c r="L118" i="8"/>
  <c r="L117" i="8"/>
  <c r="L116" i="8"/>
  <c r="L115" i="8"/>
  <c r="L114" i="8"/>
  <c r="L113" i="8"/>
  <c r="L112" i="8"/>
  <c r="L111" i="8"/>
  <c r="L110" i="8"/>
  <c r="L109" i="8"/>
  <c r="L108" i="8"/>
  <c r="L107" i="8"/>
  <c r="L105" i="8"/>
  <c r="L104" i="8"/>
  <c r="L103" i="8"/>
  <c r="L102" i="8"/>
  <c r="L101" i="8"/>
  <c r="L100" i="8"/>
  <c r="L99"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AG2" i="8" a="1"/>
  <c r="AE2" i="8" a="1"/>
  <c r="M86" i="5" a="1"/>
  <c r="M62" i="5" a="1"/>
  <c r="M58" i="5" a="1"/>
  <c r="M79" i="5" a="1"/>
  <c r="M96" i="5" a="1"/>
  <c r="P228" i="1" a="1"/>
  <c r="P223" i="1" a="1"/>
  <c r="P225" i="1" a="1"/>
  <c r="P176" i="1" a="1"/>
  <c r="P222" i="1" a="1"/>
  <c r="P198" i="1" a="1"/>
  <c r="P79" i="1" a="1"/>
  <c r="P226" i="1" a="1"/>
  <c r="P224" i="1" a="1"/>
  <c r="P80" i="1" a="1"/>
  <c r="P81" i="1" a="1"/>
  <c r="P220" i="1" a="1"/>
  <c r="P195" i="1" a="1"/>
  <c r="P221" i="1" a="1"/>
  <c r="P227" i="1" a="1"/>
  <c r="P196" i="1" a="1"/>
  <c r="P197" i="1" a="1"/>
  <c r="R59" i="4" a="1"/>
  <c r="AC50" i="3" a="1"/>
  <c r="AC49" i="3" a="1"/>
  <c r="AC42" i="3" a="1"/>
  <c r="AC40" i="3" a="1"/>
  <c r="AC20" i="3" a="1"/>
  <c r="R225" i="8" l="1"/>
  <c r="M96" i="5"/>
  <c r="M86" i="5"/>
  <c r="M79" i="5"/>
  <c r="AG2" i="8"/>
  <c r="P228" i="1"/>
  <c r="P198" i="1"/>
  <c r="P197" i="1"/>
  <c r="P196" i="1"/>
  <c r="P195" i="1"/>
  <c r="AC42" i="3"/>
  <c r="R59" i="4"/>
  <c r="AC50" i="3"/>
  <c r="AC49" i="3"/>
  <c r="P176" i="1"/>
  <c r="AE2" i="8"/>
  <c r="U36" i="8"/>
  <c r="U211" i="8"/>
  <c r="U210" i="8"/>
  <c r="U194" i="8"/>
  <c r="U178" i="8"/>
  <c r="U162" i="8"/>
  <c r="U146" i="8"/>
  <c r="U130" i="8"/>
  <c r="U114" i="8"/>
  <c r="U98" i="8"/>
  <c r="U82" i="8"/>
  <c r="U66" i="8"/>
  <c r="U50" i="8"/>
  <c r="U34" i="8"/>
  <c r="U18" i="8"/>
  <c r="U196" i="8"/>
  <c r="U52" i="8"/>
  <c r="U163" i="8"/>
  <c r="U209" i="8"/>
  <c r="U193" i="8"/>
  <c r="U177" i="8"/>
  <c r="U161" i="8"/>
  <c r="U145" i="8"/>
  <c r="U129" i="8"/>
  <c r="U113" i="8"/>
  <c r="U97" i="8"/>
  <c r="U81" i="8"/>
  <c r="U65" i="8"/>
  <c r="U49" i="8"/>
  <c r="U33" i="8"/>
  <c r="U17" i="8"/>
  <c r="U20" i="8"/>
  <c r="U131" i="8"/>
  <c r="U224" i="8"/>
  <c r="U208" i="8"/>
  <c r="U192" i="8"/>
  <c r="U176" i="8"/>
  <c r="U160" i="8"/>
  <c r="U144" i="8"/>
  <c r="U128" i="8"/>
  <c r="U112" i="8"/>
  <c r="U96" i="8"/>
  <c r="U80" i="8"/>
  <c r="U64" i="8"/>
  <c r="U48" i="8"/>
  <c r="U32" i="8"/>
  <c r="U16" i="8"/>
  <c r="U68" i="8"/>
  <c r="U115" i="8"/>
  <c r="U223" i="8"/>
  <c r="U207" i="8"/>
  <c r="U191" i="8"/>
  <c r="U175" i="8"/>
  <c r="U159" i="8"/>
  <c r="U143" i="8"/>
  <c r="U127" i="8"/>
  <c r="U111" i="8"/>
  <c r="U95" i="8"/>
  <c r="U79" i="8"/>
  <c r="U63" i="8"/>
  <c r="U47" i="8"/>
  <c r="U31" i="8"/>
  <c r="U15" i="8"/>
  <c r="U84" i="8"/>
  <c r="U179" i="8"/>
  <c r="U222" i="8"/>
  <c r="U206" i="8"/>
  <c r="U190" i="8"/>
  <c r="U174" i="8"/>
  <c r="U158" i="8"/>
  <c r="U142" i="8"/>
  <c r="U126" i="8"/>
  <c r="U110" i="8"/>
  <c r="U94" i="8"/>
  <c r="U78" i="8"/>
  <c r="U62" i="8"/>
  <c r="U46" i="8"/>
  <c r="U30" i="8"/>
  <c r="U14" i="8"/>
  <c r="U116" i="8"/>
  <c r="U147" i="8"/>
  <c r="U221" i="8"/>
  <c r="U205" i="8"/>
  <c r="U189" i="8"/>
  <c r="U173" i="8"/>
  <c r="U157" i="8"/>
  <c r="U141" i="8"/>
  <c r="U125" i="8"/>
  <c r="U109" i="8"/>
  <c r="U93" i="8"/>
  <c r="U77" i="8"/>
  <c r="U61" i="8"/>
  <c r="U45" i="8"/>
  <c r="U29" i="8"/>
  <c r="U13" i="8"/>
  <c r="U195" i="8"/>
  <c r="U220" i="8"/>
  <c r="U204" i="8"/>
  <c r="U188" i="8"/>
  <c r="U172" i="8"/>
  <c r="U156" i="8"/>
  <c r="U140" i="8"/>
  <c r="U124" i="8"/>
  <c r="U108" i="8"/>
  <c r="U92" i="8"/>
  <c r="U76" i="8"/>
  <c r="U60" i="8"/>
  <c r="U44" i="8"/>
  <c r="U28" i="8"/>
  <c r="U12" i="8"/>
  <c r="U219" i="8"/>
  <c r="U203" i="8"/>
  <c r="U187" i="8"/>
  <c r="U171" i="8"/>
  <c r="U155" i="8"/>
  <c r="U139" i="8"/>
  <c r="U123" i="8"/>
  <c r="U107" i="8"/>
  <c r="U91" i="8"/>
  <c r="U75" i="8"/>
  <c r="U59" i="8"/>
  <c r="U43" i="8"/>
  <c r="U27" i="8"/>
  <c r="U11" i="8"/>
  <c r="U132" i="8"/>
  <c r="U51" i="8"/>
  <c r="U218" i="8"/>
  <c r="U202" i="8"/>
  <c r="U186" i="8"/>
  <c r="U170" i="8"/>
  <c r="U154" i="8"/>
  <c r="U138" i="8"/>
  <c r="U122" i="8"/>
  <c r="U106" i="8"/>
  <c r="U90" i="8"/>
  <c r="U74" i="8"/>
  <c r="U58" i="8"/>
  <c r="U42" i="8"/>
  <c r="U26" i="8"/>
  <c r="U10" i="8"/>
  <c r="U180" i="8"/>
  <c r="U19" i="8"/>
  <c r="U217" i="8"/>
  <c r="U201" i="8"/>
  <c r="U185" i="8"/>
  <c r="U169" i="8"/>
  <c r="U153" i="8"/>
  <c r="U137" i="8"/>
  <c r="U121" i="8"/>
  <c r="U105" i="8"/>
  <c r="U89" i="8"/>
  <c r="U73" i="8"/>
  <c r="U57" i="8"/>
  <c r="U41" i="8"/>
  <c r="U25" i="8"/>
  <c r="U9" i="8"/>
  <c r="U148" i="8"/>
  <c r="U99" i="8"/>
  <c r="U216" i="8"/>
  <c r="U200" i="8"/>
  <c r="U184" i="8"/>
  <c r="U168" i="8"/>
  <c r="U152" i="8"/>
  <c r="U136" i="8"/>
  <c r="U120" i="8"/>
  <c r="U104" i="8"/>
  <c r="U88" i="8"/>
  <c r="U72" i="8"/>
  <c r="U56" i="8"/>
  <c r="U40" i="8"/>
  <c r="U24" i="8"/>
  <c r="U8" i="8"/>
  <c r="U212" i="8"/>
  <c r="U100" i="8"/>
  <c r="U35" i="8"/>
  <c r="U215" i="8"/>
  <c r="U199" i="8"/>
  <c r="U183" i="8"/>
  <c r="U167" i="8"/>
  <c r="U151" i="8"/>
  <c r="U135" i="8"/>
  <c r="U119" i="8"/>
  <c r="U103" i="8"/>
  <c r="U87" i="8"/>
  <c r="U71" i="8"/>
  <c r="U55" i="8"/>
  <c r="U39" i="8"/>
  <c r="U23" i="8"/>
  <c r="U7" i="8"/>
  <c r="U67" i="8"/>
  <c r="U214" i="8"/>
  <c r="U198" i="8"/>
  <c r="U182" i="8"/>
  <c r="U166" i="8"/>
  <c r="U150" i="8"/>
  <c r="U134" i="8"/>
  <c r="U118" i="8"/>
  <c r="U102" i="8"/>
  <c r="U86" i="8"/>
  <c r="U70" i="8"/>
  <c r="U54" i="8"/>
  <c r="U38" i="8"/>
  <c r="U22" i="8"/>
  <c r="U6" i="8"/>
  <c r="U164" i="8"/>
  <c r="U83"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AC20" i="3"/>
  <c r="P178" i="1"/>
  <c r="P171" i="1"/>
  <c r="M85" i="5" a="1"/>
  <c r="M61" i="5" a="1"/>
  <c r="M78" i="5" a="1"/>
  <c r="M95" i="5" a="1"/>
  <c r="P182" i="1" a="1"/>
  <c r="P173" i="1" a="1"/>
  <c r="P172" i="1" a="1"/>
  <c r="P179" i="1" a="1"/>
  <c r="P183" i="1" a="1"/>
  <c r="P181" i="1" a="1"/>
  <c r="P175" i="1" a="1"/>
  <c r="P180" i="1" a="1"/>
  <c r="P184" i="1" a="1"/>
  <c r="P174" i="1" a="1"/>
  <c r="R50" i="4" a="1"/>
  <c r="R51" i="4" a="1"/>
  <c r="R53" i="4" a="1"/>
  <c r="R54" i="4" a="1"/>
  <c r="R56" i="4" a="1"/>
  <c r="R57" i="4" a="1"/>
  <c r="T225" i="8" l="1"/>
  <c r="W225" i="8"/>
  <c r="V225" i="8"/>
  <c r="S225" i="8"/>
  <c r="X225" i="8"/>
  <c r="U225" i="8"/>
  <c r="R226" i="8"/>
  <c r="M95" i="5"/>
  <c r="M85" i="5"/>
  <c r="M78" i="5"/>
  <c r="M61" i="5"/>
  <c r="R51" i="4"/>
  <c r="R50" i="4"/>
  <c r="P182" i="1"/>
  <c r="P180" i="1"/>
  <c r="P183" i="1"/>
  <c r="P184" i="1"/>
  <c r="P181" i="1"/>
  <c r="P175" i="1"/>
  <c r="P174" i="1"/>
  <c r="P173" i="1"/>
  <c r="P179" i="1"/>
  <c r="P172" i="1"/>
  <c r="R56" i="4"/>
  <c r="R57" i="4"/>
  <c r="R54" i="4"/>
  <c r="R53" i="4"/>
  <c r="M84" i="5" a="1"/>
  <c r="M60" i="5" a="1"/>
  <c r="M77" i="5" a="1"/>
  <c r="M94" i="5" a="1"/>
  <c r="R227" i="8" l="1"/>
  <c r="U226" i="8"/>
  <c r="M94" i="5"/>
  <c r="M84" i="5"/>
  <c r="M77" i="5"/>
  <c r="M60" i="5"/>
  <c r="P163" i="1"/>
  <c r="P155" i="1"/>
  <c r="M59" i="5" a="1"/>
  <c r="M56" i="5" a="1"/>
  <c r="M51" i="5" a="1"/>
  <c r="M49" i="5" a="1"/>
  <c r="M17" i="5" a="1"/>
  <c r="M45" i="5" a="1"/>
  <c r="M32" i="5" a="1"/>
  <c r="M29" i="5" a="1"/>
  <c r="M11" i="5" a="1"/>
  <c r="M93" i="5" a="1"/>
  <c r="P159" i="1" a="1"/>
  <c r="P156" i="1" a="1"/>
  <c r="P168" i="1" a="1"/>
  <c r="P47" i="1" a="1"/>
  <c r="P166" i="1" a="1"/>
  <c r="P44" i="1" a="1"/>
  <c r="P46" i="1" a="1"/>
  <c r="P45" i="1" a="1"/>
  <c r="P160" i="1" a="1"/>
  <c r="P157" i="1" a="1"/>
  <c r="P169" i="1" a="1"/>
  <c r="P158" i="1" a="1"/>
  <c r="P164" i="1" a="1"/>
  <c r="P167" i="1" a="1"/>
  <c r="P161" i="1" a="1"/>
  <c r="P165" i="1" a="1"/>
  <c r="R28" i="4" a="1"/>
  <c r="R32" i="4" a="1"/>
  <c r="R36" i="4" a="1"/>
  <c r="R38" i="4" a="1"/>
  <c r="R44" i="4" a="1"/>
  <c r="R46" i="4" a="1"/>
  <c r="R48" i="4" a="1"/>
  <c r="AC44" i="3" a="1"/>
  <c r="AC22" i="3" a="1"/>
  <c r="R228" i="8" l="1"/>
  <c r="U227" i="8"/>
  <c r="M93" i="5"/>
  <c r="M59" i="5"/>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31" i="5" a="1"/>
  <c r="M55" i="5" a="1"/>
  <c r="M48" i="5" a="1"/>
  <c r="M16" i="5" a="1"/>
  <c r="M92" i="5" a="1"/>
  <c r="R229" i="8" l="1"/>
  <c r="U228" i="8"/>
  <c r="M92" i="5"/>
  <c r="M55" i="5"/>
  <c r="M48" i="5"/>
  <c r="M31" i="5"/>
  <c r="M16" i="5"/>
  <c r="M54" i="5" a="1"/>
  <c r="M30" i="5" a="1"/>
  <c r="M15" i="5" a="1"/>
  <c r="M91" i="5" a="1"/>
  <c r="R230" i="8" l="1"/>
  <c r="U229" i="8"/>
  <c r="M91" i="5"/>
  <c r="M54" i="5"/>
  <c r="M30" i="5"/>
  <c r="M15" i="5"/>
  <c r="M53" i="5" a="1"/>
  <c r="M47" i="5" a="1"/>
  <c r="M14" i="5" a="1"/>
  <c r="R231" i="8" l="1"/>
  <c r="U230" i="8"/>
  <c r="M53" i="5"/>
  <c r="M47" i="5"/>
  <c r="M14" i="5"/>
  <c r="M52" i="5" a="1"/>
  <c r="M46" i="5" a="1"/>
  <c r="M13" i="5" a="1"/>
  <c r="R232" i="8" l="1"/>
  <c r="U231" i="8"/>
  <c r="M52" i="5"/>
  <c r="M46" i="5"/>
  <c r="M13" i="5"/>
  <c r="M12" i="5" a="1"/>
  <c r="R233" i="8" l="1"/>
  <c r="T233" i="8" s="1"/>
  <c r="U232" i="8"/>
  <c r="M12" i="5"/>
  <c r="L140" i="8"/>
  <c r="L139" i="8"/>
  <c r="L138" i="8"/>
  <c r="L137" i="8"/>
  <c r="L136" i="8"/>
  <c r="L135" i="8"/>
  <c r="L133" i="8"/>
  <c r="L132" i="8"/>
  <c r="L131" i="8"/>
  <c r="L130" i="8"/>
  <c r="L129" i="8"/>
  <c r="L128" i="8"/>
  <c r="L127" i="8"/>
  <c r="L154" i="8"/>
  <c r="L153" i="8"/>
  <c r="L152" i="8"/>
  <c r="L151" i="8"/>
  <c r="L150" i="8"/>
  <c r="L149" i="8"/>
  <c r="L147" i="8"/>
  <c r="L146" i="8"/>
  <c r="L145" i="8"/>
  <c r="L144" i="8"/>
  <c r="L143" i="8"/>
  <c r="L142" i="8"/>
  <c r="L141"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Y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6" i="8"/>
  <c r="T227" i="8"/>
  <c r="T228" i="8"/>
  <c r="T229" i="8"/>
  <c r="T230" i="8"/>
  <c r="T231" i="8"/>
  <c r="T232"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6" i="8"/>
  <c r="S227" i="8"/>
  <c r="S228" i="8"/>
  <c r="S229" i="8"/>
  <c r="S230" i="8"/>
  <c r="S231" i="8"/>
  <c r="S232"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M19" i="5" a="1"/>
  <c r="M8" i="5" a="1"/>
  <c r="M27" i="5" a="1"/>
  <c r="M38" i="5" a="1"/>
  <c r="M9" i="5" a="1"/>
  <c r="M6" i="5" a="1"/>
  <c r="M43" i="5" a="1"/>
  <c r="M40" i="5" a="1"/>
  <c r="M64" i="5" a="1"/>
  <c r="M2" i="5" a="1"/>
  <c r="M72" i="5" a="1"/>
  <c r="M34" i="5" a="1"/>
  <c r="P42" i="1" a="1"/>
  <c r="P98" i="1" a="1"/>
  <c r="P135" i="1" a="1"/>
  <c r="P50" i="1" a="1"/>
  <c r="P116" i="1" a="1"/>
  <c r="P39" i="1" a="1"/>
  <c r="P38" i="1" a="1"/>
  <c r="P231" i="1" a="1"/>
  <c r="P24" i="1" a="1"/>
  <c r="P21" i="1" a="1"/>
  <c r="P204" i="1" a="1"/>
  <c r="P26" i="1" a="1"/>
  <c r="P22" i="1" a="1"/>
  <c r="P149" i="1" a="1"/>
  <c r="P13" i="1" a="1"/>
  <c r="P234" i="1" a="1"/>
  <c r="P119" i="1" a="1"/>
  <c r="P54" i="1" a="1"/>
  <c r="P130" i="1" a="1"/>
  <c r="P214" i="1" a="1"/>
  <c r="P139" i="1" a="1"/>
  <c r="P203" i="1" a="1"/>
  <c r="P23" i="1" a="1"/>
  <c r="P41" i="1" a="1"/>
  <c r="P202" i="1" a="1"/>
  <c r="P148" i="1" a="1"/>
  <c r="P215" i="1" a="1"/>
  <c r="P132" i="1" a="1"/>
  <c r="P141" i="1" a="1"/>
  <c r="P5" i="1" a="1"/>
  <c r="P151" i="1" a="1"/>
  <c r="P192" i="1" a="1"/>
  <c r="P52" i="1" a="1"/>
  <c r="P87" i="1" a="1"/>
  <c r="P34" i="1" a="1"/>
  <c r="P128" i="1" a="1"/>
  <c r="P4" i="1" a="1"/>
  <c r="P233" i="1" a="1"/>
  <c r="P189" i="1" a="1"/>
  <c r="P75" i="1" a="1"/>
  <c r="P78" i="1" a="1"/>
  <c r="P152" i="1" a="1"/>
  <c r="P115" i="1" a="1"/>
  <c r="P12" i="1" a="1"/>
  <c r="P216" i="1" a="1"/>
  <c r="P20" i="1" a="1"/>
  <c r="P99" i="1" a="1"/>
  <c r="P74" i="1" a="1"/>
  <c r="P90" i="1" a="1"/>
  <c r="P145" i="1" a="1"/>
  <c r="P112" i="1" a="1"/>
  <c r="P121" i="1" a="1"/>
  <c r="P190" i="1" a="1"/>
  <c r="P40" i="1" a="1"/>
  <c r="P217" i="1" a="1"/>
  <c r="P235" i="1" a="1"/>
  <c r="P144" i="1" a="1"/>
  <c r="P114" i="1" a="1"/>
  <c r="P110" i="1" a="1"/>
  <c r="P133" i="1" a="1"/>
  <c r="P232" i="1" a="1"/>
  <c r="P94" i="1" a="1"/>
  <c r="P30" i="1" a="1"/>
  <c r="P96" i="1" a="1"/>
  <c r="P55" i="1" a="1"/>
  <c r="P187" i="1" a="1"/>
  <c r="P15" i="1" a="1"/>
  <c r="P129" i="1" a="1"/>
  <c r="P113" i="1" a="1"/>
  <c r="P105" i="1" a="1"/>
  <c r="P2" i="1" a="1"/>
  <c r="P88" i="1" a="1"/>
  <c r="P32" i="1" a="1"/>
  <c r="P122" i="1" a="1"/>
  <c r="P236" i="1" a="1"/>
  <c r="P191" i="1" a="1"/>
  <c r="P33" i="1" a="1"/>
  <c r="P14" i="1" a="1"/>
  <c r="P8" i="1" a="1"/>
  <c r="P136" i="1" a="1"/>
  <c r="P131" i="1" a="1"/>
  <c r="P140" i="1" a="1"/>
  <c r="P134" i="1" a="1"/>
  <c r="P153" i="1" a="1"/>
  <c r="P97" i="1" a="1"/>
  <c r="P120" i="1" a="1"/>
  <c r="P76" i="1" a="1"/>
  <c r="P95" i="1" a="1"/>
  <c r="P201" i="1" a="1"/>
  <c r="P25" i="1" a="1"/>
  <c r="P101" i="1" a="1"/>
  <c r="P86" i="1" a="1"/>
  <c r="P143" i="1" a="1"/>
  <c r="P16" i="1" a="1"/>
  <c r="P106" i="1" a="1"/>
  <c r="P17" i="1" a="1"/>
  <c r="P111" i="1" a="1"/>
  <c r="P6" i="1" a="1"/>
  <c r="P7" i="1" a="1"/>
  <c r="P142" i="1" a="1"/>
  <c r="P3" i="1" a="1"/>
  <c r="P107" i="1" a="1"/>
  <c r="P91" i="1" a="1"/>
  <c r="P150" i="1" a="1"/>
  <c r="P100" i="1" a="1"/>
  <c r="P102" i="1" a="1"/>
  <c r="P89" i="1" a="1"/>
  <c r="P31" i="1" a="1"/>
  <c r="P85" i="1" a="1"/>
  <c r="P77" i="1" a="1"/>
  <c r="P51" i="1" a="1"/>
  <c r="P43" i="1" a="1"/>
  <c r="P29" i="1" a="1"/>
  <c r="P37" i="1" a="1"/>
  <c r="P53" i="1" a="1"/>
  <c r="P9" i="1" a="1"/>
  <c r="P188" i="1" a="1"/>
  <c r="AE33" i="8" a="1"/>
  <c r="AE162" i="8" a="1"/>
  <c r="AE35" i="8" a="1"/>
  <c r="AE148" i="8" a="1"/>
  <c r="AE102" i="8" a="1"/>
  <c r="AE231" i="8" a="1"/>
  <c r="AE88" i="8" a="1"/>
  <c r="AE217" i="8" a="1"/>
  <c r="AE58" i="8" a="1"/>
  <c r="AE155" i="8" a="1"/>
  <c r="AE28" i="8" a="1"/>
  <c r="AE157" i="8" a="1"/>
  <c r="AE14" i="8" a="1"/>
  <c r="AE127" i="8" a="1"/>
  <c r="AE49" i="8" a="1"/>
  <c r="AE178" i="8" a="1"/>
  <c r="AE51" i="8" a="1"/>
  <c r="AE164" i="8" a="1"/>
  <c r="AE5" i="8" a="1"/>
  <c r="AE118" i="8" a="1"/>
  <c r="AE96" i="8" a="1"/>
  <c r="AE104" i="8" a="1"/>
  <c r="AE74" i="8" a="1"/>
  <c r="AE171" i="8" a="1"/>
  <c r="AE44" i="8" a="1"/>
  <c r="AE173" i="8" a="1"/>
  <c r="AE30" i="8" a="1"/>
  <c r="AE143" i="8" a="1"/>
  <c r="AE70" i="8" a="1"/>
  <c r="AE192" i="8" a="1"/>
  <c r="AE95" i="8" a="1"/>
  <c r="AE229" i="8" a="1"/>
  <c r="AE72" i="8" a="1"/>
  <c r="AE160" i="8" a="1"/>
  <c r="AE42" i="8" a="1"/>
  <c r="AE65" i="8" a="1"/>
  <c r="AE194" i="8" a="1"/>
  <c r="AE67" i="8" a="1"/>
  <c r="AE180" i="8" a="1"/>
  <c r="AE21" i="8" a="1"/>
  <c r="AE134" i="8" a="1"/>
  <c r="AE7" i="8" a="1"/>
  <c r="AE120" i="8" a="1"/>
  <c r="AE224" i="8" a="1"/>
  <c r="AE90" i="8" a="1"/>
  <c r="AE187" i="8" a="1"/>
  <c r="AE60" i="8" a="1"/>
  <c r="AE189" i="8" a="1"/>
  <c r="AE46" i="8" a="1"/>
  <c r="AE159" i="8" a="1"/>
  <c r="AE83" i="8" a="1"/>
  <c r="AE196" i="8" a="1"/>
  <c r="AE37" i="8" a="1"/>
  <c r="AE150" i="8" a="1"/>
  <c r="AE23" i="8" a="1"/>
  <c r="AE136" i="8" a="1"/>
  <c r="AE9" i="8" a="1"/>
  <c r="AE106" i="8" a="1"/>
  <c r="AE203" i="8" a="1"/>
  <c r="AE76" i="8" a="1"/>
  <c r="AE205" i="8" a="1"/>
  <c r="AE62" i="8" a="1"/>
  <c r="AE175" i="8" a="1"/>
  <c r="AE122" i="8" a="1"/>
  <c r="AE92" i="8" a="1"/>
  <c r="AE221" i="8" a="1"/>
  <c r="AE191" i="8" a="1"/>
  <c r="AE108" i="8" a="1"/>
  <c r="AE177" i="8" a="1"/>
  <c r="AE50" i="8" a="1"/>
  <c r="AE36" i="8" a="1"/>
  <c r="AE133" i="8" a="1"/>
  <c r="AE32" i="8" a="1"/>
  <c r="AE232" i="8" a="1"/>
  <c r="AE105" i="8" a="1"/>
  <c r="AE43" i="8" a="1"/>
  <c r="AE15" i="8" a="1"/>
  <c r="AE188" i="8" a="1"/>
  <c r="AE197" i="8" a="1"/>
  <c r="AE17" i="8" a="1"/>
  <c r="AE132" i="8" a="1"/>
  <c r="AE215" i="8" a="1"/>
  <c r="AE201" i="8" a="1"/>
  <c r="AE141" i="8" a="1"/>
  <c r="AE81" i="8" a="1"/>
  <c r="AE210" i="8" a="1"/>
  <c r="AE207" i="8" a="1"/>
  <c r="AE100" i="8" a="1"/>
  <c r="AE54" i="8" a="1"/>
  <c r="AE40" i="8" a="1"/>
  <c r="AE169" i="8" a="1"/>
  <c r="AE107" i="8" a="1"/>
  <c r="AE109" i="8" a="1"/>
  <c r="AE79" i="8" a="1"/>
  <c r="AE97" i="8" a="1"/>
  <c r="AE226" i="8" a="1"/>
  <c r="AE99" i="8" a="1"/>
  <c r="AE212" i="8" a="1"/>
  <c r="AE53" i="8" a="1"/>
  <c r="AE166" i="8" a="1"/>
  <c r="AE39" i="8" a="1"/>
  <c r="AE152" i="8" a="1"/>
  <c r="AE25" i="8" a="1"/>
  <c r="AE219" i="8" a="1"/>
  <c r="AE78" i="8" a="1"/>
  <c r="AE113" i="8" a="1"/>
  <c r="AE4" i="8" a="1"/>
  <c r="AE115" i="8" a="1"/>
  <c r="AE228" i="8" a="1"/>
  <c r="AE69" i="8" a="1"/>
  <c r="AE182" i="8" a="1"/>
  <c r="AE55" i="8" a="1"/>
  <c r="AE168" i="8" a="1"/>
  <c r="AE41" i="8" a="1"/>
  <c r="AE138" i="8" a="1"/>
  <c r="AE94" i="8" a="1"/>
  <c r="AE193" i="8" a="1"/>
  <c r="AE66" i="8" a="1"/>
  <c r="AE195" i="8" a="1"/>
  <c r="AE52" i="8" a="1"/>
  <c r="AE149" i="8" a="1"/>
  <c r="AE6" i="8" a="1"/>
  <c r="AE135" i="8" a="1"/>
  <c r="AE121" i="8" a="1"/>
  <c r="AE218" i="8" a="1"/>
  <c r="AE59" i="8" a="1"/>
  <c r="AE61" i="8" a="1"/>
  <c r="AE174" i="8" a="1"/>
  <c r="AE31" i="8" a="1"/>
  <c r="AE128" i="8" a="1"/>
  <c r="AE130" i="8" a="1"/>
  <c r="AE116" i="8" a="1"/>
  <c r="AE213" i="8" a="1"/>
  <c r="AE199" i="8" a="1"/>
  <c r="AE185" i="8" a="1"/>
  <c r="AE80" i="8" a="1"/>
  <c r="AE19" i="8" a="1"/>
  <c r="AE139" i="8" a="1"/>
  <c r="AE129" i="8" a="1"/>
  <c r="AE208" i="8" a="1"/>
  <c r="AE131" i="8" a="1"/>
  <c r="AE112" i="8" a="1"/>
  <c r="AE85" i="8" a="1"/>
  <c r="AE198" i="8" a="1"/>
  <c r="AE71" i="8" a="1"/>
  <c r="AE184" i="8" a="1"/>
  <c r="AE57" i="8" a="1"/>
  <c r="AE154" i="8" a="1"/>
  <c r="AE124" i="8" a="1"/>
  <c r="AE144" i="8" a="1"/>
  <c r="AE110" i="8" a="1"/>
  <c r="AE223" i="8" a="1"/>
  <c r="AE146" i="8" a="1"/>
  <c r="AE86" i="8" a="1"/>
  <c r="AE111" i="8" a="1"/>
  <c r="AE145" i="8" a="1"/>
  <c r="AE18" i="8" a="1"/>
  <c r="AE147" i="8" a="1"/>
  <c r="AE101" i="8" a="1"/>
  <c r="AE214" i="8" a="1"/>
  <c r="AE87" i="8" a="1"/>
  <c r="AE200" i="8" a="1"/>
  <c r="AE73" i="8" a="1"/>
  <c r="AE170" i="8" a="1"/>
  <c r="AE11" i="8" a="1"/>
  <c r="AE140" i="8" a="1"/>
  <c r="AE13" i="8" a="1"/>
  <c r="AE126" i="8" a="1"/>
  <c r="AE64" i="8" a="1"/>
  <c r="AE161" i="8" a="1"/>
  <c r="AE34" i="8" a="1"/>
  <c r="AE163" i="8" a="1"/>
  <c r="AE20" i="8" a="1"/>
  <c r="AE117" i="8" a="1"/>
  <c r="AE48" i="8" a="1"/>
  <c r="AE230" i="8" a="1"/>
  <c r="AE103" i="8" a="1"/>
  <c r="AE216" i="8" a="1"/>
  <c r="AE89" i="8" a="1"/>
  <c r="AE186" i="8" a="1"/>
  <c r="AE27" i="8" a="1"/>
  <c r="AE29" i="8" a="1"/>
  <c r="AE142" i="8" a="1"/>
  <c r="AE179" i="8" a="1"/>
  <c r="AE119" i="8" a="1"/>
  <c r="AE202" i="8" a="1"/>
  <c r="AE172" i="8" a="1"/>
  <c r="AE158" i="8" a="1"/>
  <c r="AE156" i="8" a="1"/>
  <c r="AE45" i="8" a="1"/>
  <c r="AE114" i="8" a="1"/>
  <c r="AE183" i="8" a="1"/>
  <c r="AE10" i="8" a="1"/>
  <c r="AE222" i="8" a="1"/>
  <c r="AE176" i="8" a="1"/>
  <c r="AE56" i="8" a="1"/>
  <c r="AE26" i="8" a="1"/>
  <c r="AE123" i="8" a="1"/>
  <c r="AE125" i="8" a="1"/>
  <c r="AE12" i="8" a="1"/>
  <c r="AE209" i="8" a="1"/>
  <c r="AE82" i="8" a="1"/>
  <c r="AE211" i="8" a="1"/>
  <c r="AE68" i="8" a="1"/>
  <c r="AE165" i="8" a="1"/>
  <c r="AE22" i="8" a="1"/>
  <c r="AE151" i="8" a="1"/>
  <c r="AE8" i="8" a="1"/>
  <c r="AE137" i="8" a="1"/>
  <c r="AE16" i="8" a="1"/>
  <c r="AE75" i="8" a="1"/>
  <c r="AE204" i="8" a="1"/>
  <c r="AE77" i="8" a="1"/>
  <c r="AE190" i="8" a="1"/>
  <c r="AE47" i="8" a="1"/>
  <c r="AE225" i="8" a="1"/>
  <c r="AE98" i="8" a="1"/>
  <c r="AE227" i="8" a="1"/>
  <c r="AE84" i="8" a="1"/>
  <c r="AE181" i="8" a="1"/>
  <c r="AE38" i="8" a="1"/>
  <c r="AE167" i="8" a="1"/>
  <c r="AE24" i="8" a="1"/>
  <c r="AE153" i="8" a="1"/>
  <c r="AE91" i="8" a="1"/>
  <c r="AE220" i="8" a="1"/>
  <c r="AE93" i="8" a="1"/>
  <c r="AE206" i="8" a="1"/>
  <c r="AE63" i="8" a="1"/>
  <c r="R21" i="4" a="1"/>
  <c r="R34" i="4" a="1"/>
  <c r="R40" i="4" a="1"/>
  <c r="R42" i="4" a="1"/>
  <c r="R61" i="4" a="1"/>
  <c r="R62" i="4" a="1"/>
  <c r="AC52" i="3" a="1"/>
  <c r="AC38" i="3" a="1"/>
  <c r="AC37" i="3" a="1"/>
  <c r="AC36" i="3" a="1"/>
  <c r="AC34" i="3" a="1"/>
  <c r="AC33" i="3" a="1"/>
  <c r="AC29" i="3" a="1"/>
  <c r="AC28" i="3" a="1"/>
  <c r="AC26" i="3" a="1"/>
  <c r="AC24" i="3" a="1"/>
  <c r="AC23" i="3" a="1"/>
  <c r="AC21" i="3" a="1"/>
  <c r="AC19" i="3" a="1"/>
  <c r="AC17" i="3" a="1"/>
  <c r="AC15" i="3" a="1"/>
  <c r="AC14" i="3" a="1"/>
  <c r="AC13" i="3" a="1"/>
  <c r="AC11" i="3" a="1"/>
  <c r="AC10" i="3" a="1"/>
  <c r="AC9" i="3" a="1"/>
  <c r="W233" i="8" l="1"/>
  <c r="Y233" i="8" s="1"/>
  <c r="V233" i="8"/>
  <c r="X233" i="8"/>
  <c r="S233" i="8"/>
  <c r="R234" i="8"/>
  <c r="U233" i="8"/>
  <c r="AE128" i="8"/>
  <c r="AE223" i="8"/>
  <c r="AE207" i="8"/>
  <c r="AE191" i="8"/>
  <c r="AE175" i="8"/>
  <c r="AE159" i="8"/>
  <c r="AE143" i="8"/>
  <c r="AE127" i="8"/>
  <c r="AE111" i="8"/>
  <c r="AE95" i="8"/>
  <c r="AE79" i="8"/>
  <c r="AE63" i="8"/>
  <c r="AE47" i="8"/>
  <c r="AE31" i="8"/>
  <c r="AE15" i="8"/>
  <c r="AE64" i="8"/>
  <c r="AE222" i="8"/>
  <c r="AE206" i="8"/>
  <c r="AE190" i="8"/>
  <c r="AE174" i="8"/>
  <c r="AE158" i="8"/>
  <c r="AE142" i="8"/>
  <c r="AE126" i="8"/>
  <c r="AE110" i="8"/>
  <c r="AE94" i="8"/>
  <c r="AE78" i="8"/>
  <c r="AE62" i="8"/>
  <c r="AE46" i="8"/>
  <c r="AE30" i="8"/>
  <c r="AE14" i="8"/>
  <c r="AE80" i="8"/>
  <c r="AE221" i="8"/>
  <c r="AE205" i="8"/>
  <c r="AE189" i="8"/>
  <c r="AE173" i="8"/>
  <c r="AE157" i="8"/>
  <c r="AE141" i="8"/>
  <c r="AE125" i="8"/>
  <c r="AE109" i="8"/>
  <c r="AE93" i="8"/>
  <c r="AE77" i="8"/>
  <c r="AE61" i="8"/>
  <c r="AE45" i="8"/>
  <c r="AE29" i="8"/>
  <c r="AE13" i="8"/>
  <c r="AE144" i="8"/>
  <c r="AE220" i="8"/>
  <c r="AE204" i="8"/>
  <c r="AE188" i="8"/>
  <c r="AE172" i="8"/>
  <c r="AE156" i="8"/>
  <c r="AE140" i="8"/>
  <c r="AE124" i="8"/>
  <c r="AE108" i="8"/>
  <c r="AE92" i="8"/>
  <c r="AE76" i="8"/>
  <c r="AE60" i="8"/>
  <c r="AE44" i="8"/>
  <c r="AE28" i="8"/>
  <c r="AE12" i="8"/>
  <c r="AE192" i="8"/>
  <c r="AE219" i="8"/>
  <c r="AE203" i="8"/>
  <c r="AE187" i="8"/>
  <c r="AE171" i="8"/>
  <c r="AE155" i="8"/>
  <c r="AE139" i="8"/>
  <c r="AE123" i="8"/>
  <c r="AE107" i="8"/>
  <c r="AE91" i="8"/>
  <c r="AE75" i="8"/>
  <c r="AE59" i="8"/>
  <c r="AE43" i="8"/>
  <c r="AE27" i="8"/>
  <c r="AE11" i="8"/>
  <c r="AE218" i="8"/>
  <c r="AE202" i="8"/>
  <c r="AE186" i="8"/>
  <c r="AE170" i="8"/>
  <c r="AE154" i="8"/>
  <c r="AE138" i="8"/>
  <c r="AE122" i="8"/>
  <c r="AE106" i="8"/>
  <c r="AE90" i="8"/>
  <c r="AE74" i="8"/>
  <c r="AE58" i="8"/>
  <c r="AE42" i="8"/>
  <c r="AE26" i="8"/>
  <c r="AE10" i="8"/>
  <c r="AE16" i="8"/>
  <c r="AE217" i="8"/>
  <c r="AE201" i="8"/>
  <c r="AE185" i="8"/>
  <c r="AE169" i="8"/>
  <c r="AE153" i="8"/>
  <c r="AE137" i="8"/>
  <c r="AE121" i="8"/>
  <c r="AE105" i="8"/>
  <c r="AE89" i="8"/>
  <c r="AE73" i="8"/>
  <c r="AE57" i="8"/>
  <c r="AE41" i="8"/>
  <c r="AE25" i="8"/>
  <c r="AE9" i="8"/>
  <c r="AE224" i="8"/>
  <c r="AE232" i="8"/>
  <c r="AE216" i="8"/>
  <c r="AE200" i="8"/>
  <c r="AE184" i="8"/>
  <c r="AE168" i="8"/>
  <c r="AE152" i="8"/>
  <c r="AE136" i="8"/>
  <c r="AE120" i="8"/>
  <c r="AE104" i="8"/>
  <c r="AE88" i="8"/>
  <c r="AE72" i="8"/>
  <c r="AE56" i="8"/>
  <c r="AE40" i="8"/>
  <c r="AE24" i="8"/>
  <c r="AE8" i="8"/>
  <c r="AE32" i="8"/>
  <c r="AE231" i="8"/>
  <c r="AE215" i="8"/>
  <c r="AE199" i="8"/>
  <c r="AE183" i="8"/>
  <c r="AE167" i="8"/>
  <c r="AE151" i="8"/>
  <c r="AE135" i="8"/>
  <c r="AE119" i="8"/>
  <c r="AE103" i="8"/>
  <c r="AE87" i="8"/>
  <c r="AE71" i="8"/>
  <c r="AE55" i="8"/>
  <c r="AE39" i="8"/>
  <c r="AE23" i="8"/>
  <c r="AE7" i="8"/>
  <c r="AE96" i="8"/>
  <c r="AE230" i="8"/>
  <c r="AE214" i="8"/>
  <c r="AE198" i="8"/>
  <c r="AE182" i="8"/>
  <c r="AE166" i="8"/>
  <c r="AE150" i="8"/>
  <c r="AE134" i="8"/>
  <c r="AE118" i="8"/>
  <c r="AE102" i="8"/>
  <c r="AE86" i="8"/>
  <c r="AE70" i="8"/>
  <c r="AE54" i="8"/>
  <c r="AE38" i="8"/>
  <c r="AE22" i="8"/>
  <c r="AE6" i="8"/>
  <c r="AE48" i="8"/>
  <c r="AE229" i="8"/>
  <c r="AE213" i="8"/>
  <c r="AE197" i="8"/>
  <c r="AE181" i="8"/>
  <c r="AE165" i="8"/>
  <c r="AE149" i="8"/>
  <c r="AE133" i="8"/>
  <c r="AE117" i="8"/>
  <c r="AE101" i="8"/>
  <c r="AE85" i="8"/>
  <c r="AE69" i="8"/>
  <c r="AE53" i="8"/>
  <c r="AE37" i="8"/>
  <c r="AE21" i="8"/>
  <c r="AE5" i="8"/>
  <c r="AE160" i="8"/>
  <c r="AE228" i="8"/>
  <c r="AE212" i="8"/>
  <c r="AE196" i="8"/>
  <c r="AE180" i="8"/>
  <c r="AE164" i="8"/>
  <c r="AE148" i="8"/>
  <c r="AE132" i="8"/>
  <c r="AE116" i="8"/>
  <c r="AE100" i="8"/>
  <c r="AE84" i="8"/>
  <c r="AE68" i="8"/>
  <c r="AE52" i="8"/>
  <c r="AE36" i="8"/>
  <c r="AE20" i="8"/>
  <c r="AE112" i="8"/>
  <c r="AE227" i="8"/>
  <c r="AE211" i="8"/>
  <c r="AE195" i="8"/>
  <c r="AE179" i="8"/>
  <c r="AE163" i="8"/>
  <c r="AE147" i="8"/>
  <c r="AE131" i="8"/>
  <c r="AE115" i="8"/>
  <c r="AE99" i="8"/>
  <c r="AE83" i="8"/>
  <c r="AE67" i="8"/>
  <c r="AE51" i="8"/>
  <c r="AE35" i="8"/>
  <c r="AE19" i="8"/>
  <c r="AE176" i="8"/>
  <c r="AE226" i="8"/>
  <c r="AE210" i="8"/>
  <c r="AE194" i="8"/>
  <c r="AE178" i="8"/>
  <c r="AE162" i="8"/>
  <c r="AE146" i="8"/>
  <c r="AE130" i="8"/>
  <c r="AE114" i="8"/>
  <c r="AE98" i="8"/>
  <c r="AE82" i="8"/>
  <c r="AE66" i="8"/>
  <c r="AE50" i="8"/>
  <c r="AE34" i="8"/>
  <c r="AE18" i="8"/>
  <c r="AE208" i="8"/>
  <c r="AE4"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71" i="5" a="1"/>
  <c r="M42" i="5" a="1"/>
  <c r="M37" i="5" a="1"/>
  <c r="M5" i="5" a="1"/>
  <c r="M26" i="5" a="1"/>
  <c r="AE233" i="8" a="1"/>
  <c r="AE233" i="8" l="1"/>
  <c r="R235" i="8"/>
  <c r="U234" i="8"/>
  <c r="X234" i="8"/>
  <c r="S234" i="8"/>
  <c r="V234" i="8"/>
  <c r="T234" i="8"/>
  <c r="W234" i="8"/>
  <c r="Y234" i="8" s="1"/>
  <c r="M42" i="5"/>
  <c r="M5" i="5"/>
  <c r="M71" i="5"/>
  <c r="M26" i="5"/>
  <c r="M37" i="5"/>
  <c r="M41" i="5" a="1"/>
  <c r="M25" i="5" a="1"/>
  <c r="M70" i="5" a="1"/>
  <c r="M36" i="5" a="1"/>
  <c r="M4" i="5" a="1"/>
  <c r="AC4" i="3" a="1"/>
  <c r="AC2" i="3" a="1"/>
  <c r="R2" i="4" a="1"/>
  <c r="AE234" i="8" a="1"/>
  <c r="R8" i="4" a="1"/>
  <c r="R10" i="4" a="1"/>
  <c r="R12" i="4" a="1"/>
  <c r="R13" i="4" a="1"/>
  <c r="R15" i="4" a="1"/>
  <c r="R17" i="4" a="1"/>
  <c r="R18" i="4" a="1"/>
  <c r="R20" i="4" a="1"/>
  <c r="R23" i="4" a="1"/>
  <c r="R24" i="4" a="1"/>
  <c r="R25" i="4" a="1"/>
  <c r="R26" i="4" a="1"/>
  <c r="R30" i="4" a="1"/>
  <c r="AE234" i="8" l="1"/>
  <c r="R236" i="8"/>
  <c r="U235" i="8"/>
  <c r="V235" i="8"/>
  <c r="W235" i="8"/>
  <c r="Y235" i="8" s="1"/>
  <c r="X235" i="8"/>
  <c r="S235" i="8"/>
  <c r="T235" i="8"/>
  <c r="M4" i="5"/>
  <c r="M41" i="5"/>
  <c r="M70" i="5"/>
  <c r="M25" i="5"/>
  <c r="M36" i="5"/>
  <c r="R13" i="4"/>
  <c r="R17" i="4"/>
  <c r="R18" i="4"/>
  <c r="R20" i="4"/>
  <c r="R30" i="4"/>
  <c r="R8" i="4"/>
  <c r="R10" i="4"/>
  <c r="R12" i="4"/>
  <c r="R15" i="4"/>
  <c r="R26" i="4"/>
  <c r="R25" i="4"/>
  <c r="R24" i="4"/>
  <c r="R23" i="4"/>
  <c r="AC4" i="3"/>
  <c r="AC2" i="3"/>
  <c r="R2" i="4"/>
  <c r="M3" i="5" a="1"/>
  <c r="M35" i="5" a="1"/>
  <c r="M69" i="5" a="1"/>
  <c r="M24" i="5" a="1"/>
  <c r="AE235" i="8" a="1"/>
  <c r="AE235" i="8" l="1"/>
  <c r="R237" i="8"/>
  <c r="U236" i="8"/>
  <c r="V236" i="8"/>
  <c r="W236" i="8"/>
  <c r="Y236" i="8" s="1"/>
  <c r="X236" i="8"/>
  <c r="S236" i="8"/>
  <c r="T236" i="8"/>
  <c r="M3" i="5"/>
  <c r="M69" i="5"/>
  <c r="M24" i="5"/>
  <c r="M35" i="5"/>
  <c r="M68" i="5" a="1"/>
  <c r="M23" i="5" a="1"/>
  <c r="AE236" i="8" a="1"/>
  <c r="AE236" i="8" l="1"/>
  <c r="R238" i="8"/>
  <c r="U237" i="8"/>
  <c r="V237" i="8"/>
  <c r="S237" i="8"/>
  <c r="W237" i="8"/>
  <c r="Y237" i="8" s="1"/>
  <c r="X237" i="8"/>
  <c r="T237" i="8"/>
  <c r="M68" i="5"/>
  <c r="M23" i="5"/>
  <c r="M67" i="5" a="1"/>
  <c r="M22" i="5" a="1"/>
  <c r="AE237" i="8" a="1"/>
  <c r="AE237" i="8" l="1"/>
  <c r="R239" i="8"/>
  <c r="U238" i="8"/>
  <c r="S238" i="8"/>
  <c r="V238" i="8"/>
  <c r="T238" i="8"/>
  <c r="W238" i="8"/>
  <c r="Y238" i="8" s="1"/>
  <c r="X238" i="8"/>
  <c r="M67" i="5"/>
  <c r="M22" i="5"/>
  <c r="M66" i="5" a="1"/>
  <c r="M21" i="5" a="1"/>
  <c r="AE238" i="8" a="1"/>
  <c r="AE238" i="8" l="1"/>
  <c r="R240" i="8"/>
  <c r="U239" i="8"/>
  <c r="S239" i="8"/>
  <c r="W239" i="8"/>
  <c r="Y239" i="8" s="1"/>
  <c r="T239" i="8"/>
  <c r="V239" i="8"/>
  <c r="X239" i="8"/>
  <c r="M66" i="5"/>
  <c r="M21" i="5"/>
  <c r="M65" i="5" a="1"/>
  <c r="M20" i="5" a="1"/>
  <c r="AE239" i="8" a="1"/>
  <c r="AE239" i="8" l="1"/>
  <c r="R241" i="8"/>
  <c r="U240" i="8"/>
  <c r="V240" i="8"/>
  <c r="W240" i="8"/>
  <c r="Y240" i="8" s="1"/>
  <c r="X240" i="8"/>
  <c r="S240" i="8"/>
  <c r="T240" i="8"/>
  <c r="M65" i="5"/>
  <c r="M20" i="5"/>
  <c r="AE240" i="8" a="1"/>
  <c r="AE240" i="8" l="1"/>
  <c r="R242" i="8"/>
  <c r="U241" i="8"/>
  <c r="T241" i="8"/>
  <c r="V241" i="8"/>
  <c r="W241" i="8"/>
  <c r="Y241" i="8" s="1"/>
  <c r="X241" i="8"/>
  <c r="S241" i="8"/>
  <c r="AE241" i="8" a="1"/>
  <c r="AE241" i="8" l="1"/>
  <c r="R243" i="8"/>
  <c r="U242" i="8"/>
  <c r="T242" i="8"/>
  <c r="V242" i="8"/>
  <c r="W242" i="8"/>
  <c r="Y242" i="8" s="1"/>
  <c r="X242" i="8"/>
  <c r="S242" i="8"/>
  <c r="AE242" i="8" a="1"/>
  <c r="AE242" i="8" l="1"/>
  <c r="R244" i="8"/>
  <c r="U243" i="8"/>
  <c r="T243" i="8"/>
  <c r="W243" i="8"/>
  <c r="Y243" i="8" s="1"/>
  <c r="V243" i="8"/>
  <c r="S243" i="8"/>
  <c r="X243" i="8"/>
  <c r="AE243" i="8" a="1"/>
  <c r="AE243" i="8" l="1"/>
  <c r="R245" i="8"/>
  <c r="U244" i="8"/>
  <c r="X244" i="8"/>
  <c r="S244" i="8"/>
  <c r="T244" i="8"/>
  <c r="W244" i="8"/>
  <c r="Y244" i="8" s="1"/>
  <c r="V244" i="8"/>
  <c r="AE244" i="8" a="1"/>
  <c r="AE244" i="8" l="1"/>
  <c r="R246" i="8"/>
  <c r="U245" i="8"/>
  <c r="W245" i="8"/>
  <c r="Y245" i="8" s="1"/>
  <c r="S245" i="8"/>
  <c r="X245" i="8"/>
  <c r="T245" i="8"/>
  <c r="V245" i="8"/>
  <c r="AE245" i="8" a="1"/>
  <c r="AE245" i="8" l="1"/>
  <c r="R247" i="8"/>
  <c r="U246" i="8"/>
  <c r="S246" i="8"/>
  <c r="V246" i="8"/>
  <c r="W246" i="8"/>
  <c r="Y246" i="8" s="1"/>
  <c r="X246" i="8"/>
  <c r="T246" i="8"/>
  <c r="AE246" i="8" a="1"/>
  <c r="AE246" i="8" l="1"/>
  <c r="R248" i="8"/>
  <c r="U247" i="8"/>
  <c r="S247" i="8"/>
  <c r="V247" i="8"/>
  <c r="W247" i="8"/>
  <c r="Y247" i="8" s="1"/>
  <c r="T247" i="8"/>
  <c r="X247" i="8"/>
  <c r="AE247" i="8" a="1"/>
  <c r="AE247" i="8" l="1"/>
  <c r="R249" i="8"/>
  <c r="U248" i="8"/>
  <c r="S248" i="8"/>
  <c r="T248" i="8"/>
  <c r="X248" i="8"/>
  <c r="V248" i="8"/>
  <c r="W248" i="8"/>
  <c r="Y248" i="8" s="1"/>
  <c r="AE248" i="8" a="1"/>
  <c r="AE248" i="8" l="1"/>
  <c r="R250" i="8"/>
  <c r="U249" i="8"/>
  <c r="S249" i="8"/>
  <c r="X249" i="8"/>
  <c r="T249" i="8"/>
  <c r="V249" i="8"/>
  <c r="W249" i="8"/>
  <c r="Y249" i="8" s="1"/>
  <c r="AE249" i="8" a="1"/>
  <c r="AE249" i="8" l="1"/>
  <c r="R251" i="8"/>
  <c r="U250" i="8"/>
  <c r="X250" i="8"/>
  <c r="S250" i="8"/>
  <c r="V250" i="8"/>
  <c r="T250" i="8"/>
  <c r="W250" i="8"/>
  <c r="Y250" i="8" s="1"/>
  <c r="AE250" i="8" a="1"/>
  <c r="AE250" i="8" l="1"/>
  <c r="R252" i="8"/>
  <c r="U251" i="8"/>
  <c r="V251" i="8"/>
  <c r="W251" i="8"/>
  <c r="Y251" i="8" s="1"/>
  <c r="X251" i="8"/>
  <c r="T251" i="8"/>
  <c r="S251" i="8"/>
  <c r="AE251" i="8" a="1"/>
  <c r="AE251" i="8" l="1"/>
  <c r="R253" i="8"/>
  <c r="U252" i="8"/>
  <c r="V252" i="8"/>
  <c r="W252" i="8"/>
  <c r="Y252" i="8" s="1"/>
  <c r="X252" i="8"/>
  <c r="S252" i="8"/>
  <c r="T252" i="8"/>
  <c r="AE252" i="8" a="1"/>
  <c r="AE252" i="8" l="1"/>
  <c r="R254" i="8"/>
  <c r="U253" i="8"/>
  <c r="V253" i="8"/>
  <c r="S253" i="8"/>
  <c r="W253" i="8"/>
  <c r="Y253" i="8" s="1"/>
  <c r="X253" i="8"/>
  <c r="T253" i="8"/>
  <c r="AE253" i="8" a="1"/>
  <c r="AE253" i="8" l="1"/>
  <c r="R255" i="8"/>
  <c r="U254" i="8"/>
  <c r="V254" i="8"/>
  <c r="S254" i="8"/>
  <c r="T254" i="8"/>
  <c r="W254" i="8"/>
  <c r="Y254" i="8" s="1"/>
  <c r="X254" i="8"/>
  <c r="AE254" i="8" a="1"/>
  <c r="AE254" i="8" l="1"/>
  <c r="R256" i="8"/>
  <c r="U255" i="8"/>
  <c r="T255" i="8"/>
  <c r="S255" i="8"/>
  <c r="V255" i="8"/>
  <c r="W255" i="8"/>
  <c r="Y255" i="8" s="1"/>
  <c r="X255" i="8"/>
  <c r="AE255" i="8" a="1"/>
  <c r="AE255" i="8" l="1"/>
  <c r="R257" i="8"/>
  <c r="U256" i="8"/>
  <c r="V256" i="8"/>
  <c r="W256" i="8"/>
  <c r="Y256" i="8" s="1"/>
  <c r="X256" i="8"/>
  <c r="S256" i="8"/>
  <c r="T256" i="8"/>
  <c r="AE256" i="8" a="1"/>
  <c r="AE256" i="8" l="1"/>
  <c r="R258" i="8"/>
  <c r="U257" i="8"/>
  <c r="T257" i="8"/>
  <c r="V257" i="8"/>
  <c r="W257" i="8"/>
  <c r="Y257" i="8" s="1"/>
  <c r="X257" i="8"/>
  <c r="S257" i="8"/>
  <c r="AE257" i="8" a="1"/>
  <c r="AE257" i="8" l="1"/>
  <c r="R259" i="8"/>
  <c r="U258" i="8"/>
  <c r="T258" i="8"/>
  <c r="V258" i="8"/>
  <c r="S258" i="8"/>
  <c r="W258" i="8"/>
  <c r="Y258" i="8" s="1"/>
  <c r="X258" i="8"/>
  <c r="AE258" i="8" a="1"/>
  <c r="AE258" i="8" l="1"/>
  <c r="R260" i="8"/>
  <c r="U259" i="8"/>
  <c r="T259" i="8"/>
  <c r="W259" i="8"/>
  <c r="Y259" i="8" s="1"/>
  <c r="S259" i="8"/>
  <c r="V259" i="8"/>
  <c r="X259" i="8"/>
  <c r="AE259" i="8" a="1"/>
  <c r="AE259" i="8" l="1"/>
  <c r="R261" i="8"/>
  <c r="U260" i="8"/>
  <c r="T260" i="8"/>
  <c r="S260" i="8"/>
  <c r="W260" i="8"/>
  <c r="Y260" i="8" s="1"/>
  <c r="X260" i="8"/>
  <c r="V260" i="8"/>
  <c r="AE260" i="8" a="1"/>
  <c r="AE260" i="8" l="1"/>
  <c r="R262" i="8"/>
  <c r="U261" i="8"/>
  <c r="W261" i="8"/>
  <c r="Y261" i="8" s="1"/>
  <c r="S261" i="8"/>
  <c r="X261" i="8"/>
  <c r="T261" i="8"/>
  <c r="V261" i="8"/>
  <c r="AE261" i="8" a="1"/>
  <c r="AE261" i="8" l="1"/>
  <c r="R263" i="8"/>
  <c r="U262" i="8"/>
  <c r="S262" i="8"/>
  <c r="V262" i="8"/>
  <c r="W262" i="8"/>
  <c r="Y262" i="8" s="1"/>
  <c r="X262" i="8"/>
  <c r="T262" i="8"/>
  <c r="AE262" i="8" a="1"/>
  <c r="AE262" i="8" l="1"/>
  <c r="R264" i="8"/>
  <c r="U263" i="8"/>
  <c r="S263" i="8"/>
  <c r="V263" i="8"/>
  <c r="W263" i="8"/>
  <c r="Y263" i="8" s="1"/>
  <c r="T263" i="8"/>
  <c r="X263" i="8"/>
  <c r="AE263" i="8" a="1"/>
  <c r="AE263" i="8" l="1"/>
  <c r="R265" i="8"/>
  <c r="U264" i="8"/>
  <c r="S264" i="8"/>
  <c r="T264" i="8"/>
  <c r="X264" i="8"/>
  <c r="V264" i="8"/>
  <c r="W264" i="8"/>
  <c r="Y264" i="8" s="1"/>
  <c r="AE264" i="8" a="1"/>
  <c r="AE264" i="8" l="1"/>
  <c r="R266" i="8"/>
  <c r="U265" i="8"/>
  <c r="S265" i="8"/>
  <c r="T265" i="8"/>
  <c r="V265" i="8"/>
  <c r="W265" i="8"/>
  <c r="Y265" i="8" s="1"/>
  <c r="X265" i="8"/>
  <c r="AE265" i="8" a="1"/>
  <c r="AE265" i="8" l="1"/>
  <c r="R267" i="8"/>
  <c r="U266" i="8"/>
  <c r="X266" i="8"/>
  <c r="S266" i="8"/>
  <c r="V266" i="8"/>
  <c r="T266" i="8"/>
  <c r="W266" i="8"/>
  <c r="Y266" i="8" s="1"/>
  <c r="AE266" i="8" a="1"/>
  <c r="AE266" i="8" l="1"/>
  <c r="R268" i="8"/>
  <c r="U267" i="8"/>
  <c r="V267" i="8"/>
  <c r="W267" i="8"/>
  <c r="Y267" i="8" s="1"/>
  <c r="X267" i="8"/>
  <c r="S267" i="8"/>
  <c r="T267" i="8"/>
  <c r="AE267" i="8" a="1"/>
  <c r="AE267" i="8" l="1"/>
  <c r="R269" i="8"/>
  <c r="U268" i="8"/>
  <c r="V268" i="8"/>
  <c r="W268" i="8"/>
  <c r="Y268" i="8" s="1"/>
  <c r="X268" i="8"/>
  <c r="S268" i="8"/>
  <c r="T268" i="8"/>
  <c r="AE268" i="8" a="1"/>
  <c r="AE268" i="8" l="1"/>
  <c r="R270" i="8"/>
  <c r="U269" i="8"/>
  <c r="V269" i="8"/>
  <c r="S269" i="8"/>
  <c r="W269" i="8"/>
  <c r="Y269" i="8" s="1"/>
  <c r="X269" i="8"/>
  <c r="T269" i="8"/>
  <c r="AE269" i="8" a="1"/>
  <c r="AE269" i="8" l="1"/>
  <c r="R271" i="8"/>
  <c r="U270" i="8"/>
  <c r="T270" i="8"/>
  <c r="S270" i="8"/>
  <c r="V270" i="8"/>
  <c r="W270" i="8"/>
  <c r="Y270" i="8" s="1"/>
  <c r="X270" i="8"/>
  <c r="AE270" i="8" a="1"/>
  <c r="AE270" i="8" l="1"/>
  <c r="R272" i="8"/>
  <c r="U271" i="8"/>
  <c r="S271" i="8"/>
  <c r="T271" i="8"/>
  <c r="W271" i="8"/>
  <c r="Y271" i="8" s="1"/>
  <c r="V271" i="8"/>
  <c r="X271" i="8"/>
  <c r="AE271" i="8" a="1"/>
  <c r="AE271" i="8" l="1"/>
  <c r="R273" i="8"/>
  <c r="U272" i="8"/>
  <c r="V272" i="8"/>
  <c r="W272" i="8"/>
  <c r="Y272" i="8" s="1"/>
  <c r="X272" i="8"/>
  <c r="S272" i="8"/>
  <c r="T272" i="8"/>
  <c r="AE272" i="8" a="1"/>
  <c r="AE272" i="8" l="1"/>
  <c r="R274" i="8"/>
  <c r="U273" i="8"/>
  <c r="T273" i="8"/>
  <c r="V273" i="8"/>
  <c r="W273" i="8"/>
  <c r="Y273" i="8" s="1"/>
  <c r="X273" i="8"/>
  <c r="S273" i="8"/>
  <c r="AE273" i="8" a="1"/>
  <c r="AE273" i="8" l="1"/>
  <c r="R275" i="8"/>
  <c r="U274" i="8"/>
  <c r="T274" i="8"/>
  <c r="V274" i="8"/>
  <c r="W274" i="8"/>
  <c r="Y274" i="8" s="1"/>
  <c r="X274" i="8"/>
  <c r="S274" i="8"/>
  <c r="AE274" i="8" a="1"/>
  <c r="AE274" i="8" l="1"/>
  <c r="R276" i="8"/>
  <c r="U275" i="8"/>
  <c r="T275" i="8"/>
  <c r="W275" i="8"/>
  <c r="Y275" i="8" s="1"/>
  <c r="S275" i="8"/>
  <c r="V275" i="8"/>
  <c r="X275" i="8"/>
  <c r="AE275" i="8" a="1"/>
  <c r="AE275" i="8" l="1"/>
  <c r="R277" i="8"/>
  <c r="U276" i="8"/>
  <c r="X276" i="8"/>
  <c r="S276" i="8"/>
  <c r="T276" i="8"/>
  <c r="W276" i="8"/>
  <c r="Y276" i="8" s="1"/>
  <c r="V276" i="8"/>
  <c r="AE276" i="8" a="1"/>
  <c r="AE276" i="8" l="1"/>
  <c r="R278" i="8"/>
  <c r="U277" i="8"/>
  <c r="W277" i="8"/>
  <c r="Y277" i="8" s="1"/>
  <c r="S277" i="8"/>
  <c r="X277" i="8"/>
  <c r="T277" i="8"/>
  <c r="V277" i="8"/>
  <c r="AE277" i="8" a="1"/>
  <c r="AE277" i="8" l="1"/>
  <c r="R279" i="8"/>
  <c r="U278" i="8"/>
  <c r="S278" i="8"/>
  <c r="V278" i="8"/>
  <c r="W278" i="8"/>
  <c r="Y278" i="8" s="1"/>
  <c r="X278" i="8"/>
  <c r="T278" i="8"/>
  <c r="AE278" i="8" a="1"/>
  <c r="AE278" i="8" l="1"/>
  <c r="R280" i="8"/>
  <c r="U279" i="8"/>
  <c r="S279" i="8"/>
  <c r="V279" i="8"/>
  <c r="W279" i="8"/>
  <c r="Y279" i="8" s="1"/>
  <c r="T279" i="8"/>
  <c r="X279" i="8"/>
  <c r="AE279" i="8" a="1"/>
  <c r="AE279" i="8" l="1"/>
  <c r="R281" i="8"/>
  <c r="U280" i="8"/>
  <c r="S280" i="8"/>
  <c r="T280" i="8"/>
  <c r="V280" i="8"/>
  <c r="X280" i="8"/>
  <c r="W280" i="8"/>
  <c r="Y280" i="8" s="1"/>
  <c r="AE280" i="8" a="1"/>
  <c r="AE280" i="8" l="1"/>
  <c r="R282" i="8"/>
  <c r="U281" i="8"/>
  <c r="S281" i="8"/>
  <c r="X281" i="8"/>
  <c r="T281" i="8"/>
  <c r="V281" i="8"/>
  <c r="W281" i="8"/>
  <c r="Y281" i="8" s="1"/>
  <c r="AE281" i="8" a="1"/>
  <c r="AE281" i="8" l="1"/>
  <c r="R283" i="8"/>
  <c r="U282" i="8"/>
  <c r="X282" i="8"/>
  <c r="V282" i="8"/>
  <c r="S282" i="8"/>
  <c r="T282" i="8"/>
  <c r="W282" i="8"/>
  <c r="Y282" i="8" s="1"/>
  <c r="AE282" i="8" a="1"/>
  <c r="AE282" i="8" l="1"/>
  <c r="R284" i="8"/>
  <c r="U283" i="8"/>
  <c r="V283" i="8"/>
  <c r="W283" i="8"/>
  <c r="Y283" i="8" s="1"/>
  <c r="X283" i="8"/>
  <c r="S283" i="8"/>
  <c r="T283" i="8"/>
  <c r="AE283" i="8" a="1"/>
  <c r="AE283" i="8" l="1"/>
  <c r="R285" i="8"/>
  <c r="U284" i="8"/>
  <c r="V284" i="8"/>
  <c r="W284" i="8"/>
  <c r="Y284" i="8" s="1"/>
  <c r="X284" i="8"/>
  <c r="S284" i="8"/>
  <c r="T284" i="8"/>
  <c r="AE284" i="8" a="1"/>
  <c r="AE284" i="8" l="1"/>
  <c r="R286" i="8"/>
  <c r="U285" i="8"/>
  <c r="V285" i="8"/>
  <c r="S285" i="8"/>
  <c r="W285" i="8"/>
  <c r="Y285" i="8" s="1"/>
  <c r="X285" i="8"/>
  <c r="T285" i="8"/>
  <c r="AE285" i="8" a="1"/>
  <c r="AE285" i="8" l="1"/>
  <c r="R287" i="8"/>
  <c r="U286" i="8"/>
  <c r="V286" i="8"/>
  <c r="S286" i="8"/>
  <c r="W286" i="8"/>
  <c r="Y286" i="8" s="1"/>
  <c r="X286" i="8"/>
  <c r="T286" i="8"/>
  <c r="AE286" i="8" a="1"/>
  <c r="AE286" i="8" l="1"/>
  <c r="R288" i="8"/>
  <c r="U287" i="8"/>
  <c r="S287" i="8"/>
  <c r="W287" i="8"/>
  <c r="Y287" i="8" s="1"/>
  <c r="V287" i="8"/>
  <c r="T287" i="8"/>
  <c r="X287" i="8"/>
  <c r="AE287" i="8" a="1"/>
  <c r="AE287" i="8" l="1"/>
  <c r="R289" i="8"/>
  <c r="U288" i="8"/>
  <c r="V288" i="8"/>
  <c r="W288" i="8"/>
  <c r="Y288" i="8" s="1"/>
  <c r="X288" i="8"/>
  <c r="S288" i="8"/>
  <c r="T288" i="8"/>
  <c r="AE288" i="8" a="1"/>
  <c r="AE288" i="8" l="1"/>
  <c r="R290" i="8"/>
  <c r="U289" i="8"/>
  <c r="T289" i="8"/>
  <c r="V289" i="8"/>
  <c r="W289" i="8"/>
  <c r="Y289" i="8" s="1"/>
  <c r="X289" i="8"/>
  <c r="S289" i="8"/>
  <c r="AE289" i="8" a="1"/>
  <c r="AE289" i="8" l="1"/>
  <c r="R291" i="8"/>
  <c r="U290" i="8"/>
  <c r="S290" i="8"/>
  <c r="T290" i="8"/>
  <c r="V290" i="8"/>
  <c r="W290" i="8"/>
  <c r="Y290" i="8" s="1"/>
  <c r="X290" i="8"/>
  <c r="AE290" i="8" a="1"/>
  <c r="AE290" i="8" l="1"/>
  <c r="R292" i="8"/>
  <c r="U291" i="8"/>
  <c r="T291" i="8"/>
  <c r="W291" i="8"/>
  <c r="Y291" i="8" s="1"/>
  <c r="V291" i="8"/>
  <c r="X291" i="8"/>
  <c r="S291" i="8"/>
  <c r="AE291" i="8" a="1"/>
  <c r="AE291" i="8" l="1"/>
  <c r="R293" i="8"/>
  <c r="U292" i="8"/>
  <c r="S292" i="8"/>
  <c r="T292" i="8"/>
  <c r="X292" i="8"/>
  <c r="W292" i="8"/>
  <c r="Y292" i="8" s="1"/>
  <c r="V292" i="8"/>
  <c r="AE292" i="8" a="1"/>
  <c r="AE292" i="8" l="1"/>
  <c r="R294" i="8"/>
  <c r="U293" i="8"/>
  <c r="W293" i="8"/>
  <c r="Y293" i="8" s="1"/>
  <c r="S293" i="8"/>
  <c r="X293" i="8"/>
  <c r="T293" i="8"/>
  <c r="V293" i="8"/>
  <c r="AE293" i="8" a="1"/>
  <c r="AE293" i="8" l="1"/>
  <c r="R295" i="8"/>
  <c r="U294" i="8"/>
  <c r="S294" i="8"/>
  <c r="V294" i="8"/>
  <c r="W294" i="8"/>
  <c r="Y294" i="8" s="1"/>
  <c r="X294" i="8"/>
  <c r="T294" i="8"/>
  <c r="AE294" i="8" a="1"/>
  <c r="AE294" i="8" l="1"/>
  <c r="R296" i="8"/>
  <c r="U295" i="8"/>
  <c r="S295" i="8"/>
  <c r="V295" i="8"/>
  <c r="W295" i="8"/>
  <c r="Y295" i="8" s="1"/>
  <c r="T295" i="8"/>
  <c r="X295" i="8"/>
  <c r="AE295" i="8" a="1"/>
  <c r="AE295" i="8" l="1"/>
  <c r="R297" i="8"/>
  <c r="U296" i="8"/>
  <c r="S296" i="8"/>
  <c r="T296" i="8"/>
  <c r="X296" i="8"/>
  <c r="V296" i="8"/>
  <c r="W296" i="8"/>
  <c r="Y296" i="8" s="1"/>
  <c r="AE296" i="8" a="1"/>
  <c r="AE296" i="8" l="1"/>
  <c r="R298" i="8"/>
  <c r="U297" i="8"/>
  <c r="S297" i="8"/>
  <c r="X297" i="8"/>
  <c r="T297" i="8"/>
  <c r="V297" i="8"/>
  <c r="W297" i="8"/>
  <c r="Y297" i="8" s="1"/>
  <c r="AE297" i="8" a="1"/>
  <c r="AE297" i="8" l="1"/>
  <c r="R299" i="8"/>
  <c r="U298" i="8"/>
  <c r="X298" i="8"/>
  <c r="S298" i="8"/>
  <c r="T298" i="8"/>
  <c r="V298" i="8"/>
  <c r="W298" i="8"/>
  <c r="Y298" i="8" s="1"/>
  <c r="AE298" i="8" a="1"/>
  <c r="AE298" i="8" l="1"/>
  <c r="R300" i="8"/>
  <c r="U299" i="8"/>
  <c r="V299" i="8"/>
  <c r="W299" i="8"/>
  <c r="Y299" i="8" s="1"/>
  <c r="X299" i="8"/>
  <c r="S299" i="8"/>
  <c r="T299" i="8"/>
  <c r="AE299" i="8" a="1"/>
  <c r="AE299" i="8" l="1"/>
  <c r="R301" i="8"/>
  <c r="U300" i="8"/>
  <c r="V300" i="8"/>
  <c r="W300" i="8"/>
  <c r="Y300" i="8" s="1"/>
  <c r="X300" i="8"/>
  <c r="S300" i="8"/>
  <c r="T300" i="8"/>
  <c r="AE300" i="8" a="1"/>
  <c r="AE300" i="8" l="1"/>
  <c r="R302" i="8"/>
  <c r="U301" i="8"/>
  <c r="V301" i="8"/>
  <c r="S301" i="8"/>
  <c r="W301" i="8"/>
  <c r="Y301" i="8" s="1"/>
  <c r="X301" i="8"/>
  <c r="T301" i="8"/>
  <c r="AE301" i="8" a="1"/>
  <c r="AE301" i="8" l="1"/>
  <c r="R303" i="8"/>
  <c r="U302" i="8"/>
  <c r="T302" i="8"/>
  <c r="V302" i="8"/>
  <c r="S302" i="8"/>
  <c r="W302" i="8"/>
  <c r="Y302" i="8" s="1"/>
  <c r="X302" i="8"/>
  <c r="AE302" i="8" a="1"/>
  <c r="AE302" i="8" l="1"/>
  <c r="R304" i="8"/>
  <c r="U303" i="8"/>
  <c r="S303" i="8"/>
  <c r="V303" i="8"/>
  <c r="W303" i="8"/>
  <c r="Y303" i="8" s="1"/>
  <c r="T303" i="8"/>
  <c r="X303" i="8"/>
  <c r="AE303" i="8" a="1"/>
  <c r="AE303" i="8" l="1"/>
  <c r="R305" i="8"/>
  <c r="U304" i="8"/>
  <c r="V304" i="8"/>
  <c r="W304" i="8"/>
  <c r="Y304" i="8" s="1"/>
  <c r="X304" i="8"/>
  <c r="S304" i="8"/>
  <c r="T304" i="8"/>
  <c r="AE304" i="8" a="1"/>
  <c r="AE304" i="8" l="1"/>
  <c r="R306" i="8"/>
  <c r="U305" i="8"/>
  <c r="T305" i="8"/>
  <c r="V305" i="8"/>
  <c r="W305" i="8"/>
  <c r="Y305" i="8" s="1"/>
  <c r="X305" i="8"/>
  <c r="S305" i="8"/>
  <c r="AE305" i="8" a="1"/>
  <c r="AE305" i="8" l="1"/>
  <c r="R307" i="8"/>
  <c r="U306" i="8"/>
  <c r="T306" i="8"/>
  <c r="S306" i="8"/>
  <c r="V306" i="8"/>
  <c r="W306" i="8"/>
  <c r="Y306" i="8" s="1"/>
  <c r="X306" i="8"/>
  <c r="AE306" i="8" a="1"/>
  <c r="AE306" i="8" l="1"/>
  <c r="R308" i="8"/>
  <c r="U307" i="8"/>
  <c r="T307" i="8"/>
  <c r="W307" i="8"/>
  <c r="Y307" i="8" s="1"/>
  <c r="S307" i="8"/>
  <c r="V307" i="8"/>
  <c r="X307" i="8"/>
  <c r="AE307" i="8" a="1"/>
  <c r="AE307" i="8" l="1"/>
  <c r="R309" i="8"/>
  <c r="U308" i="8"/>
  <c r="S308" i="8"/>
  <c r="T308" i="8"/>
  <c r="X308" i="8"/>
  <c r="V308" i="8"/>
  <c r="W308" i="8"/>
  <c r="Y308" i="8" s="1"/>
  <c r="AE308" i="8" a="1"/>
  <c r="AE308" i="8" l="1"/>
  <c r="R310" i="8"/>
  <c r="U309" i="8"/>
  <c r="W309" i="8"/>
  <c r="Y309" i="8" s="1"/>
  <c r="S309" i="8"/>
  <c r="X309" i="8"/>
  <c r="T309" i="8"/>
  <c r="V309" i="8"/>
  <c r="AE309" i="8" a="1"/>
  <c r="AE309" i="8" l="1"/>
  <c r="R311" i="8"/>
  <c r="U310" i="8"/>
  <c r="S310" i="8"/>
  <c r="V310" i="8"/>
  <c r="W310" i="8"/>
  <c r="Y310" i="8" s="1"/>
  <c r="X310" i="8"/>
  <c r="T310" i="8"/>
  <c r="AE310" i="8" a="1"/>
  <c r="AE310" i="8" l="1"/>
  <c r="R312" i="8"/>
  <c r="U311" i="8"/>
  <c r="S311" i="8"/>
  <c r="V311" i="8"/>
  <c r="W311" i="8"/>
  <c r="Y311" i="8" s="1"/>
  <c r="T311" i="8"/>
  <c r="X311" i="8"/>
  <c r="AE311" i="8" a="1"/>
  <c r="AE311" i="8" l="1"/>
  <c r="R313" i="8"/>
  <c r="U312" i="8"/>
  <c r="S312" i="8"/>
  <c r="T312" i="8"/>
  <c r="V312" i="8"/>
  <c r="X312" i="8"/>
  <c r="W312" i="8"/>
  <c r="Y312" i="8" s="1"/>
  <c r="AE312" i="8" a="1"/>
  <c r="AE312" i="8" l="1"/>
  <c r="R314" i="8"/>
  <c r="U313" i="8"/>
  <c r="X313" i="8"/>
  <c r="S313" i="8"/>
  <c r="T313" i="8"/>
  <c r="V313" i="8"/>
  <c r="W313" i="8"/>
  <c r="Y313" i="8" s="1"/>
  <c r="AE313" i="8" a="1"/>
  <c r="AE313" i="8" l="1"/>
  <c r="R315" i="8"/>
  <c r="U314" i="8"/>
  <c r="X314" i="8"/>
  <c r="V314" i="8"/>
  <c r="S314" i="8"/>
  <c r="T314" i="8"/>
  <c r="W314" i="8"/>
  <c r="Y314" i="8" s="1"/>
  <c r="AE314" i="8" a="1"/>
  <c r="AE314" i="8" l="1"/>
  <c r="R316" i="8"/>
  <c r="U315" i="8"/>
  <c r="V315" i="8"/>
  <c r="W315" i="8"/>
  <c r="Y315" i="8" s="1"/>
  <c r="X315" i="8"/>
  <c r="T315" i="8"/>
  <c r="S315" i="8"/>
  <c r="AE315" i="8" a="1"/>
  <c r="AE315" i="8" l="1"/>
  <c r="R317" i="8"/>
  <c r="U316" i="8"/>
  <c r="V316" i="8"/>
  <c r="W316" i="8"/>
  <c r="Y316" i="8" s="1"/>
  <c r="X316" i="8"/>
  <c r="S316" i="8"/>
  <c r="T316" i="8"/>
  <c r="AE316" i="8" a="1"/>
  <c r="AE316" i="8" l="1"/>
  <c r="R318" i="8"/>
  <c r="U317" i="8"/>
  <c r="V317" i="8"/>
  <c r="S317" i="8"/>
  <c r="W317" i="8"/>
  <c r="Y317" i="8" s="1"/>
  <c r="X317" i="8"/>
  <c r="T317" i="8"/>
  <c r="AE317" i="8" a="1"/>
  <c r="AE317" i="8" l="1"/>
  <c r="R319" i="8"/>
  <c r="U318" i="8"/>
  <c r="T318" i="8"/>
  <c r="V318" i="8"/>
  <c r="S318" i="8"/>
  <c r="W318" i="8"/>
  <c r="Y318" i="8" s="1"/>
  <c r="X318" i="8"/>
  <c r="AE318" i="8" a="1"/>
  <c r="AE318" i="8" l="1"/>
  <c r="R320" i="8"/>
  <c r="U319" i="8"/>
  <c r="W319" i="8"/>
  <c r="Y319" i="8" s="1"/>
  <c r="S319" i="8"/>
  <c r="V319" i="8"/>
  <c r="T319" i="8"/>
  <c r="X319" i="8"/>
  <c r="AE319" i="8" a="1"/>
  <c r="AE319" i="8" l="1"/>
  <c r="R321" i="8"/>
  <c r="U320" i="8"/>
  <c r="V320" i="8"/>
  <c r="W320" i="8"/>
  <c r="Y320" i="8" s="1"/>
  <c r="X320" i="8"/>
  <c r="S320" i="8"/>
  <c r="T320" i="8"/>
  <c r="AE320" i="8" a="1"/>
  <c r="AE320" i="8" l="1"/>
  <c r="R322" i="8"/>
  <c r="U321" i="8"/>
  <c r="T321" i="8"/>
  <c r="V321" i="8"/>
  <c r="W321" i="8"/>
  <c r="Y321" i="8" s="1"/>
  <c r="X321" i="8"/>
  <c r="S321" i="8"/>
  <c r="AE321" i="8" a="1"/>
  <c r="AE321" i="8" l="1"/>
  <c r="R323" i="8"/>
  <c r="U322" i="8"/>
  <c r="T322" i="8"/>
  <c r="V322" i="8"/>
  <c r="W322" i="8"/>
  <c r="Y322" i="8" s="1"/>
  <c r="X322" i="8"/>
  <c r="S322" i="8"/>
  <c r="AE322" i="8" a="1"/>
  <c r="AE322" i="8" l="1"/>
  <c r="R324" i="8"/>
  <c r="U323" i="8"/>
  <c r="T323" i="8"/>
  <c r="W323" i="8"/>
  <c r="Y323" i="8" s="1"/>
  <c r="S323" i="8"/>
  <c r="V323" i="8"/>
  <c r="X323" i="8"/>
  <c r="AE323" i="8" a="1"/>
  <c r="AE323" i="8" l="1"/>
  <c r="R325" i="8"/>
  <c r="U324" i="8"/>
  <c r="T324" i="8"/>
  <c r="W324" i="8"/>
  <c r="Y324" i="8" s="1"/>
  <c r="S324" i="8"/>
  <c r="X324" i="8"/>
  <c r="V324" i="8"/>
  <c r="AE324" i="8" a="1"/>
  <c r="AE324" i="8" l="1"/>
  <c r="R326" i="8"/>
  <c r="U325" i="8"/>
  <c r="W325" i="8"/>
  <c r="Y325" i="8" s="1"/>
  <c r="S325" i="8"/>
  <c r="X325" i="8"/>
  <c r="T325" i="8"/>
  <c r="V325" i="8"/>
  <c r="AE325" i="8" a="1"/>
  <c r="AE325" i="8" l="1"/>
  <c r="R327" i="8"/>
  <c r="U326" i="8"/>
  <c r="S326" i="8"/>
  <c r="V326" i="8"/>
  <c r="W326" i="8"/>
  <c r="Y326" i="8" s="1"/>
  <c r="X326" i="8"/>
  <c r="T326" i="8"/>
  <c r="AE326" i="8" a="1"/>
  <c r="AE326" i="8" l="1"/>
  <c r="R328" i="8"/>
  <c r="U327" i="8"/>
  <c r="S327" i="8"/>
  <c r="V327" i="8"/>
  <c r="W327" i="8"/>
  <c r="Y327" i="8" s="1"/>
  <c r="T327" i="8"/>
  <c r="X327" i="8"/>
  <c r="AE327" i="8" a="1"/>
  <c r="AE327" i="8" l="1"/>
  <c r="R329" i="8"/>
  <c r="U328" i="8"/>
  <c r="S328" i="8"/>
  <c r="T328" i="8"/>
  <c r="V328" i="8"/>
  <c r="X328" i="8"/>
  <c r="W328" i="8"/>
  <c r="Y328" i="8" s="1"/>
  <c r="AE328" i="8" a="1"/>
  <c r="AE328" i="8" l="1"/>
  <c r="R330" i="8"/>
  <c r="U329" i="8"/>
  <c r="S329" i="8"/>
  <c r="X329" i="8"/>
  <c r="T329" i="8"/>
  <c r="V329" i="8"/>
  <c r="W329" i="8"/>
  <c r="Y329" i="8" s="1"/>
  <c r="AE329" i="8" a="1"/>
  <c r="AE329" i="8" l="1"/>
  <c r="R331" i="8"/>
  <c r="U330" i="8"/>
  <c r="X330" i="8"/>
  <c r="S330" i="8"/>
  <c r="V330" i="8"/>
  <c r="T330" i="8"/>
  <c r="W330" i="8"/>
  <c r="Y330" i="8" s="1"/>
  <c r="AE330" i="8" a="1"/>
  <c r="AE330" i="8" l="1"/>
  <c r="R332" i="8"/>
  <c r="U331" i="8"/>
  <c r="V331" i="8"/>
  <c r="W331" i="8"/>
  <c r="Y331" i="8" s="1"/>
  <c r="X331" i="8"/>
  <c r="S331" i="8"/>
  <c r="T331" i="8"/>
  <c r="AE331" i="8" a="1"/>
  <c r="AE331" i="8" l="1"/>
  <c r="R333" i="8"/>
  <c r="U332" i="8"/>
  <c r="V332" i="8"/>
  <c r="W332" i="8"/>
  <c r="Y332" i="8" s="1"/>
  <c r="X332" i="8"/>
  <c r="S332" i="8"/>
  <c r="T332" i="8"/>
  <c r="AE332" i="8" a="1"/>
  <c r="AE332" i="8" l="1"/>
  <c r="R334" i="8"/>
  <c r="U333" i="8"/>
  <c r="V333" i="8"/>
  <c r="S333" i="8"/>
  <c r="W333" i="8"/>
  <c r="Y333" i="8" s="1"/>
  <c r="X333" i="8"/>
  <c r="T333" i="8"/>
  <c r="AE333" i="8" a="1"/>
  <c r="AE333" i="8" l="1"/>
  <c r="R335" i="8"/>
  <c r="U334" i="8"/>
  <c r="T334" i="8"/>
  <c r="V334" i="8"/>
  <c r="S334" i="8"/>
  <c r="W334" i="8"/>
  <c r="Y334" i="8" s="1"/>
  <c r="X334" i="8"/>
  <c r="AE334" i="8" a="1"/>
  <c r="AE334" i="8" l="1"/>
  <c r="R336" i="8"/>
  <c r="U335" i="8"/>
  <c r="S335" i="8"/>
  <c r="V335" i="8"/>
  <c r="W335" i="8"/>
  <c r="Y335" i="8" s="1"/>
  <c r="T335" i="8"/>
  <c r="X335" i="8"/>
  <c r="AE335" i="8" a="1"/>
  <c r="AE335" i="8" l="1"/>
  <c r="R337" i="8"/>
  <c r="U336" i="8"/>
  <c r="V336" i="8"/>
  <c r="W336" i="8"/>
  <c r="Y336" i="8" s="1"/>
  <c r="X336" i="8"/>
  <c r="S336" i="8"/>
  <c r="T336" i="8"/>
  <c r="AE336" i="8" a="1"/>
  <c r="AE336" i="8" l="1"/>
  <c r="R338" i="8"/>
  <c r="U337" i="8"/>
  <c r="T337" i="8"/>
  <c r="V337" i="8"/>
  <c r="W337" i="8"/>
  <c r="Y337" i="8" s="1"/>
  <c r="X337" i="8"/>
  <c r="S337" i="8"/>
  <c r="AE337" i="8" a="1"/>
  <c r="AE337" i="8" l="1"/>
  <c r="R339" i="8"/>
  <c r="U338" i="8"/>
  <c r="T338" i="8"/>
  <c r="S338" i="8"/>
  <c r="V338" i="8"/>
  <c r="W338" i="8"/>
  <c r="Y338" i="8" s="1"/>
  <c r="X338" i="8"/>
  <c r="AE338" i="8" a="1"/>
  <c r="AE338" i="8" l="1"/>
  <c r="R340" i="8"/>
  <c r="U339" i="8"/>
  <c r="T339" i="8"/>
  <c r="W339" i="8"/>
  <c r="Y339" i="8" s="1"/>
  <c r="V339" i="8"/>
  <c r="S339" i="8"/>
  <c r="X339" i="8"/>
  <c r="AE339" i="8" a="1"/>
  <c r="AE339" i="8" l="1"/>
  <c r="R341" i="8"/>
  <c r="U340" i="8"/>
  <c r="S340" i="8"/>
  <c r="T340" i="8"/>
  <c r="X340" i="8"/>
  <c r="W340" i="8"/>
  <c r="Y340" i="8" s="1"/>
  <c r="V340" i="8"/>
  <c r="AE340" i="8" a="1"/>
  <c r="AE340" i="8" l="1"/>
  <c r="R342" i="8"/>
  <c r="U341" i="8"/>
  <c r="W341" i="8"/>
  <c r="Y341" i="8" s="1"/>
  <c r="S341" i="8"/>
  <c r="X341" i="8"/>
  <c r="T341" i="8"/>
  <c r="V341" i="8"/>
  <c r="AE341" i="8" a="1"/>
  <c r="AE341" i="8" l="1"/>
  <c r="R343" i="8"/>
  <c r="U342" i="8"/>
  <c r="S342" i="8"/>
  <c r="V342" i="8"/>
  <c r="W342" i="8"/>
  <c r="Y342" i="8" s="1"/>
  <c r="X342" i="8"/>
  <c r="T342" i="8"/>
  <c r="AE342" i="8" a="1"/>
  <c r="AE342" i="8" l="1"/>
  <c r="R344" i="8"/>
  <c r="U343" i="8"/>
  <c r="S343" i="8"/>
  <c r="V343" i="8"/>
  <c r="W343" i="8"/>
  <c r="Y343" i="8" s="1"/>
  <c r="T343" i="8"/>
  <c r="X343" i="8"/>
  <c r="AE343" i="8" a="1"/>
  <c r="AE343" i="8" l="1"/>
  <c r="R345" i="8"/>
  <c r="U344" i="8"/>
  <c r="S344" i="8"/>
  <c r="T344" i="8"/>
  <c r="V344" i="8"/>
  <c r="X344" i="8"/>
  <c r="W344" i="8"/>
  <c r="Y344" i="8" s="1"/>
  <c r="AE344" i="8" a="1"/>
  <c r="AE344" i="8" l="1"/>
  <c r="R346" i="8"/>
  <c r="U345" i="8"/>
  <c r="S345" i="8"/>
  <c r="T345" i="8"/>
  <c r="V345" i="8"/>
  <c r="W345" i="8"/>
  <c r="Y345" i="8" s="1"/>
  <c r="X345" i="8"/>
  <c r="AE345" i="8" a="1"/>
  <c r="AE345" i="8" l="1"/>
  <c r="R347" i="8"/>
  <c r="U346" i="8"/>
  <c r="X346" i="8"/>
  <c r="V346" i="8"/>
  <c r="S346" i="8"/>
  <c r="T346" i="8"/>
  <c r="W346" i="8"/>
  <c r="Y346" i="8" s="1"/>
  <c r="AE346" i="8" a="1"/>
  <c r="AE346" i="8" l="1"/>
  <c r="R348" i="8"/>
  <c r="U347" i="8"/>
  <c r="V347" i="8"/>
  <c r="W347" i="8"/>
  <c r="Y347" i="8" s="1"/>
  <c r="X347" i="8"/>
  <c r="T347" i="8"/>
  <c r="S347" i="8"/>
  <c r="AE347" i="8" a="1"/>
  <c r="AE347" i="8" l="1"/>
  <c r="R349" i="8"/>
  <c r="U348" i="8"/>
  <c r="V348" i="8"/>
  <c r="W348" i="8"/>
  <c r="Y348" i="8" s="1"/>
  <c r="X348" i="8"/>
  <c r="S348" i="8"/>
  <c r="T348" i="8"/>
  <c r="AE348" i="8" a="1"/>
  <c r="AE348" i="8" l="1"/>
  <c r="R350" i="8"/>
  <c r="U349" i="8"/>
  <c r="V349" i="8"/>
  <c r="S349" i="8"/>
  <c r="W349" i="8"/>
  <c r="Y349" i="8" s="1"/>
  <c r="X349" i="8"/>
  <c r="T349" i="8"/>
  <c r="AE349" i="8" a="1"/>
  <c r="AE349" i="8" l="1"/>
  <c r="R351" i="8"/>
  <c r="U350" i="8"/>
  <c r="S350" i="8"/>
  <c r="V350" i="8"/>
  <c r="W350" i="8"/>
  <c r="Y350" i="8" s="1"/>
  <c r="X350" i="8"/>
  <c r="T350" i="8"/>
  <c r="AE350" i="8" a="1"/>
  <c r="AE350" i="8" l="1"/>
  <c r="R352" i="8"/>
  <c r="U351" i="8"/>
  <c r="S351" i="8"/>
  <c r="W351" i="8"/>
  <c r="Y351" i="8" s="1"/>
  <c r="V351" i="8"/>
  <c r="T351" i="8"/>
  <c r="X351" i="8"/>
  <c r="AE351" i="8" a="1"/>
  <c r="AE351" i="8" l="1"/>
  <c r="R353" i="8"/>
  <c r="U352" i="8"/>
  <c r="V352" i="8"/>
  <c r="W352" i="8"/>
  <c r="Y352" i="8" s="1"/>
  <c r="X352" i="8"/>
  <c r="S352" i="8"/>
  <c r="T352" i="8"/>
  <c r="AE352" i="8" a="1"/>
  <c r="AE352" i="8" l="1"/>
  <c r="R354" i="8"/>
  <c r="U353" i="8"/>
  <c r="T353" i="8"/>
  <c r="V353" i="8"/>
  <c r="W353" i="8"/>
  <c r="Y353" i="8" s="1"/>
  <c r="X353" i="8"/>
  <c r="S353" i="8"/>
  <c r="AE353" i="8" a="1"/>
  <c r="AE353" i="8" l="1"/>
  <c r="R355" i="8"/>
  <c r="U354" i="8"/>
  <c r="T354" i="8"/>
  <c r="V354" i="8"/>
  <c r="S354" i="8"/>
  <c r="W354" i="8"/>
  <c r="Y354" i="8" s="1"/>
  <c r="X354" i="8"/>
  <c r="AE354" i="8" a="1"/>
  <c r="AE354" i="8" l="1"/>
  <c r="R356" i="8"/>
  <c r="U355" i="8"/>
  <c r="T355" i="8"/>
  <c r="W355" i="8"/>
  <c r="Y355" i="8" s="1"/>
  <c r="S355" i="8"/>
  <c r="V355" i="8"/>
  <c r="X355" i="8"/>
  <c r="AE355" i="8" a="1"/>
  <c r="AE355" i="8" l="1"/>
  <c r="R357" i="8"/>
  <c r="U356" i="8"/>
  <c r="T356" i="8"/>
  <c r="W356" i="8"/>
  <c r="Y356" i="8" s="1"/>
  <c r="S356" i="8"/>
  <c r="X356" i="8"/>
  <c r="V356" i="8"/>
  <c r="AE356" i="8" a="1"/>
  <c r="AE356" i="8" l="1"/>
  <c r="R358" i="8"/>
  <c r="U357" i="8"/>
  <c r="W357" i="8"/>
  <c r="Y357" i="8" s="1"/>
  <c r="S357" i="8"/>
  <c r="X357" i="8"/>
  <c r="T357" i="8"/>
  <c r="V357" i="8"/>
  <c r="AE357" i="8" a="1"/>
  <c r="AE357" i="8" l="1"/>
  <c r="R359" i="8"/>
  <c r="U358" i="8"/>
  <c r="S358" i="8"/>
  <c r="V358" i="8"/>
  <c r="W358" i="8"/>
  <c r="Y358" i="8" s="1"/>
  <c r="X358" i="8"/>
  <c r="T358" i="8"/>
  <c r="AE358" i="8" a="1"/>
  <c r="AE358" i="8" l="1"/>
  <c r="R360" i="8"/>
  <c r="U359" i="8"/>
  <c r="S359" i="8"/>
  <c r="V359" i="8"/>
  <c r="W359" i="8"/>
  <c r="Y359" i="8" s="1"/>
  <c r="T359" i="8"/>
  <c r="X359" i="8"/>
  <c r="AE359" i="8" a="1"/>
  <c r="AE359" i="8" l="1"/>
  <c r="R361" i="8"/>
  <c r="U360" i="8"/>
  <c r="S360" i="8"/>
  <c r="T360" i="8"/>
  <c r="V360" i="8"/>
  <c r="X360" i="8"/>
  <c r="W360" i="8"/>
  <c r="Y360" i="8" s="1"/>
  <c r="AE360" i="8" a="1"/>
  <c r="AE360" i="8" l="1"/>
  <c r="R362" i="8"/>
  <c r="U361" i="8"/>
  <c r="S361" i="8"/>
  <c r="X361" i="8"/>
  <c r="T361" i="8"/>
  <c r="V361" i="8"/>
  <c r="W361" i="8"/>
  <c r="Y361" i="8" s="1"/>
  <c r="AE361" i="8" a="1"/>
  <c r="AE361" i="8" l="1"/>
  <c r="R363" i="8"/>
  <c r="U362" i="8"/>
  <c r="X362" i="8"/>
  <c r="S362" i="8"/>
  <c r="V362" i="8"/>
  <c r="T362" i="8"/>
  <c r="W362" i="8"/>
  <c r="Y362" i="8" s="1"/>
  <c r="AE362" i="8" a="1"/>
  <c r="AE362" i="8" l="1"/>
  <c r="R364" i="8"/>
  <c r="U363" i="8"/>
  <c r="V363" i="8"/>
  <c r="W363" i="8"/>
  <c r="Y363" i="8" s="1"/>
  <c r="X363" i="8"/>
  <c r="S363" i="8"/>
  <c r="T363" i="8"/>
  <c r="AE363" i="8" a="1"/>
  <c r="AE363" i="8" l="1"/>
  <c r="R365" i="8"/>
  <c r="U364" i="8"/>
  <c r="V364" i="8"/>
  <c r="W364" i="8"/>
  <c r="Y364" i="8" s="1"/>
  <c r="X364" i="8"/>
  <c r="S364" i="8"/>
  <c r="T364" i="8"/>
  <c r="AE364" i="8" a="1"/>
  <c r="AE364" i="8" l="1"/>
  <c r="R366" i="8"/>
  <c r="U365" i="8"/>
  <c r="V365" i="8"/>
  <c r="S365" i="8"/>
  <c r="W365" i="8"/>
  <c r="Y365" i="8" s="1"/>
  <c r="X365" i="8"/>
  <c r="T365" i="8"/>
  <c r="AE365" i="8" a="1"/>
  <c r="AE365" i="8" l="1"/>
  <c r="R367" i="8"/>
  <c r="U366" i="8"/>
  <c r="S366" i="8"/>
  <c r="V366" i="8"/>
  <c r="T366" i="8"/>
  <c r="W366" i="8"/>
  <c r="Y366" i="8" s="1"/>
  <c r="X366" i="8"/>
  <c r="AE366" i="8" a="1"/>
  <c r="AE366" i="8" l="1"/>
  <c r="R368" i="8"/>
  <c r="U367" i="8"/>
  <c r="T367" i="8"/>
  <c r="W367" i="8"/>
  <c r="Y367" i="8" s="1"/>
  <c r="S367" i="8"/>
  <c r="V367" i="8"/>
  <c r="X367" i="8"/>
  <c r="AE367" i="8" a="1"/>
  <c r="AE367" i="8" l="1"/>
  <c r="U368" i="8"/>
  <c r="R369" i="8"/>
  <c r="V368" i="8"/>
  <c r="W368" i="8"/>
  <c r="Y368" i="8" s="1"/>
  <c r="X368" i="8"/>
  <c r="S368" i="8"/>
  <c r="T368" i="8"/>
  <c r="AE368" i="8" a="1"/>
  <c r="AE368" i="8" l="1"/>
  <c r="T369" i="8"/>
  <c r="X369" i="8"/>
  <c r="S369" i="8"/>
  <c r="W369" i="8"/>
  <c r="Y369" i="8" s="1"/>
  <c r="U369" i="8"/>
  <c r="V369" i="8"/>
  <c r="AE369" i="8" a="1"/>
  <c r="AE36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<sst xmlns="http://schemas.openxmlformats.org/spreadsheetml/2006/main" count="4549" uniqueCount="1027">
  <si>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</si>
  <si>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</si>
  <si>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</si>
  <si>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</si>
  <si>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</si>
  <si>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</si>
  <si>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</si>
  <si>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</si>
  <si>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</si>
  <si>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</si>
  <si>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</si>
  <si>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</si>
  <si>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</si>
  <si>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</si>
  <si>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</si>
  <si>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</si>
  <si>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</si>
  <si>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</si>
  <si>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</si>
  <si>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</si>
  <si>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</si>
  <si>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</si>
  <si>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</si>
  <si>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</si>
  <si>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</si>
  <si>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</si>
  <si>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</si>
  <si>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</si>
  <si>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</si>
  <si>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</si>
  <si>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</si>
  <si>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</si>
  <si>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</si>
  <si>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</si>
  <si>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</si>
  <si>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</si>
  <si>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</si>
  <si>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</si>
  <si>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</si>
  <si>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</si>
  <si>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</si>
  <si>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</si>
  <si>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</si>
  <si>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</si>
  <si>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</si>
  <si>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</si>
  <si>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</si>
  <si>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</si>
  <si>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</si>
  <si>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</si>
  <si>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</si>
  <si>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</si>
  <si>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</si>
  <si>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</si>
  <si>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</si>
  <si>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</si>
  <si>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</si>
  <si>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</si>
  <si>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</si>
  <si>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</si>
  <si>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</si>
  <si>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</si>
  <si>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</si>
  <si>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</si>
  <si>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</si>
  <si>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</si>
  <si>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</si>
  <si>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</si>
  <si>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</si>
  <si>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</si>
  <si>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</si>
  <si>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</si>
  <si>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</si>
  <si>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</si>
  <si>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</si>
  <si>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</si>
  <si>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</si>
  <si>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</si>
  <si>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</si>
  <si>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</si>
  <si>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</si>
  <si>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</si>
  <si>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</si>
  <si>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</si>
  <si>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</si>
  <si>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</si>
  <si>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</si>
  <si>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</si>
  <si>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</si>
  <si>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</si>
  <si>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</si>
  <si>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</si>
  <si>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</si>
  <si>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</si>
  <si>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</si>
  <si>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</si>
  <si>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</si>
  <si>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</si>
  <si>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</si>
  <si>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</si>
  <si>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</si>
  <si>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</si>
  <si>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</si>
  <si>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</si>
  <si>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</si>
  <si>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</si>
  <si>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</si>
  <si>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</si>
  <si>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</si>
  <si>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</si>
  <si>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</si>
  <si>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</si>
  <si>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</si>
  <si>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</si>
  <si>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</si>
  <si>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</si>
  <si>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</si>
  <si>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</si>
  <si>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</si>
  <si>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</si>
  <si>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</si>
  <si>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</si>
  <si>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</si>
  <si>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</si>
  <si>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</si>
  <si>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</si>
  <si>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</si>
  <si>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</si>
  <si>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</si>
  <si>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</si>
  <si>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</si>
  <si>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</si>
  <si>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</si>
  <si>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</si>
  <si>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</si>
  <si>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</si>
  <si>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</si>
  <si>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</si>
  <si>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</si>
  <si>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</si>
  <si>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</si>
  <si>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</si>
  <si>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</si>
  <si>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</si>
  <si>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</si>
  <si>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</si>
  <si>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</si>
  <si>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</si>
  <si>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</si>
  <si>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</si>
  <si>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</si>
  <si>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</si>
  <si>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</si>
  <si>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</si>
  <si>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</si>
  <si>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</si>
  <si>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</si>
  <si>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</si>
  <si>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</si>
  <si>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</si>
  <si>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</si>
  <si>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</si>
  <si>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</si>
  <si>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</si>
  <si>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</si>
  <si>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</si>
  <si>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</si>
  <si>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</si>
  <si>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</si>
  <si>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</si>
  <si>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</si>
  <si>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</si>
  <si>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</si>
  <si>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</si>
  <si>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</si>
  <si>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</si>
  <si>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</si>
  <si>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</si>
  <si>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</si>
  <si>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</si>
  <si>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</si>
  <si>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Init</t>
  </si>
  <si>
    <t>Zip code for the address</t>
  </si>
  <si>
    <t>range value to extent the relationship of a person to an address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</si>
  <si>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</si>
  <si>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</si>
  <si>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</si>
  <si>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</si>
  <si>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</si>
  <si>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</si>
  <si>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</si>
  <si>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</si>
  <si>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</si>
  <si>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</si>
  <si>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</si>
  <si>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unique / representative denotation for an addresstye as key canditate</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</si>
  <si>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</si>
  <si>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</si>
  <si>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</si>
  <si>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</si>
  <si>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</si>
  <si>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</si>
  <si>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</si>
  <si>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</si>
  <si>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</si>
  <si>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</si>
  <si>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</si>
  <si>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</si>
  <si>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</si>
  <si>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</si>
  <si>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</si>
  <si>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</si>
  <si>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</si>
  <si>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access path to search a specific IBAN account number in data</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</si>
  <si>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</si>
  <si>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</si>
  <si>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</si>
  <si>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</si>
  <si>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</si>
  <si>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</si>
  <si>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</si>
  <si>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</si>
  <si>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</si>
  <si>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</si>
  <si>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</si>
  <si>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</si>
  <si>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</si>
  <si>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</si>
  <si>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</si>
  <si>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</si>
  <si>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</si>
  <si>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</si>
  <si>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</si>
  <si>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</si>
  <si>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</si>
  <si>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</si>
  <si>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</si>
  <si>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</si>
  <si>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</si>
  <si>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generalization from an employee to a person (is-a relationship)</t>
  </si>
  <si>
    <t>range value as domain for this attribute, possible jobpositions in company</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</si>
  <si>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</si>
  <si>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</si>
  <si>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</si>
  <si>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access path to search for informations about job specifications</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</si>
  <si>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</si>
  <si>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</si>
  <si>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</si>
  <si>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</si>
  <si>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</si>
  <si>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</si>
  <si>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</si>
  <si>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</si>
  <si>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</si>
  <si>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</si>
  <si>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</si>
  <si>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</si>
  <si>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</si>
  <si>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</si>
  <si>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</si>
  <si>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</si>
  <si>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</si>
  <si>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</si>
  <si>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</si>
  <si>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</si>
  <si>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</si>
  <si>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</si>
  <si>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</si>
  <si>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</si>
  <si>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</si>
  <si>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</si>
  <si>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</si>
  <si>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</si>
  <si>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</si>
  <si>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</si>
  <si>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</si>
  <si>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</si>
  <si>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</si>
  <si>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</si>
  <si>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</si>
  <si>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</si>
  <si>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</si>
  <si>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</si>
  <si>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</si>
  <si>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</si>
  <si>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</si>
  <si>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</si>
  <si>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</si>
  <si>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</si>
  <si>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</si>
  <si>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</si>
  <si>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</si>
  <si>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</si>
  <si>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</si>
  <si>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</si>
  <si>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</si>
  <si>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</si>
  <si>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</si>
  <si>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</si>
  <si>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</si>
  <si>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</si>
  <si>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</si>
  <si>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</si>
  <si>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</si>
  <si>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</si>
  <si>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</si>
  <si>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</si>
  <si>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</si>
  <si>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</si>
  <si>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</si>
  <si>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</si>
  <si>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</si>
  <si>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</si>
  <si>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</si>
  <si>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</si>
  <si>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</si>
  <si>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</si>
  <si>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</si>
  <si>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</si>
  <si>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</si>
  <si>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</si>
  <si>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</si>
  <si>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</si>
  <si>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</si>
  <si>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</si>
  <si>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</si>
  <si>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</si>
  <si>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</si>
  <si>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</si>
  <si>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</si>
  <si>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</si>
  <si>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</si>
  <si>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</si>
  <si>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</si>
  <si>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</si>
  <si>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</si>
  <si>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</si>
  <si>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</si>
  <si>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</si>
  <si>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</si>
  <si>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unique / representative denotation for a family type (choosen gender) as key canditate for this entity</t>
  </si>
  <si>
    <t>unique / representative denotation forthe department as key canditate for this entity</t>
  </si>
  <si>
    <t>unique / representative official name of the country as key canditate for this entity</t>
  </si>
  <si>
    <t>unique / representative official iso code of the country as key canditate for this entity</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</si>
  <si>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</si>
  <si>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</si>
  <si>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</si>
  <si>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</si>
  <si>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</si>
  <si>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</si>
  <si>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</si>
  <si>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</si>
  <si>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</si>
  <si>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</si>
  <si>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</si>
  <si>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</si>
  <si>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</si>
  <si>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</si>
  <si>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</si>
  <si>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</si>
  <si>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</si>
  <si>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</si>
  <si>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</si>
  <si>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</si>
  <si>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</si>
  <si>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</si>
  <si>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</si>
  <si>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</si>
  <si>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</si>
  <si>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</si>
  <si>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</si>
  <si>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</si>
  <si>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</si>
  <si>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</si>
  <si>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</si>
  <si>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</si>
  <si>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</si>
  <si>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</si>
  <si>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</si>
  <si>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</si>
  <si>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</si>
  <si>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</si>
  <si>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</si>
  <si>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</si>
  <si>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</si>
  <si>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</si>
  <si>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</si>
  <si>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</si>
  <si>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access path to search for name and / or firstname in a person</t>
  </si>
  <si>
    <t>part of relationship from a phone number to the person who own it</t>
  </si>
  <si>
    <t>range value to extent the relationship of a person to a phone number</t>
  </si>
  <si>
    <t>key ID to the associated entity of Countries, where phone connection located</t>
  </si>
  <si>
    <t>access path to search a phone number</t>
  </si>
  <si>
    <t>range value to extent the relationship of a person to a form of address</t>
  </si>
  <si>
    <t>range value to extent the relationship of a person to a family status</t>
  </si>
  <si>
    <t>part of relationship from an internet connection to the person who own it</t>
  </si>
  <si>
    <t>range value to extent the relationship of a person to an internet connection</t>
  </si>
  <si>
    <t>access path to seach a address of internet connection</t>
  </si>
  <si>
    <t>represent</t>
  </si>
  <si>
    <t>assoziation between a form of address and a familiy type which is represent</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</si>
  <si>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</si>
  <si>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</si>
  <si>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</si>
  <si>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</si>
  <si>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</si>
  <si>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</si>
  <si>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</si>
  <si>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</si>
  <si>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</si>
  <si>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</si>
  <si>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</si>
  <si>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</si>
  <si>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</si>
  <si>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</si>
  <si>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</si>
  <si>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</si>
  <si>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</si>
  <si>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</si>
  <si>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</si>
  <si>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</si>
  <si>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</si>
  <si>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</si>
  <si>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</si>
  <si>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</si>
  <si>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</si>
  <si>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</si>
  <si>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</si>
  <si>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</si>
  <si>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</si>
  <si>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</si>
  <si>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</si>
  <si>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</si>
  <si>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</si>
  <si>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</si>
  <si>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</si>
  <si>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</si>
  <si>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</si>
  <si>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</si>
  <si>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</si>
  <si>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</si>
  <si>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</si>
  <si>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</si>
  <si>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</si>
  <si>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</si>
  <si>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</si>
  <si>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</si>
  <si>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</si>
  <si>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</si>
  <si>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</si>
  <si>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</si>
  <si>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</si>
  <si>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</si>
  <si>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</si>
  <si>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</si>
  <si>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</si>
  <si>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</si>
  <si>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</si>
  <si>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</si>
  <si>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</si>
  <si>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</si>
  <si>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</si>
  <si>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</si>
  <si>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</si>
  <si>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</si>
  <si>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</si>
  <si>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</si>
  <si>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</si>
  <si>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</si>
  <si>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</si>
  <si>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</si>
  <si>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</si>
  <si>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</si>
  <si>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</si>
  <si>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</si>
  <si>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</si>
  <si>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</si>
  <si>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</si>
  <si>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</si>
  <si>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</si>
  <si>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</si>
  <si>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</si>
  <si>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</si>
  <si>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</si>
  <si>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</si>
  <si>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</si>
  <si>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</si>
  <si>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</si>
  <si>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</si>
  <si>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</si>
  <si>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</si>
  <si>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</si>
  <si>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</si>
  <si>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</si>
  <si>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</si>
  <si>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</si>
  <si>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</si>
  <si>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</si>
  <si>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</si>
  <si>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</si>
  <si>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</si>
  <si>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</si>
  <si>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</si>
  <si>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</si>
  <si>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</si>
  <si>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</si>
  <si>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</si>
  <si>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</si>
  <si>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</si>
  <si>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</si>
  <si>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</si>
  <si>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</si>
  <si>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</si>
  <si>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</si>
  <si>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</si>
  <si>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</si>
  <si>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</si>
  <si>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</si>
  <si>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</si>
  <si>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</si>
  <si>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</si>
  <si>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</si>
  <si>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</si>
  <si>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</si>
  <si>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</si>
  <si>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</si>
  <si>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</si>
  <si>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</si>
  <si>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</si>
  <si>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</si>
  <si>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</si>
  <si>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</si>
  <si>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</si>
  <si>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</si>
  <si>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</si>
  <si>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</si>
  <si>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</si>
  <si>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</si>
  <si>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</si>
  <si>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</si>
  <si>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</si>
  <si>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</si>
  <si>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</si>
  <si>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</si>
  <si>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</si>
  <si>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</si>
  <si>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</si>
  <si>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</si>
  <si>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</si>
  <si>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</si>
  <si>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</si>
  <si>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</si>
  <si>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</si>
  <si>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</si>
  <si>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</si>
  <si>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</si>
  <si>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</si>
  <si>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</si>
  <si>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</si>
  <si>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</si>
  <si>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</si>
  <si>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</si>
  <si>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</si>
  <si>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</si>
  <si>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</si>
  <si>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</si>
  <si>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</si>
  <si>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</si>
  <si>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</si>
  <si>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</si>
  <si>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</si>
  <si>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</si>
  <si>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</si>
  <si>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</si>
  <si>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</si>
  <si>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</si>
  <si>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</si>
  <si>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</si>
  <si>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</si>
  <si>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</si>
  <si>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</si>
  <si>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</si>
  <si>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</si>
  <si>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</si>
  <si>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</si>
  <si>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</si>
  <si>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</si>
  <si>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</si>
  <si>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</si>
  <si>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</si>
  <si>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</si>
  <si>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</si>
  <si>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</si>
  <si>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</si>
  <si>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</si>
  <si>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</si>
  <si>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</si>
  <si>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</si>
  <si>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</si>
  <si>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</si>
  <si>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</si>
  <si>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</si>
  <si>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</si>
  <si>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</si>
  <si>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</si>
  <si>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</si>
  <si>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</si>
  <si>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</si>
  <si>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</si>
  <si>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</si>
  <si>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</si>
  <si>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</si>
  <si>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</si>
  <si>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</si>
  <si>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</si>
  <si>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</si>
  <si>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</si>
  <si>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</si>
  <si>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</si>
  <si>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</si>
  <si>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</si>
  <si>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</si>
  <si>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</si>
  <si>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</si>
  <si>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</si>
  <si>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</si>
  <si>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</si>
  <si>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</si>
  <si>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</si>
  <si>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</si>
  <si>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</si>
  <si>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</si>
  <si>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</si>
  <si>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</si>
  <si>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</si>
  <si>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unique / representative denotation for a form of address</t>
  </si>
  <si>
    <t>unique / representative denotation for a family status as key canditate for this entity</t>
  </si>
  <si>
    <t>unique / representative denotation for this internet type</t>
  </si>
  <si>
    <t>unique / representative denotation for this position in job</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</si>
  <si>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</si>
  <si>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</si>
  <si>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</si>
  <si>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</si>
  <si>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</si>
  <si>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</si>
  <si>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</si>
  <si>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</si>
  <si>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</si>
  <si>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</si>
  <si>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</si>
  <si>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</si>
  <si>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</si>
  <si>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</si>
  <si>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</si>
  <si>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</si>
  <si>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</si>
  <si>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</si>
  <si>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</si>
  <si>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</si>
  <si>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</si>
  <si>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</si>
  <si>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</si>
  <si>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</si>
  <si>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</si>
  <si>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</si>
  <si>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</si>
  <si>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</si>
  <si>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</si>
  <si>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</si>
  <si>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</si>
  <si>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</si>
  <si>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</si>
  <si>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</si>
  <si>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</si>
  <si>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</si>
  <si>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</si>
  <si>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</si>
  <si>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</si>
  <si>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</si>
  <si>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</si>
  <si>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</si>
  <si>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</si>
  <si>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</si>
  <si>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</si>
  <si>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</si>
  <si>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</si>
  <si>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</si>
  <si>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</si>
  <si>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</si>
  <si>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</si>
  <si>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</si>
  <si>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</si>
  <si>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unique / representative denotation for this month, use in selections or to display</t>
  </si>
  <si>
    <t>unique / representative abbreviation for this month, use in selections or to display</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</si>
  <si>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</si>
  <si>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</si>
  <si>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</si>
  <si>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</si>
  <si>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</si>
  <si>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</si>
  <si>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</si>
  <si>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</si>
  <si>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</si>
  <si>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</si>
  <si>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</si>
  <si>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</si>
  <si>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</si>
  <si>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</si>
  <si>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</si>
  <si>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</si>
  <si>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</si>
  <si>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</si>
  <si>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</si>
  <si>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</si>
  <si>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</si>
  <si>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</si>
  <si>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</si>
  <si>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</si>
  <si>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</si>
  <si>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</si>
  <si>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</si>
  <si>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</si>
  <si>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</si>
  <si>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</si>
  <si>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</si>
  <si>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</si>
  <si>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</si>
  <si>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</si>
  <si>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</si>
  <si>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</si>
  <si>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</si>
  <si>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</si>
  <si>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</si>
  <si>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</si>
  <si>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</si>
  <si>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</si>
  <si>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</si>
  <si>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</si>
  <si>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</si>
  <si>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</si>
  <si>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</si>
  <si>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</si>
  <si>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</si>
  <si>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</si>
  <si>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</si>
  <si>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</si>
  <si>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</si>
  <si>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</si>
  <si>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</si>
  <si>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</si>
  <si>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</si>
  <si>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</si>
  <si>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</si>
  <si>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</si>
  <si>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</si>
  <si>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</si>
  <si>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</si>
  <si>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</si>
  <si>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</si>
  <si>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</si>
  <si>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</si>
  <si>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</si>
  <si>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range value for the calendar weekday</t>
  </si>
  <si>
    <t>range value for the calendar month</t>
  </si>
  <si>
    <t>access path for search year and month for reports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</si>
  <si>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</si>
  <si>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</si>
  <si>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</si>
  <si>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</si>
  <si>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</si>
  <si>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</si>
  <si>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</si>
  <si>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</si>
  <si>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</si>
  <si>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</si>
  <si>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</si>
  <si>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</si>
  <si>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</si>
  <si>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</si>
  <si>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</si>
  <si>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</si>
  <si>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</si>
  <si>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</si>
  <si>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</si>
  <si>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</si>
  <si>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</si>
  <si>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</si>
  <si>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</si>
  <si>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</si>
  <si>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</si>
  <si>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</si>
  <si>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</si>
  <si>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</si>
  <si>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</si>
  <si>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</si>
  <si>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</si>
  <si>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</si>
  <si>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</si>
  <si>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</si>
  <si>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</si>
  <si>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</si>
  <si>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</si>
  <si>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</si>
  <si>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</si>
  <si>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</si>
  <si>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</si>
  <si>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</si>
  <si>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</si>
  <si>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</si>
  <si>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</si>
  <si>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EmployeeID</t>
  </si>
  <si>
    <t>EmployID</t>
  </si>
  <si>
    <t>boolean value that makes this entity of salary base to a system value (cannot be changed as it is used directly by the program)</t>
  </si>
  <si>
    <t>unique identification number / id of the type of salary</t>
  </si>
  <si>
    <t>unique denotation for the type of salary</t>
  </si>
  <si>
    <t>abbreviation for thetype of salary, used in the application for a compact display</t>
  </si>
  <si>
    <t>description as long text for the type of salary, used in the application for detailed informations</t>
  </si>
  <si>
    <t>id of the salary base which is used for this type of salary (foreign key from SalaryBase)</t>
  </si>
  <si>
    <t>protocoll prefix which is used for this internet type (smtp:, phone:, https_, …)</t>
  </si>
  <si>
    <t>kind of salary as range value and base for calculations (fix, bonus, hourly, dayly, monthly, ...)</t>
  </si>
  <si>
    <t>System\\HR</t>
  </si>
  <si>
    <t>System\\Corporate</t>
  </si>
  <si>
    <t>myHR::WorkingTime</t>
  </si>
  <si>
    <t>System\\Sales</t>
  </si>
  <si>
    <t>ServiceAgent</t>
  </si>
  <si>
    <t>employee is  responsible for this client (association with the employys entity)</t>
  </si>
  <si>
    <t>Customers</t>
  </si>
  <si>
    <t>CustClassification</t>
  </si>
  <si>
    <t>range values as domain for the attribute CustClassification</t>
  </si>
  <si>
    <t>assoziations between an customer to the the employee who act as service agent</t>
  </si>
  <si>
    <t>domain / range with the classifications for customers</t>
  </si>
  <si>
    <t>unique identification number / id of this classification of a customer</t>
  </si>
  <si>
    <t>unique denotation of this classification of a customer</t>
  </si>
  <si>
    <t>abbreviation of this classification of a customer, used in the application for a compact display</t>
  </si>
  <si>
    <t>description as long text of this classification of a customer, used in the application for detailed informations</t>
  </si>
  <si>
    <t>notes, with additional / free information of this classification of a customer, not used in the application</t>
  </si>
  <si>
    <t>boolean value that makes this entity of this classification of a customer to a system value (cannot be changed as it is used directly by the program)</t>
  </si>
  <si>
    <t>dbo.CustClassification</t>
  </si>
  <si>
    <t>mySales::CustClassification</t>
  </si>
  <si>
    <t>'Neukunde'</t>
  </si>
  <si>
    <t>'VIP-Kunde'</t>
  </si>
  <si>
    <t>'Gelegenheitskunde'</t>
  </si>
  <si>
    <t>'Geschäftskunde'</t>
  </si>
  <si>
    <t>'Privatkunde'</t>
  </si>
  <si>
    <t>'Neu'</t>
  </si>
  <si>
    <t>'VIP'</t>
  </si>
  <si>
    <t>'GK'</t>
  </si>
  <si>
    <t>'B2C'</t>
  </si>
  <si>
    <t>'B2B'</t>
  </si>
  <si>
    <t>'Ein Kunde, der gerade erst begonnen hat, Geschäfte mit dem Unternehmen zu tätigen und möglicherweise noch nicht viel Erfahrung mit den Produkten oder Dienstleistungen des Unternehmens hat.'</t>
  </si>
  <si>
    <t>'Ein Kunde, der aufgrund seines langjährigen Engagements, seines hohen Umsatzes oder seiner anderen besonderen Merkmale einen VIP-Status im Unternehmen hat.'</t>
  </si>
  <si>
    <t>'Ein Kunde, der nur gelegentlich Geschäfte mit dem Unternehmen tätigt und keine regelmäßigen oder wiederkehrenden Käufe macht.'</t>
  </si>
  <si>
    <t>'Ein Kunde, der ein anderes Unternehmen oder eine Organisation vertritt und Produkte oder Dienstleistungen für geschäftliche Zwecke erwirbt. Diese Kunden haben oft spezifische Anforderungen und erwarten eine professionelle Betreuung.'</t>
  </si>
  <si>
    <t>'Ein Kunde, der als Einzelperson Produkte oder Dienstleistungen für den persönlichen Gebrauch erwirbt. Diese Kunden können eine Vielzahl von Bedürfnissen haben und erwarten oft eine persönliche und freundliche Betreuung.'</t>
  </si>
  <si>
    <t>dbo.Customers</t>
  </si>
  <si>
    <t>mySales::Customers</t>
  </si>
  <si>
    <t>CustID</t>
  </si>
  <si>
    <t>information to the data of a client / customer  (inherited from Person)</t>
  </si>
  <si>
    <t>CustLiaison</t>
  </si>
  <si>
    <t>dbo.CustLiaison</t>
  </si>
  <si>
    <t>mySales::CustLiaison</t>
  </si>
  <si>
    <t>doman range with the liaisons to use a contact at a customer</t>
  </si>
  <si>
    <t>unique identification number / id of this liaison to use a contact in a customer</t>
  </si>
  <si>
    <t>unique denotation of this liaison to use a contact in a customer</t>
  </si>
  <si>
    <t>abbreviation of this liaison to use a contact in a customer, used in the application for a compact display</t>
  </si>
  <si>
    <t>description as long text of this liaison to use a contact in a customer, used in the application for detailed informations</t>
  </si>
  <si>
    <t>notes, with additional / free information of this  liaison to use a contact in a customer, not used in the application</t>
  </si>
  <si>
    <t>boolean value that makes this entity of this liaison to use a contact in a customer to a system value (cannot be changed as it is used directly by the program)</t>
  </si>
  <si>
    <t>unique / representative denotation for this liaison for the contact</t>
  </si>
  <si>
    <t>unique / representative denotation for this customers classification</t>
  </si>
  <si>
    <t>'Projekt'</t>
  </si>
  <si>
    <t>'Finanzen'</t>
  </si>
  <si>
    <t>'Technik'</t>
  </si>
  <si>
    <t>'Vertrag'</t>
  </si>
  <si>
    <t>'Vertragsmanager/in'</t>
  </si>
  <si>
    <t>'Kaufmännische/r Berater/in'</t>
  </si>
  <si>
    <t>'Technische/r Berater/in'</t>
  </si>
  <si>
    <t>'Projektmanager/in'</t>
  </si>
  <si>
    <t>'Der Projektleiter ist die zentrale Kontaktperson beim Kunden während eines Projekts. Sie sind verantwortlich für die Planung, Organisation und Überwachung des Projekts sowie für die Koordination aller internen und externen Aktivitäten.'</t>
  </si>
  <si>
    <t>'Der technische Ansprechpartner ist eine Person beim Kunden, die als direkter Kontaktpunkt für technische Fragen, Unterstützung und Problemlösungen fungiert.'</t>
  </si>
  <si>
    <t>'Der kaufmännische Ansprechpartner ist für alle kaufmännischen Belange beim Kunden zuständig. Er ist verantwortlich für die Verwaltung von Verträgen, Preisgestaltung, Budgetierung und anderen finanziellen Fragen.'</t>
  </si>
  <si>
    <t>'Der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t>
  </si>
  <si>
    <t>'Der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t>
  </si>
  <si>
    <t>'Geschäftsführer/in'</t>
  </si>
  <si>
    <t>'GV'</t>
  </si>
  <si>
    <t>Contacts</t>
  </si>
  <si>
    <t>dbo.Contacts</t>
  </si>
  <si>
    <t>mySales::Contacts</t>
  </si>
  <si>
    <t>information to the data of a contact person at the customer  (inherited from Person)</t>
  </si>
  <si>
    <t>ContactID</t>
  </si>
  <si>
    <t xml:space="preserve">internal id for this contact, attribute as foreign key from an attribute ID of a person entity </t>
  </si>
  <si>
    <t xml:space="preserve">internal id for this client, attribute as foreign key from an attribute ID of a person entity </t>
  </si>
  <si>
    <t>liaision for this contact person as range value (from table CustLiasion)</t>
  </si>
  <si>
    <t>classification of this customer as range value (from table CustClassification)</t>
  </si>
  <si>
    <t>Customer identification number of the contact associated customer.</t>
  </si>
  <si>
    <t>refContacts2Person</t>
  </si>
  <si>
    <t>refContacts2Customer</t>
  </si>
  <si>
    <t>refContacts2Liaison</t>
  </si>
  <si>
    <t>range values as domain for the attribute CustLiaison</t>
  </si>
  <si>
    <t>part of relationship of the contact to a customer</t>
  </si>
  <si>
    <t>generalization of a custumer to a person (is-a relationship)</t>
  </si>
  <si>
    <t>generalization of a contact to a person (is-a relationship)</t>
  </si>
  <si>
    <t>CorporateForm</t>
  </si>
  <si>
    <t>'Eine GmbH ist eine Kapitalgesellschaft, bei der die Haftung der Gesellschafter auf ihre Einlagen beschränkt ist.'</t>
  </si>
  <si>
    <t>'Gesellschaft mit beschränkter Haftung'</t>
  </si>
  <si>
    <t>'AG'</t>
  </si>
  <si>
    <t>'Aktiengesellschaft'</t>
  </si>
  <si>
    <t>'Eine AG ist eine Kapitalgesellschaft, deren Grundkapital in Aktien zerlegt ist und deren Eigentümer (Aktionäre) beschränkt haften.'</t>
  </si>
  <si>
    <t>'Unternehmergesellschaft (haftungsbeschränkt)'</t>
  </si>
  <si>
    <t>'UG'</t>
  </si>
  <si>
    <t>'Eine UG ist eine haftungsbeschränkte Kapitalgesellschaft, die eine niedrigere Mindesteinlage erfordert als eine GmbH. Sie kann in eine GmbH umgewandelt werden.'</t>
  </si>
  <si>
    <t>'Offene Handelsgesellschaft'</t>
  </si>
  <si>
    <t>'OHG'</t>
  </si>
  <si>
    <t>'Eine OHG ist eine Personengesellschaft, bei der alle Gesellschafter unbeschränkt und persönlich für die Verbindlichkeiten der Gesellschaft haften.'</t>
  </si>
  <si>
    <t>'Kommanditgesellschaft'</t>
  </si>
  <si>
    <t>'KG'</t>
  </si>
  <si>
    <t>'Eine KG ist eine Personengesellschaft, bei der es neben den unbeschränkt haftenden Gesellschaftern (Komplementären) auch beschränkt haftende Gesellschafter gibt.'</t>
  </si>
  <si>
    <t>'e.K.'</t>
  </si>
  <si>
    <t>'Einzelkaufmann'</t>
  </si>
  <si>
    <t>'Ein e.K. ist eine Einzelunternehmung, bei der der Unternehmer allein und unbeschränkt für alle Verbindlichkeiten haftet.'</t>
  </si>
  <si>
    <t>'GmbH &amp; Co. KG'</t>
  </si>
  <si>
    <t>'Ges. mit beschr. Haftung &amp; Compagnie Kommanditges.'</t>
  </si>
  <si>
    <t>'Eine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t>
  </si>
  <si>
    <t>IsLegalEntrity</t>
  </si>
  <si>
    <t>dbo.CorporateForm</t>
  </si>
  <si>
    <t>myCorporate::CorporateForm</t>
  </si>
  <si>
    <t>LegalForm</t>
  </si>
  <si>
    <t>legal form of this customer</t>
  </si>
  <si>
    <t>This table stores information about various types of legal forms. Each row corresponds to a specific legal form with several informations.</t>
  </si>
  <si>
    <t>unique identification number / id for this enity of Legal Forms. Used as primary key and for relationships</t>
  </si>
  <si>
    <t>unique denotation for this entity. denotes the name or designation of the legal form</t>
  </si>
  <si>
    <t>Abbreviated form of the legal form,  used in the application or reports for a compact display</t>
  </si>
  <si>
    <t>provides a detailed description of the legal form. long text of this entity, used in the application for detailed informations</t>
  </si>
  <si>
    <t>indicates whether the legal form has urgent significance (true/false)</t>
  </si>
  <si>
    <t>indicates whether the legal form constitutes a legal entity (true/false)</t>
  </si>
  <si>
    <t>unique / representative denotation for this corporate form</t>
  </si>
  <si>
    <t>unique / representative abbreviation for this corporate form</t>
  </si>
  <si>
    <t>range values as domain for the attribute LegalForms</t>
  </si>
  <si>
    <t>'Gesellschaft bürgerlichen Rechts'</t>
  </si>
  <si>
    <t>'GbR'</t>
  </si>
  <si>
    <t>'GmbH'</t>
  </si>
  <si>
    <t>'Eine GbR ist eine Personengesellschaft, bei der mindestens zwei natürliche oder juristische Personen gemeinsam ein bestimmtes Ziel verfolgen und gemeinsam handeln.'</t>
  </si>
  <si>
    <t>Corba</t>
  </si>
  <si>
    <t>Import</t>
  </si>
  <si>
    <t>boolean</t>
  </si>
  <si>
    <t>BasicModule::YearMonthDay</t>
  </si>
  <si>
    <t>Basic.idl</t>
  </si>
  <si>
    <t>BasicModule::TimePoint</t>
  </si>
  <si>
    <t>long</t>
  </si>
  <si>
    <t>short</t>
  </si>
  <si>
    <t>unsigned long</t>
  </si>
  <si>
    <t>string</t>
  </si>
  <si>
    <t>ki</t>
  </si>
  <si>
    <t>'Befreiung vom Nationalsozialismus'</t>
  </si>
  <si>
    <t>'Reformationstag'</t>
  </si>
  <si>
    <t>Address2Person</t>
  </si>
  <si>
    <t>Address2AddressType</t>
  </si>
  <si>
    <t>Address2Countries</t>
  </si>
  <si>
    <t>Banking2Person</t>
  </si>
  <si>
    <t>Banking2Type</t>
  </si>
  <si>
    <t>Banking2Countries</t>
  </si>
  <si>
    <t>Departments2Employee</t>
  </si>
  <si>
    <t>Employees2Person</t>
  </si>
  <si>
    <t>Employees2SalaryType</t>
  </si>
  <si>
    <t>Employees2TaxClass</t>
  </si>
  <si>
    <t>Employees2ReasonDeparture</t>
  </si>
  <si>
    <t>Employees2JobPositions</t>
  </si>
  <si>
    <t>Employees2Department</t>
  </si>
  <si>
    <t>FormOfAddress2Type</t>
  </si>
  <si>
    <t>Internet2Person</t>
  </si>
  <si>
    <t>Internet2Type</t>
  </si>
  <si>
    <t>JobPosition2SalaryType</t>
  </si>
  <si>
    <t>Person2FormOfAddress</t>
  </si>
  <si>
    <t>Person2FamilyStatus</t>
  </si>
  <si>
    <t>Phone2Person</t>
  </si>
  <si>
    <t>Phone2Type</t>
  </si>
  <si>
    <t>Phone2Countries</t>
  </si>
  <si>
    <t>SalaryType2SalaryBase</t>
  </si>
  <si>
    <t>WD_Holidays_Workdays</t>
  </si>
  <si>
    <t>NonWorking2Employee</t>
  </si>
  <si>
    <t>NonWorking2Workday_Start</t>
  </si>
  <si>
    <t>NonWorking2Workday_Finishing</t>
  </si>
  <si>
    <t>NonWorking2Reason</t>
  </si>
  <si>
    <t>WD_Workdays2WeekDay</t>
  </si>
  <si>
    <t>WD_Workdays2Month</t>
  </si>
  <si>
    <t>WorkTime2Employee</t>
  </si>
  <si>
    <t>Customers2LegalForms</t>
  </si>
  <si>
    <t>Customers2Employees_SA</t>
  </si>
  <si>
    <t>Customers2Classification</t>
  </si>
  <si>
    <t>Customers2Person</t>
  </si>
  <si>
    <t>CustLiaison_Donation</t>
  </si>
  <si>
    <t>CustClass_Donation</t>
  </si>
  <si>
    <t>CorporateForm_Abbreviation</t>
  </si>
  <si>
    <t>CorporateForm_Donation</t>
  </si>
  <si>
    <t>TaxClasses_Abbreviation</t>
  </si>
  <si>
    <t>TaxClasses_Denotation</t>
  </si>
  <si>
    <t>WD_Workdays_Years_Month</t>
  </si>
  <si>
    <t>WD_Weekdays_Abbreviation</t>
  </si>
  <si>
    <t>WD_Weekdays_Denotation</t>
  </si>
  <si>
    <t>WD_Months_Abbreviation</t>
  </si>
  <si>
    <t>WD_Months_Denotation</t>
  </si>
  <si>
    <t>SalaryBase_Abbreviation</t>
  </si>
  <si>
    <t>SalaryBase_Denotation</t>
  </si>
  <si>
    <t>ReasonNonWorking_Denotation</t>
  </si>
  <si>
    <t>ReasonDeparture_Denotation</t>
  </si>
  <si>
    <t>PhonesTypes_Denotation</t>
  </si>
  <si>
    <t>iPhone_Number</t>
  </si>
  <si>
    <t>Person_Name_Firstname</t>
  </si>
  <si>
    <t>JobPositions_Denotation</t>
  </si>
  <si>
    <t>InternetTypes_Denotation</t>
  </si>
  <si>
    <t>Internet_Address</t>
  </si>
  <si>
    <t>FormOfAddress_Denotation</t>
  </si>
  <si>
    <t>FamilyTypes_Denotation</t>
  </si>
  <si>
    <t>FamilyStatus_Denotation</t>
  </si>
  <si>
    <t>Employees_Active</t>
  </si>
  <si>
    <t>Employees_JobSpec</t>
  </si>
  <si>
    <t>Employees_SocialNumber</t>
  </si>
  <si>
    <t>Employees_PersonNumber</t>
  </si>
  <si>
    <t>Departments_Abbr</t>
  </si>
  <si>
    <t>Departments_Denotation</t>
  </si>
  <si>
    <t>Countries_ISOCode</t>
  </si>
  <si>
    <t>Countries_Denotation</t>
  </si>
  <si>
    <t>BankingTypes_Denotation</t>
  </si>
  <si>
    <t>Banking_BIC</t>
  </si>
  <si>
    <t>Banking_IBAN</t>
  </si>
  <si>
    <t>AddressType_Denotation</t>
  </si>
  <si>
    <t>Address_City_Street</t>
  </si>
  <si>
    <t>std::chrono::system_clock::time_point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</si>
</sst>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
      <sz val="11"/>
      <color rgb="FFFF0000"/>
      <name val="Aptos Narrow"/>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right/>
      <top style="thick">
        <color auto="1"/>
      </top>
      <bottom/>
      <diagonal/>
    </border>
  </borders>
  <cellStyleXfs count="1">
    <xf numFmtId="0" fontId="0" fillId="0" borderId="0"/>
  </cellStyleXfs>
  <cellXfs count="2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0" fillId="0" borderId="1" xfId="0" applyBorder="1"/>
    <xf numFmtId="0" fontId="3" fillId="0" borderId="1" xfId="0" applyFont="1" applyBorder="1"/>
    <xf numFmtId="0" fontId="2" fillId="0" borderId="1" xfId="0" applyFont="1" applyBorder="1"/>
    <xf numFmtId="0" fontId="0" fillId="2" borderId="1" xfId="0" applyFill="1" applyBorder="1"/>
    <xf numFmtId="0" fontId="4" fillId="0" borderId="1" xfId="0" applyFont="1" applyBorder="1"/>
    <xf numFmtId="20" fontId="0" fillId="0" borderId="0" xfId="0" applyNumberFormat="1"/>
    <xf numFmtId="14" fontId="10" fillId="0" borderId="0" xfId="0" applyNumberFormat="1" applyFont="1"/>
    <xf numFmtId="0" fontId="10" fillId="0" borderId="0" xfId="0" applyFont="1"/>
    <xf numFmtId="0" fontId="10" fillId="0" borderId="0" xfId="0" quotePrefix="1" applyFont="1"/>
    <xf numFmtId="14" fontId="0" fillId="0" borderId="0" xfId="0" applyNumberFormat="1" applyAlignment="1">
      <alignment vertical="center" wrapText="1"/>
    </xf>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72"/>
  <sheetViews>
    <sheetView workbookViewId="0">
      <pane xSplit="2" ySplit="1" topLeftCell="P2" activePane="bottomRight" state="frozen"/>
      <selection pane="topRight" activeCell="C1" sqref="C1"/>
      <selection pane="bottomLeft" activeCell="A2" sqref="A2"/>
      <selection pane="bottomRight" activeCell="P57" sqref="P57:P71"/>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423</v>
      </c>
      <c r="B1" s="1" t="s">
        <v>424</v>
      </c>
      <c r="C1" s="1" t="s">
        <v>425</v>
      </c>
      <c r="D1" s="1" t="s">
        <v>426</v>
      </c>
      <c r="E1" s="1" t="s">
        <v>427</v>
      </c>
      <c r="K1" t="s">
        <v>256</v>
      </c>
      <c r="L1" t="s">
        <v>181</v>
      </c>
      <c r="M1" t="s">
        <v>429</v>
      </c>
      <c r="O1" s="1" t="s">
        <v>428</v>
      </c>
      <c r="P1" t="s">
        <v>59</v>
      </c>
    </row>
    <row r="2" spans="1:16" x14ac:dyDescent="0.45">
      <c r="A2" t="s">
        <v>98</v>
      </c>
      <c r="B2">
        <v>0</v>
      </c>
      <c r="C2" t="s">
        <v>112</v>
      </c>
      <c r="D2" t="s">
        <v>416</v>
      </c>
      <c r="E2" t="s">
        <v>165</v>
      </c>
      <c r="H2" t="s">
        <v>820</v>
      </c>
      <c r="I2" t="s">
        <v>167</v>
      </c>
      <c r="K2" s="4"/>
      <c r="L2" s="4"/>
      <c r="M2" s="4"/>
      <c r="O2" s="4" t="s">
        <v>188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98</v>
      </c>
      <c r="B3">
        <v>1</v>
      </c>
      <c r="C3" t="s">
        <v>132</v>
      </c>
      <c r="D3" t="s">
        <v>132</v>
      </c>
      <c r="E3" t="s">
        <v>20</v>
      </c>
      <c r="F3">
        <v>0</v>
      </c>
      <c r="G3">
        <v>0</v>
      </c>
      <c r="H3" t="s">
        <v>57</v>
      </c>
      <c r="I3" t="s">
        <v>57</v>
      </c>
      <c r="J3" t="s">
        <v>56</v>
      </c>
      <c r="K3" s="4"/>
      <c r="L3" s="4"/>
      <c r="M3" s="4"/>
      <c r="O3" s="4" t="s">
        <v>242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98</v>
      </c>
      <c r="B4">
        <v>2</v>
      </c>
      <c r="C4" t="s">
        <v>134</v>
      </c>
      <c r="D4" t="s">
        <v>134</v>
      </c>
      <c r="E4" t="s">
        <v>20</v>
      </c>
      <c r="F4">
        <v>0</v>
      </c>
      <c r="G4">
        <v>0</v>
      </c>
      <c r="H4" t="s">
        <v>57</v>
      </c>
      <c r="I4" t="s">
        <v>57</v>
      </c>
      <c r="J4" t="s">
        <v>57</v>
      </c>
      <c r="K4" s="4"/>
      <c r="L4" s="4"/>
      <c r="M4" s="4"/>
      <c r="O4" s="4" t="s">
        <v>189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98</v>
      </c>
      <c r="B5">
        <v>3</v>
      </c>
      <c r="C5" t="s">
        <v>136</v>
      </c>
      <c r="D5" t="s">
        <v>136</v>
      </c>
      <c r="E5" t="s">
        <v>19</v>
      </c>
      <c r="F5">
        <v>10</v>
      </c>
      <c r="G5">
        <v>0</v>
      </c>
      <c r="H5" t="s">
        <v>57</v>
      </c>
      <c r="I5" t="s">
        <v>56</v>
      </c>
      <c r="J5" t="s">
        <v>56</v>
      </c>
      <c r="K5" s="4"/>
      <c r="L5" s="4"/>
      <c r="M5" s="4"/>
      <c r="O5" s="4" t="s">
        <v>182</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98</v>
      </c>
      <c r="B6">
        <v>4</v>
      </c>
      <c r="C6" t="s">
        <v>5</v>
      </c>
      <c r="D6" t="s">
        <v>5</v>
      </c>
      <c r="E6" t="s">
        <v>19</v>
      </c>
      <c r="F6">
        <v>50</v>
      </c>
      <c r="G6">
        <v>0</v>
      </c>
      <c r="H6" t="s">
        <v>57</v>
      </c>
      <c r="I6" t="s">
        <v>56</v>
      </c>
      <c r="J6" t="s">
        <v>56</v>
      </c>
      <c r="K6" s="4"/>
      <c r="L6" s="4"/>
      <c r="M6" s="4"/>
      <c r="O6" s="4" t="s">
        <v>187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98</v>
      </c>
      <c r="B7">
        <v>5</v>
      </c>
      <c r="C7" t="s">
        <v>8</v>
      </c>
      <c r="D7" t="s">
        <v>8</v>
      </c>
      <c r="E7" t="s">
        <v>19</v>
      </c>
      <c r="F7">
        <v>50</v>
      </c>
      <c r="G7">
        <v>0</v>
      </c>
      <c r="H7" t="s">
        <v>57</v>
      </c>
      <c r="I7" t="s">
        <v>56</v>
      </c>
      <c r="J7" t="s">
        <v>56</v>
      </c>
      <c r="K7" s="4"/>
      <c r="L7" s="4"/>
      <c r="M7" s="4"/>
      <c r="O7" s="4" t="s">
        <v>186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98</v>
      </c>
      <c r="B8">
        <v>6</v>
      </c>
      <c r="C8" t="s">
        <v>135</v>
      </c>
      <c r="D8" t="s">
        <v>135</v>
      </c>
      <c r="E8" t="s">
        <v>19</v>
      </c>
      <c r="F8">
        <v>10</v>
      </c>
      <c r="G8">
        <v>0</v>
      </c>
      <c r="H8" t="s">
        <v>56</v>
      </c>
      <c r="I8" t="s">
        <v>56</v>
      </c>
      <c r="J8" t="s">
        <v>56</v>
      </c>
      <c r="K8" s="4"/>
      <c r="L8" s="4"/>
      <c r="M8" s="4"/>
      <c r="O8" s="4" t="s">
        <v>190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98</v>
      </c>
      <c r="B9">
        <v>7</v>
      </c>
      <c r="C9" t="s">
        <v>137</v>
      </c>
      <c r="D9" t="s">
        <v>137</v>
      </c>
      <c r="E9" t="s">
        <v>20</v>
      </c>
      <c r="F9">
        <v>0</v>
      </c>
      <c r="G9">
        <v>0</v>
      </c>
      <c r="H9" t="s">
        <v>57</v>
      </c>
      <c r="I9" t="s">
        <v>56</v>
      </c>
      <c r="J9" t="s">
        <v>56</v>
      </c>
      <c r="K9" s="4"/>
      <c r="L9" s="4"/>
      <c r="M9" s="4"/>
      <c r="O9" s="4" t="s">
        <v>430</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99</v>
      </c>
      <c r="B11">
        <v>0</v>
      </c>
      <c r="C11" t="s">
        <v>113</v>
      </c>
      <c r="D11" t="s">
        <v>415</v>
      </c>
      <c r="E11" t="s">
        <v>92</v>
      </c>
      <c r="H11" t="s">
        <v>820</v>
      </c>
      <c r="I11" t="s">
        <v>167</v>
      </c>
      <c r="K11" s="4"/>
      <c r="L11" s="4"/>
      <c r="M11" s="4"/>
      <c r="O11" s="4" t="s">
        <v>185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99</v>
      </c>
      <c r="B12">
        <v>1</v>
      </c>
      <c r="C12" t="s">
        <v>132</v>
      </c>
      <c r="D12" t="s">
        <v>132</v>
      </c>
      <c r="E12" t="s">
        <v>20</v>
      </c>
      <c r="F12">
        <v>0</v>
      </c>
      <c r="G12">
        <v>0</v>
      </c>
      <c r="H12" t="s">
        <v>57</v>
      </c>
      <c r="I12" t="s">
        <v>57</v>
      </c>
      <c r="J12" t="s">
        <v>56</v>
      </c>
      <c r="K12" s="4"/>
      <c r="L12" s="4"/>
      <c r="M12" s="4"/>
      <c r="O12" s="4" t="s">
        <v>206</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99</v>
      </c>
      <c r="B13">
        <v>2</v>
      </c>
      <c r="C13" t="s">
        <v>127</v>
      </c>
      <c r="D13" t="s">
        <v>127</v>
      </c>
      <c r="E13" t="s">
        <v>19</v>
      </c>
      <c r="F13">
        <v>50</v>
      </c>
      <c r="G13">
        <v>0</v>
      </c>
      <c r="H13" t="s">
        <v>57</v>
      </c>
      <c r="I13" t="s">
        <v>56</v>
      </c>
      <c r="J13" t="s">
        <v>57</v>
      </c>
      <c r="K13" s="4"/>
      <c r="L13" s="4"/>
      <c r="M13" s="4"/>
      <c r="O13" s="4" t="s">
        <v>191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99</v>
      </c>
      <c r="B14">
        <v>3</v>
      </c>
      <c r="C14" t="s">
        <v>128</v>
      </c>
      <c r="D14" t="s">
        <v>128</v>
      </c>
      <c r="E14" t="s">
        <v>19</v>
      </c>
      <c r="F14">
        <v>10</v>
      </c>
      <c r="G14">
        <v>0</v>
      </c>
      <c r="H14" t="s">
        <v>56</v>
      </c>
      <c r="I14" t="s">
        <v>56</v>
      </c>
      <c r="J14" t="s">
        <v>56</v>
      </c>
      <c r="K14" s="4"/>
      <c r="L14" s="4"/>
      <c r="M14" s="4"/>
      <c r="O14" s="4" t="s">
        <v>192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99</v>
      </c>
      <c r="B15">
        <v>4</v>
      </c>
      <c r="C15" t="s">
        <v>129</v>
      </c>
      <c r="D15" t="s">
        <v>129</v>
      </c>
      <c r="E15" t="s">
        <v>76</v>
      </c>
      <c r="F15">
        <v>0</v>
      </c>
      <c r="G15">
        <v>0</v>
      </c>
      <c r="H15" t="s">
        <v>56</v>
      </c>
      <c r="I15" t="s">
        <v>56</v>
      </c>
      <c r="J15" t="s">
        <v>56</v>
      </c>
      <c r="K15" s="4"/>
      <c r="L15" s="4"/>
      <c r="M15" s="4"/>
      <c r="O15" s="4" t="s">
        <v>193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99</v>
      </c>
      <c r="B16">
        <v>5</v>
      </c>
      <c r="C16" t="s">
        <v>130</v>
      </c>
      <c r="D16" t="s">
        <v>130</v>
      </c>
      <c r="E16" t="s">
        <v>76</v>
      </c>
      <c r="F16">
        <v>0</v>
      </c>
      <c r="G16">
        <v>0</v>
      </c>
      <c r="H16" t="s">
        <v>56</v>
      </c>
      <c r="I16" t="s">
        <v>56</v>
      </c>
      <c r="J16" t="s">
        <v>56</v>
      </c>
      <c r="K16" s="4"/>
      <c r="L16" s="4"/>
      <c r="M16" s="4"/>
      <c r="O16" s="4" t="s">
        <v>194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99</v>
      </c>
      <c r="B17">
        <v>6</v>
      </c>
      <c r="C17" t="s">
        <v>131</v>
      </c>
      <c r="D17" t="s">
        <v>131</v>
      </c>
      <c r="E17" t="s">
        <v>27</v>
      </c>
      <c r="F17">
        <v>0</v>
      </c>
      <c r="G17">
        <v>0</v>
      </c>
      <c r="H17" t="s">
        <v>56</v>
      </c>
      <c r="I17" t="s">
        <v>56</v>
      </c>
      <c r="J17" t="s">
        <v>56</v>
      </c>
      <c r="K17" s="4"/>
      <c r="L17" s="4"/>
      <c r="M17" s="4"/>
      <c r="O17" s="4" t="s">
        <v>207</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100</v>
      </c>
      <c r="B19">
        <v>0</v>
      </c>
      <c r="C19" t="s">
        <v>114</v>
      </c>
      <c r="D19" t="s">
        <v>413</v>
      </c>
      <c r="E19" t="s">
        <v>165</v>
      </c>
      <c r="H19" t="s">
        <v>820</v>
      </c>
      <c r="I19" t="s">
        <v>167</v>
      </c>
      <c r="K19" s="4"/>
      <c r="L19" s="4"/>
      <c r="M19" s="4"/>
      <c r="O19" s="4" t="s">
        <v>198</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100</v>
      </c>
      <c r="B20">
        <v>1</v>
      </c>
      <c r="C20" t="s">
        <v>132</v>
      </c>
      <c r="D20" t="s">
        <v>132</v>
      </c>
      <c r="E20" t="s">
        <v>20</v>
      </c>
      <c r="F20">
        <v>0</v>
      </c>
      <c r="G20">
        <v>0</v>
      </c>
      <c r="H20" t="s">
        <v>57</v>
      </c>
      <c r="I20" t="s">
        <v>57</v>
      </c>
      <c r="J20" t="s">
        <v>56</v>
      </c>
      <c r="K20" s="4"/>
      <c r="L20" s="4"/>
      <c r="M20" s="4"/>
      <c r="O20" s="4" t="s">
        <v>243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100</v>
      </c>
      <c r="B21">
        <v>2</v>
      </c>
      <c r="C21" t="s">
        <v>142</v>
      </c>
      <c r="D21" t="s">
        <v>142</v>
      </c>
      <c r="E21" t="s">
        <v>20</v>
      </c>
      <c r="F21">
        <v>0</v>
      </c>
      <c r="G21">
        <v>0</v>
      </c>
      <c r="H21" t="s">
        <v>57</v>
      </c>
      <c r="I21" t="s">
        <v>57</v>
      </c>
      <c r="J21" t="s">
        <v>56</v>
      </c>
      <c r="K21" s="4"/>
      <c r="L21" s="4"/>
      <c r="M21" s="4"/>
      <c r="O21" s="4" t="s">
        <v>199</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100</v>
      </c>
      <c r="B22">
        <v>3</v>
      </c>
      <c r="C22" t="s">
        <v>143</v>
      </c>
      <c r="D22" t="s">
        <v>143</v>
      </c>
      <c r="E22" t="s">
        <v>19</v>
      </c>
      <c r="F22">
        <v>50</v>
      </c>
      <c r="G22">
        <v>0</v>
      </c>
      <c r="H22" t="s">
        <v>56</v>
      </c>
      <c r="I22" t="s">
        <v>56</v>
      </c>
      <c r="J22" t="s">
        <v>56</v>
      </c>
      <c r="K22" s="4"/>
      <c r="L22" s="4"/>
      <c r="M22" s="4"/>
      <c r="O22" s="4" t="s">
        <v>200</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100</v>
      </c>
      <c r="B23">
        <v>4</v>
      </c>
      <c r="C23" t="s">
        <v>144</v>
      </c>
      <c r="D23" t="s">
        <v>144</v>
      </c>
      <c r="E23" t="s">
        <v>19</v>
      </c>
      <c r="F23">
        <v>33</v>
      </c>
      <c r="G23">
        <v>0</v>
      </c>
      <c r="H23" t="s">
        <v>57</v>
      </c>
      <c r="I23" t="s">
        <v>56</v>
      </c>
      <c r="J23" t="s">
        <v>56</v>
      </c>
      <c r="K23" s="4"/>
      <c r="L23" s="4"/>
      <c r="M23" s="4"/>
      <c r="O23" s="4" t="s">
        <v>201</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100</v>
      </c>
      <c r="B24">
        <v>5</v>
      </c>
      <c r="C24" t="s">
        <v>145</v>
      </c>
      <c r="D24" t="s">
        <v>145</v>
      </c>
      <c r="E24" t="s">
        <v>19</v>
      </c>
      <c r="F24">
        <v>12</v>
      </c>
      <c r="G24">
        <v>0</v>
      </c>
      <c r="H24" t="s">
        <v>56</v>
      </c>
      <c r="I24" t="s">
        <v>56</v>
      </c>
      <c r="J24" t="s">
        <v>56</v>
      </c>
      <c r="K24" s="4"/>
      <c r="L24" s="4"/>
      <c r="M24" s="4"/>
      <c r="O24" s="4" t="s">
        <v>202</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100</v>
      </c>
      <c r="B25">
        <v>6</v>
      </c>
      <c r="C25" t="s">
        <v>146</v>
      </c>
      <c r="D25" t="s">
        <v>146</v>
      </c>
      <c r="E25" t="s">
        <v>19</v>
      </c>
      <c r="F25">
        <v>27</v>
      </c>
      <c r="G25">
        <v>0</v>
      </c>
      <c r="H25" t="s">
        <v>56</v>
      </c>
      <c r="I25" t="s">
        <v>56</v>
      </c>
      <c r="J25" t="s">
        <v>56</v>
      </c>
      <c r="K25" s="4"/>
      <c r="L25" s="4"/>
      <c r="M25" s="4"/>
      <c r="O25" s="4" t="s">
        <v>203</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100</v>
      </c>
      <c r="B26">
        <v>7</v>
      </c>
      <c r="C26" t="s">
        <v>137</v>
      </c>
      <c r="D26" t="s">
        <v>137</v>
      </c>
      <c r="E26" t="s">
        <v>20</v>
      </c>
      <c r="F26">
        <v>0</v>
      </c>
      <c r="G26">
        <v>0</v>
      </c>
      <c r="H26" t="s">
        <v>56</v>
      </c>
      <c r="I26" t="s">
        <v>56</v>
      </c>
      <c r="J26" t="s">
        <v>56</v>
      </c>
      <c r="K26" s="4"/>
      <c r="L26" s="4"/>
      <c r="M26" s="4"/>
      <c r="O26" s="4" t="s">
        <v>431</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101</v>
      </c>
      <c r="B28">
        <v>0</v>
      </c>
      <c r="C28" t="s">
        <v>115</v>
      </c>
      <c r="D28" t="s">
        <v>414</v>
      </c>
      <c r="E28" t="s">
        <v>92</v>
      </c>
      <c r="H28" t="s">
        <v>820</v>
      </c>
      <c r="I28" t="s">
        <v>167</v>
      </c>
      <c r="K28" s="4"/>
      <c r="L28" s="4"/>
      <c r="M28" s="4"/>
      <c r="O28" s="4" t="s">
        <v>204</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101</v>
      </c>
      <c r="B29">
        <v>1</v>
      </c>
      <c r="C29" t="s">
        <v>132</v>
      </c>
      <c r="D29" t="s">
        <v>132</v>
      </c>
      <c r="E29" t="s">
        <v>20</v>
      </c>
      <c r="F29">
        <v>0</v>
      </c>
      <c r="G29">
        <v>0</v>
      </c>
      <c r="H29" t="s">
        <v>57</v>
      </c>
      <c r="I29" t="s">
        <v>57</v>
      </c>
      <c r="J29" t="s">
        <v>56</v>
      </c>
      <c r="K29" s="4"/>
      <c r="L29" s="4"/>
      <c r="M29" s="4"/>
      <c r="O29" s="4" t="s">
        <v>205</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101</v>
      </c>
      <c r="B30">
        <v>2</v>
      </c>
      <c r="C30" t="s">
        <v>127</v>
      </c>
      <c r="D30" t="s">
        <v>127</v>
      </c>
      <c r="E30" t="s">
        <v>19</v>
      </c>
      <c r="F30">
        <v>50</v>
      </c>
      <c r="G30">
        <v>0</v>
      </c>
      <c r="H30" t="s">
        <v>57</v>
      </c>
      <c r="I30" t="s">
        <v>56</v>
      </c>
      <c r="J30" t="s">
        <v>57</v>
      </c>
      <c r="K30" s="4"/>
      <c r="L30" s="4"/>
      <c r="M30" s="4"/>
      <c r="O30" s="4" t="s">
        <v>212</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101</v>
      </c>
      <c r="B31">
        <v>3</v>
      </c>
      <c r="C31" t="s">
        <v>128</v>
      </c>
      <c r="D31" t="s">
        <v>128</v>
      </c>
      <c r="E31" t="s">
        <v>19</v>
      </c>
      <c r="F31">
        <v>10</v>
      </c>
      <c r="G31">
        <v>0</v>
      </c>
      <c r="H31" t="s">
        <v>56</v>
      </c>
      <c r="I31" t="s">
        <v>56</v>
      </c>
      <c r="J31" t="s">
        <v>56</v>
      </c>
      <c r="K31" s="4"/>
      <c r="L31" s="4"/>
      <c r="M31" s="4"/>
      <c r="O31" s="4" t="s">
        <v>211</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101</v>
      </c>
      <c r="B32">
        <v>4</v>
      </c>
      <c r="C32" t="s">
        <v>129</v>
      </c>
      <c r="D32" t="s">
        <v>129</v>
      </c>
      <c r="E32" t="s">
        <v>76</v>
      </c>
      <c r="F32">
        <v>0</v>
      </c>
      <c r="G32">
        <v>0</v>
      </c>
      <c r="H32" t="s">
        <v>56</v>
      </c>
      <c r="I32" t="s">
        <v>56</v>
      </c>
      <c r="J32" t="s">
        <v>56</v>
      </c>
      <c r="K32" s="4"/>
      <c r="L32" s="4"/>
      <c r="M32" s="4"/>
      <c r="O32" s="4" t="s">
        <v>210</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101</v>
      </c>
      <c r="B33">
        <v>5</v>
      </c>
      <c r="C33" t="s">
        <v>130</v>
      </c>
      <c r="D33" t="s">
        <v>130</v>
      </c>
      <c r="E33" t="s">
        <v>76</v>
      </c>
      <c r="F33">
        <v>0</v>
      </c>
      <c r="G33">
        <v>0</v>
      </c>
      <c r="H33" t="s">
        <v>56</v>
      </c>
      <c r="I33" t="s">
        <v>56</v>
      </c>
      <c r="J33" t="s">
        <v>56</v>
      </c>
      <c r="K33" s="4"/>
      <c r="L33" s="4"/>
      <c r="M33" s="4"/>
      <c r="O33" s="4" t="s">
        <v>209</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101</v>
      </c>
      <c r="B34">
        <v>6</v>
      </c>
      <c r="C34" t="s">
        <v>131</v>
      </c>
      <c r="D34" t="s">
        <v>131</v>
      </c>
      <c r="E34" t="s">
        <v>27</v>
      </c>
      <c r="F34">
        <v>0</v>
      </c>
      <c r="G34">
        <v>0</v>
      </c>
      <c r="H34" t="s">
        <v>56</v>
      </c>
      <c r="I34" t="s">
        <v>56</v>
      </c>
      <c r="J34" t="s">
        <v>56</v>
      </c>
      <c r="K34" s="4"/>
      <c r="L34" s="4"/>
      <c r="M34" s="4"/>
      <c r="O34" s="4" t="s">
        <v>208</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102</v>
      </c>
      <c r="B36">
        <v>0</v>
      </c>
      <c r="C36" t="s">
        <v>116</v>
      </c>
      <c r="D36" t="s">
        <v>412</v>
      </c>
      <c r="E36" t="s">
        <v>165</v>
      </c>
      <c r="H36" t="s">
        <v>820</v>
      </c>
      <c r="I36" t="s">
        <v>167</v>
      </c>
      <c r="K36" s="4"/>
      <c r="L36" s="4"/>
      <c r="M36" s="4"/>
      <c r="O36" s="4" t="s">
        <v>370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102</v>
      </c>
      <c r="B37">
        <v>1</v>
      </c>
      <c r="C37" t="s">
        <v>132</v>
      </c>
      <c r="D37" t="s">
        <v>132</v>
      </c>
      <c r="E37" t="s">
        <v>20</v>
      </c>
      <c r="F37">
        <v>0</v>
      </c>
      <c r="G37">
        <v>0</v>
      </c>
      <c r="H37" t="s">
        <v>57</v>
      </c>
      <c r="I37" t="s">
        <v>57</v>
      </c>
      <c r="J37" t="s">
        <v>56</v>
      </c>
      <c r="K37" s="4"/>
      <c r="L37" s="4"/>
      <c r="M37" s="4"/>
      <c r="O37" s="4" t="s">
        <v>371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102</v>
      </c>
      <c r="B38">
        <v>2</v>
      </c>
      <c r="C38" t="s">
        <v>127</v>
      </c>
      <c r="D38" t="s">
        <v>127</v>
      </c>
      <c r="E38" t="s">
        <v>19</v>
      </c>
      <c r="F38">
        <v>50</v>
      </c>
      <c r="G38">
        <v>0</v>
      </c>
      <c r="H38" t="s">
        <v>57</v>
      </c>
      <c r="I38" t="s">
        <v>56</v>
      </c>
      <c r="J38" t="s">
        <v>57</v>
      </c>
      <c r="K38" s="4"/>
      <c r="L38" s="4"/>
      <c r="M38" s="4"/>
      <c r="O38" s="4" t="s">
        <v>372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102</v>
      </c>
      <c r="B39">
        <v>3</v>
      </c>
      <c r="C39" t="s">
        <v>128</v>
      </c>
      <c r="D39" t="s">
        <v>128</v>
      </c>
      <c r="E39" t="s">
        <v>19</v>
      </c>
      <c r="F39">
        <v>10</v>
      </c>
      <c r="G39">
        <v>0</v>
      </c>
      <c r="H39" t="s">
        <v>56</v>
      </c>
      <c r="I39" t="s">
        <v>56</v>
      </c>
      <c r="J39" t="s">
        <v>56</v>
      </c>
      <c r="K39" s="4"/>
      <c r="L39" s="4"/>
      <c r="M39" s="4"/>
      <c r="O39" s="4" t="s">
        <v>627</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102</v>
      </c>
      <c r="B40">
        <v>4</v>
      </c>
      <c r="C40" t="s">
        <v>129</v>
      </c>
      <c r="D40" t="s">
        <v>129</v>
      </c>
      <c r="E40" t="s">
        <v>76</v>
      </c>
      <c r="F40">
        <v>0</v>
      </c>
      <c r="G40">
        <v>0</v>
      </c>
      <c r="H40" t="s">
        <v>56</v>
      </c>
      <c r="I40" t="s">
        <v>56</v>
      </c>
      <c r="J40" t="s">
        <v>56</v>
      </c>
      <c r="K40" s="4"/>
      <c r="L40" s="4"/>
      <c r="M40" s="4"/>
      <c r="O40" s="4" t="s">
        <v>375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102</v>
      </c>
      <c r="B41">
        <v>5</v>
      </c>
      <c r="C41" t="s">
        <v>147</v>
      </c>
      <c r="D41" t="s">
        <v>147</v>
      </c>
      <c r="E41" t="s">
        <v>19</v>
      </c>
      <c r="F41">
        <v>10</v>
      </c>
      <c r="G41">
        <v>0</v>
      </c>
      <c r="H41" t="s">
        <v>56</v>
      </c>
      <c r="I41" t="s">
        <v>56</v>
      </c>
      <c r="J41" t="s">
        <v>56</v>
      </c>
      <c r="K41" s="4"/>
      <c r="L41" s="4"/>
      <c r="M41" s="4"/>
      <c r="O41" s="4" t="s">
        <v>376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102</v>
      </c>
      <c r="B42">
        <v>6</v>
      </c>
      <c r="C42" t="s">
        <v>148</v>
      </c>
      <c r="D42" t="s">
        <v>148</v>
      </c>
      <c r="E42" t="s">
        <v>19</v>
      </c>
      <c r="F42">
        <v>5</v>
      </c>
      <c r="G42">
        <v>0</v>
      </c>
      <c r="H42" t="s">
        <v>56</v>
      </c>
      <c r="I42" t="s">
        <v>56</v>
      </c>
      <c r="J42" t="s">
        <v>56</v>
      </c>
      <c r="K42" s="4"/>
      <c r="L42" s="4"/>
      <c r="M42" s="4"/>
      <c r="O42" s="4" t="s">
        <v>628</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102</v>
      </c>
      <c r="B43">
        <v>7</v>
      </c>
      <c r="C43" t="s">
        <v>626</v>
      </c>
      <c r="D43" t="s">
        <v>626</v>
      </c>
      <c r="E43" t="s">
        <v>27</v>
      </c>
      <c r="F43">
        <v>0</v>
      </c>
      <c r="G43">
        <v>0</v>
      </c>
      <c r="H43" t="s">
        <v>56</v>
      </c>
      <c r="I43" t="s">
        <v>56</v>
      </c>
      <c r="J43" t="s">
        <v>56</v>
      </c>
      <c r="K43" s="4"/>
      <c r="L43" s="4"/>
      <c r="M43" s="4"/>
      <c r="O43" s="4" t="s">
        <v>631</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102</v>
      </c>
      <c r="B44">
        <v>8</v>
      </c>
      <c r="C44" t="s">
        <v>629</v>
      </c>
      <c r="D44" t="s">
        <v>629</v>
      </c>
      <c r="E44" t="s">
        <v>19</v>
      </c>
      <c r="F44">
        <v>50</v>
      </c>
      <c r="G44">
        <v>0</v>
      </c>
      <c r="H44" t="s">
        <v>56</v>
      </c>
      <c r="I44" t="s">
        <v>56</v>
      </c>
      <c r="J44" t="s">
        <v>56</v>
      </c>
      <c r="K44" s="4"/>
      <c r="L44" s="4"/>
      <c r="M44" s="4"/>
      <c r="O44" s="4" t="s">
        <v>632</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102</v>
      </c>
      <c r="B45">
        <v>9</v>
      </c>
      <c r="C45" t="s">
        <v>630</v>
      </c>
      <c r="D45" t="s">
        <v>630</v>
      </c>
      <c r="E45" t="s">
        <v>19</v>
      </c>
      <c r="F45">
        <v>50</v>
      </c>
      <c r="G45">
        <v>0</v>
      </c>
      <c r="H45" t="s">
        <v>56</v>
      </c>
      <c r="I45" t="s">
        <v>56</v>
      </c>
      <c r="J45" t="s">
        <v>56</v>
      </c>
      <c r="K45" s="4"/>
      <c r="L45" s="4"/>
      <c r="M45" s="4"/>
      <c r="O45" s="4" t="s">
        <v>633</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102</v>
      </c>
      <c r="B46">
        <v>10</v>
      </c>
      <c r="C46" t="s">
        <v>130</v>
      </c>
      <c r="D46" t="s">
        <v>130</v>
      </c>
      <c r="E46" t="s">
        <v>76</v>
      </c>
      <c r="F46">
        <v>0</v>
      </c>
      <c r="G46">
        <v>0</v>
      </c>
      <c r="H46" t="s">
        <v>56</v>
      </c>
      <c r="I46" t="s">
        <v>56</v>
      </c>
      <c r="J46" t="s">
        <v>56</v>
      </c>
      <c r="K46" s="4"/>
      <c r="L46" s="4"/>
      <c r="M46" s="4"/>
      <c r="O46" s="4" t="s">
        <v>377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102</v>
      </c>
      <c r="B47">
        <v>11</v>
      </c>
      <c r="C47" t="s">
        <v>131</v>
      </c>
      <c r="D47" t="s">
        <v>131</v>
      </c>
      <c r="E47" t="s">
        <v>27</v>
      </c>
      <c r="F47">
        <v>0</v>
      </c>
      <c r="G47">
        <v>0</v>
      </c>
      <c r="H47" t="s">
        <v>56</v>
      </c>
      <c r="I47" t="s">
        <v>56</v>
      </c>
      <c r="J47" t="s">
        <v>56</v>
      </c>
      <c r="K47" s="4"/>
      <c r="L47" s="4"/>
      <c r="M47" s="4"/>
      <c r="O47" s="4" t="s">
        <v>238</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103</v>
      </c>
      <c r="B49">
        <v>0</v>
      </c>
      <c r="C49" t="s">
        <v>117</v>
      </c>
      <c r="D49" t="s">
        <v>411</v>
      </c>
      <c r="E49" t="s">
        <v>165</v>
      </c>
      <c r="H49" t="s">
        <v>819</v>
      </c>
      <c r="I49" t="s">
        <v>167</v>
      </c>
      <c r="K49" s="4"/>
      <c r="L49" s="4"/>
      <c r="M49" s="4"/>
      <c r="O49" s="4" t="s">
        <v>733</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103</v>
      </c>
      <c r="B50">
        <v>1</v>
      </c>
      <c r="C50" t="s">
        <v>132</v>
      </c>
      <c r="D50" t="s">
        <v>132</v>
      </c>
      <c r="E50" t="s">
        <v>20</v>
      </c>
      <c r="F50">
        <v>0</v>
      </c>
      <c r="G50">
        <v>0</v>
      </c>
      <c r="H50" t="s">
        <v>57</v>
      </c>
      <c r="I50" t="s">
        <v>57</v>
      </c>
      <c r="J50" t="s">
        <v>56</v>
      </c>
      <c r="K50" s="4"/>
      <c r="L50" s="4"/>
      <c r="M50" s="4"/>
      <c r="O50" s="4" t="s">
        <v>420</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103</v>
      </c>
      <c r="B51">
        <v>2</v>
      </c>
      <c r="C51" t="s">
        <v>127</v>
      </c>
      <c r="D51" t="s">
        <v>127</v>
      </c>
      <c r="E51" t="s">
        <v>19</v>
      </c>
      <c r="F51">
        <v>50</v>
      </c>
      <c r="G51">
        <v>0</v>
      </c>
      <c r="H51" t="s">
        <v>57</v>
      </c>
      <c r="I51" t="s">
        <v>56</v>
      </c>
      <c r="J51" t="s">
        <v>57</v>
      </c>
      <c r="K51" s="4"/>
      <c r="L51" s="4"/>
      <c r="M51" s="4"/>
      <c r="O51" s="4" t="s">
        <v>422</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103</v>
      </c>
      <c r="B52">
        <v>3</v>
      </c>
      <c r="C52" t="s">
        <v>128</v>
      </c>
      <c r="D52" t="s">
        <v>128</v>
      </c>
      <c r="E52" t="s">
        <v>19</v>
      </c>
      <c r="F52">
        <v>10</v>
      </c>
      <c r="G52">
        <v>0</v>
      </c>
      <c r="H52" t="s">
        <v>56</v>
      </c>
      <c r="I52" t="s">
        <v>56</v>
      </c>
      <c r="J52" t="s">
        <v>56</v>
      </c>
      <c r="K52" s="4"/>
      <c r="L52" s="4"/>
      <c r="M52" s="4"/>
      <c r="O52" s="4" t="s">
        <v>421</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103</v>
      </c>
      <c r="B53">
        <v>4</v>
      </c>
      <c r="C53" t="s">
        <v>129</v>
      </c>
      <c r="D53" t="s">
        <v>129</v>
      </c>
      <c r="E53" t="s">
        <v>76</v>
      </c>
      <c r="F53">
        <v>0</v>
      </c>
      <c r="G53">
        <v>0</v>
      </c>
      <c r="H53" t="s">
        <v>56</v>
      </c>
      <c r="I53" t="s">
        <v>56</v>
      </c>
      <c r="J53" t="s">
        <v>56</v>
      </c>
      <c r="K53" s="4"/>
      <c r="L53" s="4"/>
      <c r="M53" s="4"/>
      <c r="O53" s="4" t="s">
        <v>734</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103</v>
      </c>
      <c r="B54">
        <v>5</v>
      </c>
      <c r="C54" t="s">
        <v>417</v>
      </c>
      <c r="D54" t="s">
        <v>417</v>
      </c>
      <c r="E54" t="s">
        <v>20</v>
      </c>
      <c r="F54">
        <v>0</v>
      </c>
      <c r="G54">
        <v>0</v>
      </c>
      <c r="H54" t="s">
        <v>56</v>
      </c>
      <c r="I54" t="s">
        <v>56</v>
      </c>
      <c r="J54" t="s">
        <v>56</v>
      </c>
      <c r="K54" s="4"/>
      <c r="L54" s="4"/>
      <c r="M54" s="4"/>
      <c r="O54" s="4" t="s">
        <v>735</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103</v>
      </c>
      <c r="B55">
        <v>6</v>
      </c>
      <c r="C55" t="s">
        <v>130</v>
      </c>
      <c r="D55" t="s">
        <v>130</v>
      </c>
      <c r="E55" t="s">
        <v>76</v>
      </c>
      <c r="F55">
        <v>0</v>
      </c>
      <c r="G55">
        <v>0</v>
      </c>
      <c r="H55" t="s">
        <v>56</v>
      </c>
      <c r="I55" t="s">
        <v>56</v>
      </c>
      <c r="J55" t="s">
        <v>56</v>
      </c>
      <c r="K55" s="4"/>
      <c r="L55" s="4"/>
      <c r="M55" s="4"/>
      <c r="O55" s="4" t="s">
        <v>736</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104</v>
      </c>
      <c r="B57">
        <v>0</v>
      </c>
      <c r="C57" t="s">
        <v>118</v>
      </c>
      <c r="D57" t="s">
        <v>356</v>
      </c>
      <c r="E57" t="s">
        <v>165</v>
      </c>
      <c r="H57" t="s">
        <v>819</v>
      </c>
      <c r="I57" t="s">
        <v>167</v>
      </c>
      <c r="K57" s="4"/>
      <c r="L57" s="4"/>
      <c r="M57" s="4"/>
      <c r="O57" s="4" t="s">
        <v>252</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104</v>
      </c>
      <c r="B58">
        <v>1</v>
      </c>
      <c r="C58" t="s">
        <v>809</v>
      </c>
      <c r="D58" t="s">
        <v>810</v>
      </c>
      <c r="E58" t="s">
        <v>20</v>
      </c>
      <c r="F58">
        <v>0</v>
      </c>
      <c r="G58">
        <v>0</v>
      </c>
      <c r="H58" t="s">
        <v>57</v>
      </c>
      <c r="I58" t="s">
        <v>57</v>
      </c>
      <c r="J58" t="s">
        <v>56</v>
      </c>
      <c r="K58" s="4"/>
      <c r="L58" s="4"/>
      <c r="M58" s="4"/>
      <c r="O58" s="4" t="s">
        <v>243</v>
      </c>
      <c r="P58" s="2" t="str" cm="1">
        <f t="array" ref="P58">CONCATENATE("      .AddAttribute(",Fill(B58,3),", ",QTFunc(C58),", ",QTFunc(D58),", ",QTFunc(E58),", ",F58,", ",G58,", ",H58,", ",I58,", ",QTFunc(K58),", ",QTFunc(L58),", ",QTFunc(M58),", ",QTFunc(O58),   ")")</f>
        <v xml:space="preserve">      .AddAttribute(  1, "EmployeeID", "EmployID", "integer", 0, 0, true, true, "", "", "", "attribute as foreign key from an attribute ID of a person entity to which these account details belong")</v>
      </c>
    </row>
    <row r="59" spans="1:16" x14ac:dyDescent="0.45">
      <c r="A59" t="s">
        <v>104</v>
      </c>
      <c r="B59">
        <v>2</v>
      </c>
      <c r="C59" t="s">
        <v>149</v>
      </c>
      <c r="D59" t="s">
        <v>149</v>
      </c>
      <c r="E59" t="s">
        <v>19</v>
      </c>
      <c r="F59">
        <v>15</v>
      </c>
      <c r="G59">
        <v>0</v>
      </c>
      <c r="H59" t="s">
        <v>57</v>
      </c>
      <c r="I59" t="s">
        <v>56</v>
      </c>
      <c r="J59" t="s">
        <v>57</v>
      </c>
      <c r="K59" s="4"/>
      <c r="L59" s="4"/>
      <c r="M59" s="4"/>
      <c r="O59" s="4" t="s">
        <v>251</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104</v>
      </c>
      <c r="B60">
        <v>3</v>
      </c>
      <c r="C60" t="s">
        <v>732</v>
      </c>
      <c r="D60" t="s">
        <v>732</v>
      </c>
      <c r="E60" t="s">
        <v>25</v>
      </c>
      <c r="F60">
        <v>10</v>
      </c>
      <c r="G60">
        <v>2</v>
      </c>
      <c r="H60" t="s">
        <v>56</v>
      </c>
      <c r="I60" t="s">
        <v>56</v>
      </c>
      <c r="J60" t="s">
        <v>56</v>
      </c>
      <c r="K60" s="4" t="s">
        <v>262</v>
      </c>
      <c r="L60" s="4"/>
      <c r="M60" s="4"/>
      <c r="O60" s="4" t="s">
        <v>720</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104</v>
      </c>
      <c r="B61">
        <v>4</v>
      </c>
      <c r="C61" t="s">
        <v>699</v>
      </c>
      <c r="D61" t="s">
        <v>699</v>
      </c>
      <c r="E61" t="s">
        <v>20</v>
      </c>
      <c r="F61">
        <v>0</v>
      </c>
      <c r="G61">
        <v>0</v>
      </c>
      <c r="H61" t="s">
        <v>56</v>
      </c>
      <c r="I61" t="s">
        <v>56</v>
      </c>
      <c r="J61" t="s">
        <v>56</v>
      </c>
      <c r="K61" s="4"/>
      <c r="L61" s="4"/>
      <c r="M61" s="4"/>
      <c r="O61" s="4" t="s">
        <v>721</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104</v>
      </c>
      <c r="B62">
        <v>5</v>
      </c>
      <c r="C62" t="s">
        <v>311</v>
      </c>
      <c r="D62" t="s">
        <v>311</v>
      </c>
      <c r="E62" t="s">
        <v>20</v>
      </c>
      <c r="F62">
        <v>0</v>
      </c>
      <c r="G62">
        <v>0</v>
      </c>
      <c r="H62" t="s">
        <v>57</v>
      </c>
      <c r="I62" t="s">
        <v>56</v>
      </c>
      <c r="J62" t="s">
        <v>56</v>
      </c>
      <c r="K62" s="4"/>
      <c r="L62" s="4"/>
      <c r="M62" s="4"/>
      <c r="O62" s="4" t="s">
        <v>312</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104</v>
      </c>
      <c r="B63">
        <v>6</v>
      </c>
      <c r="C63" t="s">
        <v>151</v>
      </c>
      <c r="D63" t="s">
        <v>151</v>
      </c>
      <c r="E63" t="s">
        <v>22</v>
      </c>
      <c r="F63">
        <v>0</v>
      </c>
      <c r="G63">
        <v>0</v>
      </c>
      <c r="H63" t="s">
        <v>57</v>
      </c>
      <c r="I63" t="s">
        <v>56</v>
      </c>
      <c r="J63" t="s">
        <v>56</v>
      </c>
      <c r="K63" s="4"/>
      <c r="L63" s="4"/>
      <c r="M63" s="4"/>
      <c r="O63" s="4" t="s">
        <v>249</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104</v>
      </c>
      <c r="B64">
        <v>7</v>
      </c>
      <c r="C64" t="s">
        <v>496</v>
      </c>
      <c r="D64" t="s">
        <v>496</v>
      </c>
      <c r="E64" t="s">
        <v>22</v>
      </c>
      <c r="F64">
        <v>0</v>
      </c>
      <c r="G64">
        <v>0</v>
      </c>
      <c r="H64" t="s">
        <v>56</v>
      </c>
      <c r="I64" t="s">
        <v>56</v>
      </c>
      <c r="J64" t="s">
        <v>56</v>
      </c>
      <c r="K64" s="4" t="s">
        <v>499</v>
      </c>
      <c r="L64" s="4"/>
      <c r="M64" s="4"/>
      <c r="O64" s="4" t="s">
        <v>497</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104</v>
      </c>
      <c r="B65">
        <v>8</v>
      </c>
      <c r="C65" t="s">
        <v>604</v>
      </c>
      <c r="D65" t="s">
        <v>604</v>
      </c>
      <c r="E65" t="s">
        <v>20</v>
      </c>
      <c r="F65">
        <v>0</v>
      </c>
      <c r="G65">
        <v>0</v>
      </c>
      <c r="H65" t="s">
        <v>56</v>
      </c>
      <c r="I65" t="s">
        <v>56</v>
      </c>
      <c r="J65" t="s">
        <v>56</v>
      </c>
      <c r="K65" s="4" t="s">
        <v>608</v>
      </c>
      <c r="L65" s="4"/>
      <c r="M65" s="4"/>
      <c r="O65" s="4" t="s">
        <v>605</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104</v>
      </c>
      <c r="B66">
        <v>9</v>
      </c>
      <c r="C66" t="s">
        <v>152</v>
      </c>
      <c r="D66" t="s">
        <v>152</v>
      </c>
      <c r="E66" t="s">
        <v>20</v>
      </c>
      <c r="F66">
        <v>0</v>
      </c>
      <c r="G66">
        <v>0</v>
      </c>
      <c r="H66" t="s">
        <v>56</v>
      </c>
      <c r="I66" t="s">
        <v>56</v>
      </c>
      <c r="J66" t="s">
        <v>56</v>
      </c>
      <c r="K66" s="4"/>
      <c r="L66" s="4"/>
      <c r="M66" s="4"/>
      <c r="O66" s="4" t="s">
        <v>248</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104</v>
      </c>
      <c r="B67">
        <v>10</v>
      </c>
      <c r="C67" t="s">
        <v>153</v>
      </c>
      <c r="D67" t="s">
        <v>153</v>
      </c>
      <c r="E67" t="s">
        <v>19</v>
      </c>
      <c r="F67">
        <v>100</v>
      </c>
      <c r="G67">
        <v>0</v>
      </c>
      <c r="H67" t="s">
        <v>56</v>
      </c>
      <c r="I67" t="s">
        <v>56</v>
      </c>
      <c r="J67" t="s">
        <v>56</v>
      </c>
      <c r="K67" s="4"/>
      <c r="L67" s="4"/>
      <c r="M67" s="4"/>
      <c r="O67" s="4" t="s">
        <v>263</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104</v>
      </c>
      <c r="B68">
        <v>11</v>
      </c>
      <c r="C68" t="s">
        <v>685</v>
      </c>
      <c r="D68" t="s">
        <v>685</v>
      </c>
      <c r="E68" t="s">
        <v>257</v>
      </c>
      <c r="F68">
        <v>0</v>
      </c>
      <c r="G68">
        <v>0</v>
      </c>
      <c r="H68" t="s">
        <v>56</v>
      </c>
      <c r="I68" t="s">
        <v>56</v>
      </c>
      <c r="J68" t="s">
        <v>56</v>
      </c>
      <c r="K68" s="4"/>
      <c r="L68" s="4"/>
      <c r="M68" s="4"/>
      <c r="O68" s="4" t="s">
        <v>684</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104</v>
      </c>
      <c r="B69">
        <v>12</v>
      </c>
      <c r="C69" t="s">
        <v>154</v>
      </c>
      <c r="D69" t="s">
        <v>154</v>
      </c>
      <c r="E69" t="s">
        <v>20</v>
      </c>
      <c r="F69">
        <v>0</v>
      </c>
      <c r="G69">
        <v>0</v>
      </c>
      <c r="H69" t="s">
        <v>57</v>
      </c>
      <c r="I69" t="s">
        <v>56</v>
      </c>
      <c r="J69" t="s">
        <v>56</v>
      </c>
      <c r="K69" s="4"/>
      <c r="L69" s="4"/>
      <c r="M69" s="4"/>
      <c r="O69" s="4" t="s">
        <v>247</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104</v>
      </c>
      <c r="B70">
        <v>13</v>
      </c>
      <c r="C70" t="s">
        <v>155</v>
      </c>
      <c r="D70" t="s">
        <v>155</v>
      </c>
      <c r="E70" t="s">
        <v>19</v>
      </c>
      <c r="F70">
        <v>20</v>
      </c>
      <c r="G70">
        <v>0</v>
      </c>
      <c r="H70" t="s">
        <v>57</v>
      </c>
      <c r="I70" t="s">
        <v>56</v>
      </c>
      <c r="J70" t="s">
        <v>57</v>
      </c>
      <c r="K70" s="4"/>
      <c r="L70" s="4"/>
      <c r="M70" s="4"/>
      <c r="O70" s="4" t="s">
        <v>253</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104</v>
      </c>
      <c r="B71">
        <v>14</v>
      </c>
      <c r="C71" t="s">
        <v>156</v>
      </c>
      <c r="D71" t="s">
        <v>156</v>
      </c>
      <c r="E71" t="s">
        <v>27</v>
      </c>
      <c r="F71">
        <v>0</v>
      </c>
      <c r="G71">
        <v>0</v>
      </c>
      <c r="H71" t="s">
        <v>56</v>
      </c>
      <c r="I71" t="s">
        <v>56</v>
      </c>
      <c r="J71" t="s">
        <v>56</v>
      </c>
      <c r="K71" s="4"/>
      <c r="L71" s="4"/>
      <c r="M71" s="4" t="s">
        <v>500</v>
      </c>
      <c r="O71" s="4" t="s">
        <v>498</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173</v>
      </c>
      <c r="B73">
        <v>0</v>
      </c>
      <c r="C73" t="s">
        <v>174</v>
      </c>
      <c r="D73" t="s">
        <v>403</v>
      </c>
      <c r="E73" t="s">
        <v>92</v>
      </c>
      <c r="H73" t="s">
        <v>820</v>
      </c>
      <c r="I73" t="s">
        <v>167</v>
      </c>
      <c r="K73" s="4"/>
      <c r="L73" s="4"/>
      <c r="M73" s="4"/>
      <c r="O73" s="4" t="s">
        <v>723</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173</v>
      </c>
      <c r="B74">
        <v>1</v>
      </c>
      <c r="C74" t="s">
        <v>132</v>
      </c>
      <c r="D74" t="s">
        <v>132</v>
      </c>
      <c r="E74" t="s">
        <v>20</v>
      </c>
      <c r="F74">
        <v>0</v>
      </c>
      <c r="G74">
        <v>0</v>
      </c>
      <c r="H74" t="s">
        <v>57</v>
      </c>
      <c r="I74" t="s">
        <v>57</v>
      </c>
      <c r="J74" t="s">
        <v>56</v>
      </c>
      <c r="K74" s="4"/>
      <c r="L74" s="4"/>
      <c r="M74" s="4"/>
      <c r="O74" s="4" t="s">
        <v>724</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173</v>
      </c>
      <c r="B75">
        <v>2</v>
      </c>
      <c r="C75" t="s">
        <v>127</v>
      </c>
      <c r="D75" t="s">
        <v>127</v>
      </c>
      <c r="E75" t="s">
        <v>19</v>
      </c>
      <c r="F75">
        <v>50</v>
      </c>
      <c r="G75">
        <v>0</v>
      </c>
      <c r="H75" t="s">
        <v>57</v>
      </c>
      <c r="I75" t="s">
        <v>56</v>
      </c>
      <c r="J75" t="s">
        <v>57</v>
      </c>
      <c r="K75" s="4"/>
      <c r="L75" s="4"/>
      <c r="M75" s="4"/>
      <c r="O75" s="4" t="s">
        <v>725</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173</v>
      </c>
      <c r="B76">
        <v>3</v>
      </c>
      <c r="C76" t="s">
        <v>128</v>
      </c>
      <c r="D76" t="s">
        <v>128</v>
      </c>
      <c r="E76" t="s">
        <v>19</v>
      </c>
      <c r="F76">
        <v>10</v>
      </c>
      <c r="G76">
        <v>0</v>
      </c>
      <c r="H76" t="s">
        <v>56</v>
      </c>
      <c r="I76" t="s">
        <v>56</v>
      </c>
      <c r="J76" t="s">
        <v>56</v>
      </c>
      <c r="K76" s="4"/>
      <c r="L76" s="4"/>
      <c r="M76" s="4"/>
      <c r="O76" s="4" t="s">
        <v>726</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173</v>
      </c>
      <c r="B77">
        <v>4</v>
      </c>
      <c r="C77" t="s">
        <v>129</v>
      </c>
      <c r="D77" t="s">
        <v>129</v>
      </c>
      <c r="E77" t="s">
        <v>76</v>
      </c>
      <c r="F77">
        <v>0</v>
      </c>
      <c r="G77">
        <v>0</v>
      </c>
      <c r="H77" t="s">
        <v>56</v>
      </c>
      <c r="I77" t="s">
        <v>56</v>
      </c>
      <c r="J77" t="s">
        <v>56</v>
      </c>
      <c r="K77" s="4"/>
      <c r="L77" s="4"/>
      <c r="M77" s="4"/>
      <c r="O77" s="4" t="s">
        <v>728</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173</v>
      </c>
      <c r="B78">
        <v>5</v>
      </c>
      <c r="C78" t="s">
        <v>175</v>
      </c>
      <c r="D78" t="s">
        <v>175</v>
      </c>
      <c r="E78" t="s">
        <v>27</v>
      </c>
      <c r="F78">
        <v>0</v>
      </c>
      <c r="G78">
        <v>0</v>
      </c>
      <c r="H78" t="s">
        <v>56</v>
      </c>
      <c r="I78" t="s">
        <v>56</v>
      </c>
      <c r="J78" t="s">
        <v>56</v>
      </c>
      <c r="K78" s="4"/>
      <c r="L78" s="4"/>
      <c r="M78" s="4"/>
      <c r="O78" s="4" t="s">
        <v>730</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173</v>
      </c>
      <c r="B79">
        <v>6</v>
      </c>
      <c r="C79" t="s">
        <v>176</v>
      </c>
      <c r="D79" t="s">
        <v>176</v>
      </c>
      <c r="E79" t="s">
        <v>27</v>
      </c>
      <c r="F79">
        <v>0</v>
      </c>
      <c r="G79">
        <v>0</v>
      </c>
      <c r="H79" t="s">
        <v>56</v>
      </c>
      <c r="I79" t="s">
        <v>56</v>
      </c>
      <c r="J79" t="s">
        <v>56</v>
      </c>
      <c r="K79" s="4"/>
      <c r="L79" s="4"/>
      <c r="M79" s="4"/>
      <c r="O79" s="4" t="s">
        <v>731</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173</v>
      </c>
      <c r="B80">
        <v>7</v>
      </c>
      <c r="C80" t="s">
        <v>130</v>
      </c>
      <c r="D80" t="s">
        <v>130</v>
      </c>
      <c r="E80" t="s">
        <v>76</v>
      </c>
      <c r="F80">
        <v>0</v>
      </c>
      <c r="G80">
        <v>0</v>
      </c>
      <c r="H80" t="s">
        <v>56</v>
      </c>
      <c r="I80" t="s">
        <v>56</v>
      </c>
      <c r="J80" t="s">
        <v>56</v>
      </c>
      <c r="K80" s="4"/>
      <c r="L80" s="4"/>
      <c r="M80" s="4"/>
      <c r="O80" s="4" t="s">
        <v>235</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173</v>
      </c>
      <c r="B81">
        <v>8</v>
      </c>
      <c r="C81" t="s">
        <v>131</v>
      </c>
      <c r="D81" t="s">
        <v>131</v>
      </c>
      <c r="E81" t="s">
        <v>27</v>
      </c>
      <c r="F81">
        <v>0</v>
      </c>
      <c r="G81">
        <v>0</v>
      </c>
      <c r="H81" t="s">
        <v>56</v>
      </c>
      <c r="I81" t="s">
        <v>56</v>
      </c>
      <c r="J81" t="s">
        <v>56</v>
      </c>
      <c r="K81" s="4"/>
      <c r="L81" s="4"/>
      <c r="M81" s="4"/>
      <c r="O81" s="4" t="s">
        <v>224</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105</v>
      </c>
      <c r="B84">
        <v>0</v>
      </c>
      <c r="C84" t="s">
        <v>119</v>
      </c>
      <c r="D84" t="s">
        <v>410</v>
      </c>
      <c r="E84" t="s">
        <v>92</v>
      </c>
      <c r="H84" t="s">
        <v>820</v>
      </c>
      <c r="I84" t="s">
        <v>167</v>
      </c>
      <c r="K84" s="4"/>
      <c r="L84" s="4"/>
      <c r="M84" s="4"/>
      <c r="O84" s="4" t="s">
        <v>277</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105</v>
      </c>
      <c r="B85">
        <v>1</v>
      </c>
      <c r="C85" t="s">
        <v>132</v>
      </c>
      <c r="D85" t="s">
        <v>132</v>
      </c>
      <c r="E85" t="s">
        <v>20</v>
      </c>
      <c r="F85">
        <v>0</v>
      </c>
      <c r="G85">
        <v>0</v>
      </c>
      <c r="H85" t="s">
        <v>57</v>
      </c>
      <c r="I85" t="s">
        <v>57</v>
      </c>
      <c r="J85" t="s">
        <v>56</v>
      </c>
      <c r="K85" s="4"/>
      <c r="L85" s="4"/>
      <c r="M85" s="4"/>
      <c r="O85" s="4" t="s">
        <v>232</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105</v>
      </c>
      <c r="B86">
        <v>2</v>
      </c>
      <c r="C86" t="s">
        <v>127</v>
      </c>
      <c r="D86" t="s">
        <v>127</v>
      </c>
      <c r="E86" t="s">
        <v>19</v>
      </c>
      <c r="F86">
        <v>50</v>
      </c>
      <c r="G86">
        <v>0</v>
      </c>
      <c r="H86" t="s">
        <v>57</v>
      </c>
      <c r="I86" t="s">
        <v>56</v>
      </c>
      <c r="J86" t="s">
        <v>57</v>
      </c>
      <c r="K86" s="4"/>
      <c r="L86" s="4"/>
      <c r="M86" s="4"/>
      <c r="O86" s="4" t="s">
        <v>233</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105</v>
      </c>
      <c r="B87">
        <v>3</v>
      </c>
      <c r="C87" t="s">
        <v>128</v>
      </c>
      <c r="D87" t="s">
        <v>128</v>
      </c>
      <c r="E87" t="s">
        <v>19</v>
      </c>
      <c r="F87">
        <v>10</v>
      </c>
      <c r="G87">
        <v>0</v>
      </c>
      <c r="H87" t="s">
        <v>56</v>
      </c>
      <c r="I87" t="s">
        <v>56</v>
      </c>
      <c r="J87" t="s">
        <v>56</v>
      </c>
      <c r="K87" s="4"/>
      <c r="L87" s="4"/>
      <c r="M87" s="4"/>
      <c r="O87" s="4" t="s">
        <v>727</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105</v>
      </c>
      <c r="B88">
        <v>4</v>
      </c>
      <c r="C88" t="s">
        <v>338</v>
      </c>
      <c r="D88" t="s">
        <v>338</v>
      </c>
      <c r="E88" t="s">
        <v>27</v>
      </c>
      <c r="F88">
        <v>0</v>
      </c>
      <c r="G88">
        <v>0</v>
      </c>
      <c r="H88" t="s">
        <v>56</v>
      </c>
      <c r="I88" t="s">
        <v>56</v>
      </c>
      <c r="J88" t="s">
        <v>56</v>
      </c>
      <c r="K88" s="4"/>
      <c r="L88" s="4"/>
      <c r="M88" s="4"/>
      <c r="O88" s="4" t="s">
        <v>339</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105</v>
      </c>
      <c r="B89">
        <v>5</v>
      </c>
      <c r="C89" t="s">
        <v>129</v>
      </c>
      <c r="D89" t="s">
        <v>129</v>
      </c>
      <c r="E89" t="s">
        <v>76</v>
      </c>
      <c r="F89">
        <v>0</v>
      </c>
      <c r="G89">
        <v>0</v>
      </c>
      <c r="H89" t="s">
        <v>56</v>
      </c>
      <c r="I89" t="s">
        <v>56</v>
      </c>
      <c r="J89" t="s">
        <v>56</v>
      </c>
      <c r="K89" s="4"/>
      <c r="L89" s="4"/>
      <c r="M89" s="4"/>
      <c r="O89" s="4" t="s">
        <v>234</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105</v>
      </c>
      <c r="B90">
        <v>6</v>
      </c>
      <c r="C90" t="s">
        <v>130</v>
      </c>
      <c r="D90" t="s">
        <v>130</v>
      </c>
      <c r="E90" t="s">
        <v>76</v>
      </c>
      <c r="F90">
        <v>0</v>
      </c>
      <c r="G90">
        <v>0</v>
      </c>
      <c r="H90" t="s">
        <v>56</v>
      </c>
      <c r="I90" t="s">
        <v>56</v>
      </c>
      <c r="J90" t="s">
        <v>56</v>
      </c>
      <c r="K90" s="4"/>
      <c r="L90" s="4"/>
      <c r="M90" s="4"/>
      <c r="O90" s="4" t="s">
        <v>729</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105</v>
      </c>
      <c r="B91">
        <v>7</v>
      </c>
      <c r="C91" t="s">
        <v>131</v>
      </c>
      <c r="D91" t="s">
        <v>131</v>
      </c>
      <c r="E91" t="s">
        <v>27</v>
      </c>
      <c r="F91">
        <v>0</v>
      </c>
      <c r="G91">
        <v>0</v>
      </c>
      <c r="H91" t="s">
        <v>56</v>
      </c>
      <c r="I91" t="s">
        <v>56</v>
      </c>
      <c r="J91" t="s">
        <v>56</v>
      </c>
      <c r="K91" s="4"/>
      <c r="L91" s="4"/>
      <c r="M91" s="4"/>
      <c r="O91" s="4" t="s">
        <v>236</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106</v>
      </c>
      <c r="B93">
        <v>0</v>
      </c>
      <c r="C93" t="s">
        <v>120</v>
      </c>
      <c r="D93" t="s">
        <v>409</v>
      </c>
      <c r="E93" t="s">
        <v>92</v>
      </c>
      <c r="H93" t="s">
        <v>820</v>
      </c>
      <c r="I93" t="s">
        <v>167</v>
      </c>
      <c r="K93" s="4"/>
      <c r="L93" s="4"/>
      <c r="M93" s="4"/>
      <c r="O93" s="4" t="s">
        <v>789</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106</v>
      </c>
      <c r="B94">
        <v>1</v>
      </c>
      <c r="C94" t="s">
        <v>132</v>
      </c>
      <c r="D94" t="s">
        <v>132</v>
      </c>
      <c r="E94" t="s">
        <v>20</v>
      </c>
      <c r="F94">
        <v>0</v>
      </c>
      <c r="G94">
        <v>0</v>
      </c>
      <c r="H94" t="s">
        <v>57</v>
      </c>
      <c r="I94" t="s">
        <v>57</v>
      </c>
      <c r="J94" t="s">
        <v>56</v>
      </c>
      <c r="K94" s="4"/>
      <c r="L94" s="4"/>
      <c r="M94" s="4"/>
      <c r="O94" s="4" t="s">
        <v>790</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106</v>
      </c>
      <c r="B95">
        <v>2</v>
      </c>
      <c r="C95" t="s">
        <v>127</v>
      </c>
      <c r="D95" t="s">
        <v>127</v>
      </c>
      <c r="E95" t="s">
        <v>19</v>
      </c>
      <c r="F95">
        <v>50</v>
      </c>
      <c r="G95">
        <v>0</v>
      </c>
      <c r="H95" t="s">
        <v>57</v>
      </c>
      <c r="I95" t="s">
        <v>56</v>
      </c>
      <c r="J95" t="s">
        <v>57</v>
      </c>
      <c r="K95" s="4"/>
      <c r="L95" s="4"/>
      <c r="M95" s="4"/>
      <c r="O95" s="4" t="s">
        <v>803</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106</v>
      </c>
      <c r="B96">
        <v>3</v>
      </c>
      <c r="C96" t="s">
        <v>128</v>
      </c>
      <c r="D96" t="s">
        <v>128</v>
      </c>
      <c r="E96" t="s">
        <v>19</v>
      </c>
      <c r="F96">
        <v>10</v>
      </c>
      <c r="G96">
        <v>0</v>
      </c>
      <c r="H96" t="s">
        <v>56</v>
      </c>
      <c r="I96" t="s">
        <v>56</v>
      </c>
      <c r="J96" t="s">
        <v>56</v>
      </c>
      <c r="K96" s="4"/>
      <c r="L96" s="4"/>
      <c r="M96" s="4"/>
      <c r="O96" s="4" t="s">
        <v>804</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106</v>
      </c>
      <c r="B97">
        <v>4</v>
      </c>
      <c r="C97" t="s">
        <v>129</v>
      </c>
      <c r="D97" t="s">
        <v>129</v>
      </c>
      <c r="E97" t="s">
        <v>76</v>
      </c>
      <c r="F97">
        <v>0</v>
      </c>
      <c r="G97">
        <v>0</v>
      </c>
      <c r="H97" t="s">
        <v>56</v>
      </c>
      <c r="I97" t="s">
        <v>56</v>
      </c>
      <c r="J97" t="s">
        <v>56</v>
      </c>
      <c r="K97" s="4"/>
      <c r="L97" s="4"/>
      <c r="M97" s="4"/>
      <c r="O97" s="4" t="s">
        <v>805</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106</v>
      </c>
      <c r="B98">
        <v>5</v>
      </c>
      <c r="C98" t="s">
        <v>157</v>
      </c>
      <c r="D98" t="s">
        <v>157</v>
      </c>
      <c r="E98" t="s">
        <v>20</v>
      </c>
      <c r="F98">
        <v>0</v>
      </c>
      <c r="G98">
        <v>0</v>
      </c>
      <c r="H98" t="s">
        <v>56</v>
      </c>
      <c r="I98" t="s">
        <v>56</v>
      </c>
      <c r="J98" t="s">
        <v>56</v>
      </c>
      <c r="K98" s="4"/>
      <c r="L98" s="4"/>
      <c r="M98" s="4"/>
      <c r="O98" s="4" t="s">
        <v>806</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106</v>
      </c>
      <c r="B99">
        <v>6</v>
      </c>
      <c r="C99" t="s">
        <v>158</v>
      </c>
      <c r="D99" t="s">
        <v>158</v>
      </c>
      <c r="E99" t="s">
        <v>19</v>
      </c>
      <c r="F99">
        <v>50</v>
      </c>
      <c r="G99">
        <v>0</v>
      </c>
      <c r="H99" t="s">
        <v>56</v>
      </c>
      <c r="I99" t="s">
        <v>56</v>
      </c>
      <c r="J99" t="s">
        <v>56</v>
      </c>
      <c r="K99" s="4"/>
      <c r="L99" s="4"/>
      <c r="M99" s="4"/>
      <c r="O99" s="4" t="s">
        <v>807</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106</v>
      </c>
      <c r="B100">
        <v>7</v>
      </c>
      <c r="C100" t="s">
        <v>159</v>
      </c>
      <c r="D100" t="s">
        <v>159</v>
      </c>
      <c r="E100" t="s">
        <v>19</v>
      </c>
      <c r="F100">
        <v>50</v>
      </c>
      <c r="G100">
        <v>0</v>
      </c>
      <c r="H100" t="s">
        <v>56</v>
      </c>
      <c r="I100" t="s">
        <v>56</v>
      </c>
      <c r="J100" t="s">
        <v>56</v>
      </c>
      <c r="K100" s="4"/>
      <c r="L100" s="4"/>
      <c r="M100" s="4"/>
      <c r="O100" s="4" t="s">
        <v>808</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106</v>
      </c>
      <c r="B101">
        <v>8</v>
      </c>
      <c r="C101" t="s">
        <v>130</v>
      </c>
      <c r="D101" t="s">
        <v>130</v>
      </c>
      <c r="E101" t="s">
        <v>76</v>
      </c>
      <c r="F101">
        <v>0</v>
      </c>
      <c r="G101">
        <v>0</v>
      </c>
      <c r="H101" t="s">
        <v>56</v>
      </c>
      <c r="I101" t="s">
        <v>56</v>
      </c>
      <c r="J101" t="s">
        <v>56</v>
      </c>
      <c r="K101" s="4"/>
      <c r="L101" s="4"/>
      <c r="M101" s="4"/>
      <c r="O101" s="4" t="s">
        <v>791</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106</v>
      </c>
      <c r="B102">
        <v>9</v>
      </c>
      <c r="C102" t="s">
        <v>131</v>
      </c>
      <c r="D102" t="s">
        <v>131</v>
      </c>
      <c r="E102" t="s">
        <v>27</v>
      </c>
      <c r="F102">
        <v>0</v>
      </c>
      <c r="G102">
        <v>0</v>
      </c>
      <c r="H102" t="s">
        <v>56</v>
      </c>
      <c r="I102" t="s">
        <v>56</v>
      </c>
      <c r="J102" t="s">
        <v>56</v>
      </c>
      <c r="K102" s="4"/>
      <c r="L102" s="4"/>
      <c r="M102" s="4"/>
      <c r="O102" s="4" t="s">
        <v>237</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107</v>
      </c>
      <c r="B104">
        <v>0</v>
      </c>
      <c r="C104" t="s">
        <v>121</v>
      </c>
      <c r="D104" t="s">
        <v>408</v>
      </c>
      <c r="E104" t="s">
        <v>165</v>
      </c>
      <c r="H104" t="s">
        <v>820</v>
      </c>
      <c r="I104" t="s">
        <v>167</v>
      </c>
      <c r="K104" s="4"/>
      <c r="L104" s="4"/>
      <c r="M104" s="4"/>
      <c r="O104" s="4" t="s">
        <v>695</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107</v>
      </c>
      <c r="B105">
        <v>1</v>
      </c>
      <c r="C105" t="s">
        <v>132</v>
      </c>
      <c r="D105" t="s">
        <v>132</v>
      </c>
      <c r="E105" t="s">
        <v>20</v>
      </c>
      <c r="F105">
        <v>0</v>
      </c>
      <c r="G105">
        <v>0</v>
      </c>
      <c r="H105" t="s">
        <v>57</v>
      </c>
      <c r="I105" t="s">
        <v>57</v>
      </c>
      <c r="J105" t="s">
        <v>56</v>
      </c>
      <c r="K105" s="4"/>
      <c r="L105" s="4"/>
      <c r="M105" s="4"/>
      <c r="O105" s="4" t="s">
        <v>696</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107</v>
      </c>
      <c r="B106">
        <v>2</v>
      </c>
      <c r="C106" t="s">
        <v>161</v>
      </c>
      <c r="D106" t="s">
        <v>161</v>
      </c>
      <c r="E106" t="s">
        <v>20</v>
      </c>
      <c r="F106">
        <v>0</v>
      </c>
      <c r="G106">
        <v>0</v>
      </c>
      <c r="H106" t="s">
        <v>57</v>
      </c>
      <c r="I106" t="s">
        <v>57</v>
      </c>
      <c r="J106" t="s">
        <v>57</v>
      </c>
      <c r="K106" s="4"/>
      <c r="L106" s="4"/>
      <c r="M106" s="4"/>
      <c r="O106" s="4" t="s">
        <v>697</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107</v>
      </c>
      <c r="B107">
        <v>3</v>
      </c>
      <c r="C107" t="s">
        <v>162</v>
      </c>
      <c r="D107" t="s">
        <v>162</v>
      </c>
      <c r="E107" t="s">
        <v>19</v>
      </c>
      <c r="F107">
        <v>100</v>
      </c>
      <c r="G107">
        <v>0</v>
      </c>
      <c r="H107" t="s">
        <v>57</v>
      </c>
      <c r="I107" t="s">
        <v>56</v>
      </c>
      <c r="J107" t="s">
        <v>56</v>
      </c>
      <c r="K107" s="4"/>
      <c r="L107" s="4"/>
      <c r="M107" s="4"/>
      <c r="O107" s="4" t="s">
        <v>698</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108</v>
      </c>
      <c r="B109">
        <v>0</v>
      </c>
      <c r="C109" t="s">
        <v>122</v>
      </c>
      <c r="D109" t="s">
        <v>407</v>
      </c>
      <c r="E109" t="s">
        <v>92</v>
      </c>
      <c r="H109" t="s">
        <v>820</v>
      </c>
      <c r="I109" t="s">
        <v>167</v>
      </c>
      <c r="K109" s="4"/>
      <c r="L109" s="4"/>
      <c r="M109" s="4"/>
      <c r="O109" s="4" t="s">
        <v>231</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108</v>
      </c>
      <c r="B110">
        <v>1</v>
      </c>
      <c r="C110" t="s">
        <v>132</v>
      </c>
      <c r="D110" t="s">
        <v>132</v>
      </c>
      <c r="E110" t="s">
        <v>20</v>
      </c>
      <c r="F110">
        <v>0</v>
      </c>
      <c r="G110">
        <v>0</v>
      </c>
      <c r="H110" t="s">
        <v>57</v>
      </c>
      <c r="I110" t="s">
        <v>57</v>
      </c>
      <c r="J110" t="s">
        <v>56</v>
      </c>
      <c r="K110" s="4"/>
      <c r="L110" s="4"/>
      <c r="M110" s="4"/>
      <c r="O110" s="4" t="s">
        <v>230</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108</v>
      </c>
      <c r="B111">
        <v>2</v>
      </c>
      <c r="C111" t="s">
        <v>127</v>
      </c>
      <c r="D111" t="s">
        <v>127</v>
      </c>
      <c r="E111" t="s">
        <v>19</v>
      </c>
      <c r="F111">
        <v>50</v>
      </c>
      <c r="G111">
        <v>0</v>
      </c>
      <c r="H111" t="s">
        <v>57</v>
      </c>
      <c r="I111" t="s">
        <v>56</v>
      </c>
      <c r="J111" t="s">
        <v>57</v>
      </c>
      <c r="K111" s="4"/>
      <c r="L111" s="4"/>
      <c r="M111" s="4"/>
      <c r="O111" s="4" t="s">
        <v>229</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108</v>
      </c>
      <c r="B112">
        <v>3</v>
      </c>
      <c r="C112" t="s">
        <v>128</v>
      </c>
      <c r="D112" t="s">
        <v>128</v>
      </c>
      <c r="E112" t="s">
        <v>19</v>
      </c>
      <c r="F112">
        <v>10</v>
      </c>
      <c r="G112">
        <v>0</v>
      </c>
      <c r="H112" t="s">
        <v>56</v>
      </c>
      <c r="I112" t="s">
        <v>56</v>
      </c>
      <c r="J112" t="s">
        <v>56</v>
      </c>
      <c r="K112" s="4"/>
      <c r="L112" s="4"/>
      <c r="M112" s="4"/>
      <c r="O112" s="4" t="s">
        <v>228</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108</v>
      </c>
      <c r="B113">
        <v>4</v>
      </c>
      <c r="C113" t="s">
        <v>129</v>
      </c>
      <c r="D113" t="s">
        <v>129</v>
      </c>
      <c r="E113" t="s">
        <v>76</v>
      </c>
      <c r="F113">
        <v>0</v>
      </c>
      <c r="G113">
        <v>0</v>
      </c>
      <c r="H113" t="s">
        <v>56</v>
      </c>
      <c r="I113" t="s">
        <v>56</v>
      </c>
      <c r="J113" t="s">
        <v>56</v>
      </c>
      <c r="K113" s="4"/>
      <c r="L113" s="4"/>
      <c r="M113" s="4"/>
      <c r="O113" s="4" t="s">
        <v>227</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108</v>
      </c>
      <c r="B114">
        <v>5</v>
      </c>
      <c r="C114" t="s">
        <v>160</v>
      </c>
      <c r="D114" t="s">
        <v>160</v>
      </c>
      <c r="E114" t="s">
        <v>19</v>
      </c>
      <c r="F114">
        <v>10</v>
      </c>
      <c r="G114">
        <v>0</v>
      </c>
      <c r="H114" t="s">
        <v>56</v>
      </c>
      <c r="I114" t="s">
        <v>56</v>
      </c>
      <c r="J114" t="s">
        <v>56</v>
      </c>
      <c r="K114" s="4"/>
      <c r="L114" s="4"/>
      <c r="M114" s="4"/>
      <c r="O114" s="4" t="s">
        <v>817</v>
      </c>
      <c r="P114" s="2" t="str" cm="1">
        <f t="array" ref="P114">CONCATENATE("      .AddAttribute(",Fill(B114,3),", ",QTFunc(C114),", ",QTFunc(D114),", ",QTFunc(E114),", ",F114,", ",G114,", ",H114,", ",I114,", ",QTFunc(K114),", ",QTFunc(L114),", ",QTFunc(M114),", ",QTFunc(O114),   ")")</f>
        <v xml:space="preserve">      .AddAttribute(  5, "Prefix", "Prefix", "varchar", 10, 0, false, false, "", "", "", "protocoll prefix which is used for this internet type (smtp:, phone:, https_, …)")</v>
      </c>
    </row>
    <row r="115" spans="1:16" x14ac:dyDescent="0.45">
      <c r="A115" t="s">
        <v>108</v>
      </c>
      <c r="B115">
        <v>6</v>
      </c>
      <c r="C115" t="s">
        <v>130</v>
      </c>
      <c r="D115" t="s">
        <v>130</v>
      </c>
      <c r="E115" t="s">
        <v>76</v>
      </c>
      <c r="F115">
        <v>0</v>
      </c>
      <c r="G115">
        <v>0</v>
      </c>
      <c r="H115" t="s">
        <v>56</v>
      </c>
      <c r="I115" t="s">
        <v>56</v>
      </c>
      <c r="J115" t="s">
        <v>56</v>
      </c>
      <c r="K115" s="4"/>
      <c r="L115" s="4"/>
      <c r="M115" s="4"/>
      <c r="O115" s="4" t="s">
        <v>226</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108</v>
      </c>
      <c r="B116">
        <v>7</v>
      </c>
      <c r="C116" t="s">
        <v>131</v>
      </c>
      <c r="D116" t="s">
        <v>131</v>
      </c>
      <c r="E116" t="s">
        <v>27</v>
      </c>
      <c r="F116">
        <v>0</v>
      </c>
      <c r="G116">
        <v>0</v>
      </c>
      <c r="H116" t="s">
        <v>56</v>
      </c>
      <c r="I116" t="s">
        <v>56</v>
      </c>
      <c r="J116" t="s">
        <v>56</v>
      </c>
      <c r="K116" s="4"/>
      <c r="L116" s="4"/>
      <c r="M116" s="4"/>
      <c r="O116" s="4" t="s">
        <v>225</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109</v>
      </c>
      <c r="B118">
        <v>0</v>
      </c>
      <c r="C118" t="s">
        <v>123</v>
      </c>
      <c r="D118" t="s">
        <v>355</v>
      </c>
      <c r="E118" t="s">
        <v>165</v>
      </c>
      <c r="H118" t="s">
        <v>819</v>
      </c>
      <c r="I118" t="s">
        <v>167</v>
      </c>
      <c r="K118" s="4"/>
      <c r="L118" s="4"/>
      <c r="M118" s="4"/>
      <c r="O118" s="4" t="s">
        <v>788</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109</v>
      </c>
      <c r="B119">
        <v>1</v>
      </c>
      <c r="C119" t="s">
        <v>132</v>
      </c>
      <c r="D119" t="s">
        <v>132</v>
      </c>
      <c r="E119" t="s">
        <v>20</v>
      </c>
      <c r="F119">
        <v>0</v>
      </c>
      <c r="G119">
        <v>0</v>
      </c>
      <c r="H119" t="s">
        <v>57</v>
      </c>
      <c r="I119" t="s">
        <v>57</v>
      </c>
      <c r="J119" t="s">
        <v>56</v>
      </c>
      <c r="K119" s="4"/>
      <c r="L119" s="4"/>
      <c r="M119" s="4"/>
      <c r="O119" s="4" t="s">
        <v>794</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109</v>
      </c>
      <c r="B120">
        <v>2</v>
      </c>
      <c r="C120" t="s">
        <v>127</v>
      </c>
      <c r="D120" t="s">
        <v>127</v>
      </c>
      <c r="E120" t="s">
        <v>19</v>
      </c>
      <c r="F120">
        <v>50</v>
      </c>
      <c r="G120">
        <v>0</v>
      </c>
      <c r="H120" t="s">
        <v>57</v>
      </c>
      <c r="I120" t="s">
        <v>56</v>
      </c>
      <c r="J120" t="s">
        <v>57</v>
      </c>
      <c r="K120" s="4"/>
      <c r="L120" s="4"/>
      <c r="M120" s="4"/>
      <c r="O120" s="4" t="s">
        <v>795</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109</v>
      </c>
      <c r="B121">
        <v>3</v>
      </c>
      <c r="C121" t="s">
        <v>128</v>
      </c>
      <c r="D121" t="s">
        <v>128</v>
      </c>
      <c r="E121" t="s">
        <v>19</v>
      </c>
      <c r="F121">
        <v>10</v>
      </c>
      <c r="G121">
        <v>0</v>
      </c>
      <c r="H121" t="s">
        <v>56</v>
      </c>
      <c r="I121" t="s">
        <v>56</v>
      </c>
      <c r="J121" t="s">
        <v>56</v>
      </c>
      <c r="K121" s="4"/>
      <c r="L121" s="4"/>
      <c r="M121" s="4"/>
      <c r="O121" s="4" t="s">
        <v>796</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109</v>
      </c>
      <c r="B122">
        <v>4</v>
      </c>
      <c r="C122" t="s">
        <v>129</v>
      </c>
      <c r="D122" t="s">
        <v>129</v>
      </c>
      <c r="E122" t="s">
        <v>76</v>
      </c>
      <c r="F122">
        <v>0</v>
      </c>
      <c r="G122">
        <v>0</v>
      </c>
      <c r="H122" t="s">
        <v>56</v>
      </c>
      <c r="I122" t="s">
        <v>56</v>
      </c>
      <c r="J122" t="s">
        <v>56</v>
      </c>
      <c r="K122" s="4"/>
      <c r="L122" s="4"/>
      <c r="M122" s="4"/>
      <c r="O122" s="4" t="s">
        <v>797</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109</v>
      </c>
      <c r="B123">
        <v>5</v>
      </c>
      <c r="C123" t="s">
        <v>699</v>
      </c>
      <c r="D123" t="s">
        <v>699</v>
      </c>
      <c r="E123" t="s">
        <v>20</v>
      </c>
      <c r="F123">
        <v>0</v>
      </c>
      <c r="G123">
        <v>0</v>
      </c>
      <c r="H123" t="s">
        <v>56</v>
      </c>
      <c r="I123" t="s">
        <v>56</v>
      </c>
      <c r="J123" t="s">
        <v>56</v>
      </c>
      <c r="K123" s="4"/>
      <c r="L123" s="4"/>
      <c r="M123" s="4"/>
      <c r="O123" s="4" t="s">
        <v>798</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109</v>
      </c>
      <c r="B124">
        <v>6</v>
      </c>
      <c r="C124" t="s">
        <v>130</v>
      </c>
      <c r="D124" t="s">
        <v>130</v>
      </c>
      <c r="E124" t="s">
        <v>76</v>
      </c>
      <c r="F124">
        <v>0</v>
      </c>
      <c r="G124">
        <v>0</v>
      </c>
      <c r="H124" t="s">
        <v>56</v>
      </c>
      <c r="I124" t="s">
        <v>56</v>
      </c>
      <c r="J124" t="s">
        <v>56</v>
      </c>
      <c r="K124" s="4"/>
      <c r="L124" s="4"/>
      <c r="M124" s="4"/>
      <c r="O124" s="4" t="s">
        <v>799</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109</v>
      </c>
      <c r="B125">
        <v>7</v>
      </c>
      <c r="C125" t="s">
        <v>131</v>
      </c>
      <c r="D125" t="s">
        <v>131</v>
      </c>
      <c r="E125" t="s">
        <v>27</v>
      </c>
      <c r="F125">
        <v>0</v>
      </c>
      <c r="G125">
        <v>0</v>
      </c>
      <c r="H125" t="s">
        <v>56</v>
      </c>
      <c r="I125" t="s">
        <v>56</v>
      </c>
      <c r="J125" t="s">
        <v>56</v>
      </c>
      <c r="K125" s="4"/>
      <c r="L125" s="4"/>
      <c r="M125" s="4"/>
      <c r="O125" s="4" t="s">
        <v>800</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110</v>
      </c>
      <c r="B127">
        <v>0</v>
      </c>
      <c r="C127" t="s">
        <v>124</v>
      </c>
      <c r="D127" t="s">
        <v>406</v>
      </c>
      <c r="E127" t="s">
        <v>165</v>
      </c>
      <c r="H127" t="s">
        <v>820</v>
      </c>
      <c r="I127" t="s">
        <v>167</v>
      </c>
      <c r="K127" s="4"/>
      <c r="L127" s="4"/>
      <c r="M127" s="4"/>
      <c r="O127" s="4" t="s">
        <v>379</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110</v>
      </c>
      <c r="B128">
        <v>1</v>
      </c>
      <c r="C128" t="s">
        <v>132</v>
      </c>
      <c r="D128" t="s">
        <v>132</v>
      </c>
      <c r="E128" t="s">
        <v>20</v>
      </c>
      <c r="F128">
        <v>0</v>
      </c>
      <c r="G128">
        <v>0</v>
      </c>
      <c r="H128" t="s">
        <v>57</v>
      </c>
      <c r="I128" t="s">
        <v>57</v>
      </c>
      <c r="J128" t="s">
        <v>56</v>
      </c>
      <c r="K128" s="4"/>
      <c r="L128" s="4"/>
      <c r="M128" s="4"/>
      <c r="O128" s="4" t="s">
        <v>380</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110</v>
      </c>
      <c r="B129">
        <v>2</v>
      </c>
      <c r="C129" t="s">
        <v>81</v>
      </c>
      <c r="D129" t="s">
        <v>81</v>
      </c>
      <c r="E129" t="s">
        <v>19</v>
      </c>
      <c r="F129">
        <v>30</v>
      </c>
      <c r="G129">
        <v>0</v>
      </c>
      <c r="H129" t="s">
        <v>57</v>
      </c>
      <c r="I129" t="s">
        <v>56</v>
      </c>
      <c r="J129" t="s">
        <v>56</v>
      </c>
      <c r="K129" s="4"/>
      <c r="L129" s="4"/>
      <c r="M129" s="4"/>
      <c r="O129" s="4" t="s">
        <v>381</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110</v>
      </c>
      <c r="B130">
        <v>3</v>
      </c>
      <c r="C130" t="s">
        <v>439</v>
      </c>
      <c r="D130" t="s">
        <v>439</v>
      </c>
      <c r="E130" t="s">
        <v>19</v>
      </c>
      <c r="F130">
        <v>30</v>
      </c>
      <c r="G130">
        <v>0</v>
      </c>
      <c r="H130" t="s">
        <v>56</v>
      </c>
      <c r="I130" t="s">
        <v>56</v>
      </c>
      <c r="J130" t="s">
        <v>56</v>
      </c>
      <c r="K130" s="4"/>
      <c r="L130" s="4"/>
      <c r="M130" s="4"/>
      <c r="O130" s="4" t="s">
        <v>382</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110</v>
      </c>
      <c r="B131">
        <v>4</v>
      </c>
      <c r="C131" t="s">
        <v>106</v>
      </c>
      <c r="D131" t="s">
        <v>106</v>
      </c>
      <c r="E131" t="s">
        <v>20</v>
      </c>
      <c r="F131">
        <v>0</v>
      </c>
      <c r="G131">
        <v>0</v>
      </c>
      <c r="H131" t="s">
        <v>57</v>
      </c>
      <c r="I131" t="s">
        <v>56</v>
      </c>
      <c r="J131" t="s">
        <v>56</v>
      </c>
      <c r="K131" s="4"/>
      <c r="L131" s="4"/>
      <c r="M131" s="4"/>
      <c r="O131" s="4" t="s">
        <v>383</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110</v>
      </c>
      <c r="B132">
        <v>5</v>
      </c>
      <c r="C132" t="s">
        <v>173</v>
      </c>
      <c r="D132" t="s">
        <v>173</v>
      </c>
      <c r="E132" t="s">
        <v>20</v>
      </c>
      <c r="F132">
        <v>0</v>
      </c>
      <c r="G132">
        <v>0</v>
      </c>
      <c r="H132" t="s">
        <v>57</v>
      </c>
      <c r="I132" t="s">
        <v>56</v>
      </c>
      <c r="J132" t="s">
        <v>56</v>
      </c>
      <c r="K132" s="4"/>
      <c r="L132" s="4"/>
      <c r="M132" s="4"/>
      <c r="O132" s="4" t="s">
        <v>384</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110</v>
      </c>
      <c r="B133">
        <v>6</v>
      </c>
      <c r="C133" t="s">
        <v>177</v>
      </c>
      <c r="D133" t="s">
        <v>177</v>
      </c>
      <c r="E133" t="s">
        <v>22</v>
      </c>
      <c r="F133">
        <v>0</v>
      </c>
      <c r="G133">
        <v>0</v>
      </c>
      <c r="H133" t="s">
        <v>56</v>
      </c>
      <c r="I133" t="s">
        <v>56</v>
      </c>
      <c r="J133" t="s">
        <v>56</v>
      </c>
      <c r="K133" s="4"/>
      <c r="L133" s="4"/>
      <c r="M133" s="4"/>
      <c r="O133" s="4" t="s">
        <v>385</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110</v>
      </c>
      <c r="B134">
        <v>7</v>
      </c>
      <c r="C134" t="s">
        <v>164</v>
      </c>
      <c r="D134" t="s">
        <v>164</v>
      </c>
      <c r="E134" t="s">
        <v>22</v>
      </c>
      <c r="F134">
        <v>0</v>
      </c>
      <c r="G134">
        <v>0</v>
      </c>
      <c r="H134" t="s">
        <v>56</v>
      </c>
      <c r="I134" t="s">
        <v>56</v>
      </c>
      <c r="J134" t="s">
        <v>56</v>
      </c>
      <c r="K134" s="4"/>
      <c r="L134" s="4"/>
      <c r="M134" s="4"/>
      <c r="O134" s="4" t="s">
        <v>386</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110</v>
      </c>
      <c r="B135">
        <v>8</v>
      </c>
      <c r="C135" t="s">
        <v>130</v>
      </c>
      <c r="D135" t="s">
        <v>130</v>
      </c>
      <c r="E135" t="s">
        <v>76</v>
      </c>
      <c r="F135">
        <v>0</v>
      </c>
      <c r="G135">
        <v>0</v>
      </c>
      <c r="H135" t="s">
        <v>56</v>
      </c>
      <c r="I135" t="s">
        <v>56</v>
      </c>
      <c r="J135" t="s">
        <v>56</v>
      </c>
      <c r="K135" s="4"/>
      <c r="L135" s="4"/>
      <c r="M135" s="4"/>
      <c r="O135" s="4" t="s">
        <v>387</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110</v>
      </c>
      <c r="B136">
        <v>9</v>
      </c>
      <c r="C136" t="s">
        <v>440</v>
      </c>
      <c r="D136" t="s">
        <v>440</v>
      </c>
      <c r="E136" t="s">
        <v>19</v>
      </c>
      <c r="F136">
        <v>60</v>
      </c>
      <c r="G136">
        <v>0</v>
      </c>
      <c r="H136" t="s">
        <v>56</v>
      </c>
      <c r="I136" t="s">
        <v>56</v>
      </c>
      <c r="J136" t="s">
        <v>56</v>
      </c>
      <c r="K136" s="4"/>
      <c r="L136" s="4"/>
      <c r="M136" s="4" t="s">
        <v>438</v>
      </c>
      <c r="O136" s="4" t="s">
        <v>479</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111</v>
      </c>
      <c r="B138">
        <v>0</v>
      </c>
      <c r="C138" t="s">
        <v>125</v>
      </c>
      <c r="D138" t="s">
        <v>405</v>
      </c>
      <c r="E138" t="s">
        <v>165</v>
      </c>
      <c r="H138" t="s">
        <v>820</v>
      </c>
      <c r="I138" t="s">
        <v>167</v>
      </c>
      <c r="K138" s="4"/>
      <c r="L138" s="4"/>
      <c r="M138" s="4"/>
      <c r="O138" s="4" t="s">
        <v>492</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111</v>
      </c>
      <c r="B139">
        <v>1</v>
      </c>
      <c r="C139" t="s">
        <v>132</v>
      </c>
      <c r="D139" t="s">
        <v>132</v>
      </c>
      <c r="E139" t="s">
        <v>20</v>
      </c>
      <c r="F139">
        <v>0</v>
      </c>
      <c r="G139">
        <v>0</v>
      </c>
      <c r="H139" t="s">
        <v>57</v>
      </c>
      <c r="I139" t="s">
        <v>57</v>
      </c>
      <c r="J139" t="s">
        <v>56</v>
      </c>
      <c r="K139" s="4"/>
      <c r="L139" s="4"/>
      <c r="M139" s="4"/>
      <c r="O139" s="4" t="s">
        <v>568</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111</v>
      </c>
      <c r="B140">
        <v>2</v>
      </c>
      <c r="C140" t="s">
        <v>138</v>
      </c>
      <c r="D140" t="s">
        <v>138</v>
      </c>
      <c r="E140" t="s">
        <v>20</v>
      </c>
      <c r="F140">
        <v>0</v>
      </c>
      <c r="G140">
        <v>0</v>
      </c>
      <c r="H140" t="s">
        <v>57</v>
      </c>
      <c r="I140" t="s">
        <v>57</v>
      </c>
      <c r="J140" t="s">
        <v>56</v>
      </c>
      <c r="K140" s="4"/>
      <c r="L140" s="4"/>
      <c r="M140" s="4"/>
      <c r="O140" s="4" t="s">
        <v>569</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111</v>
      </c>
      <c r="B141">
        <v>3</v>
      </c>
      <c r="C141" t="s">
        <v>139</v>
      </c>
      <c r="D141" t="s">
        <v>139</v>
      </c>
      <c r="E141" t="s">
        <v>19</v>
      </c>
      <c r="F141">
        <v>10</v>
      </c>
      <c r="G141">
        <v>0</v>
      </c>
      <c r="H141" t="s">
        <v>57</v>
      </c>
      <c r="I141" t="s">
        <v>56</v>
      </c>
      <c r="J141" t="s">
        <v>56</v>
      </c>
      <c r="K141" s="4" t="s">
        <v>686</v>
      </c>
      <c r="L141" s="4"/>
      <c r="M141" s="4"/>
      <c r="O141" s="4" t="s">
        <v>570</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111</v>
      </c>
      <c r="B142">
        <v>4</v>
      </c>
      <c r="C142" t="s">
        <v>140</v>
      </c>
      <c r="D142" t="s">
        <v>140</v>
      </c>
      <c r="E142" t="s">
        <v>19</v>
      </c>
      <c r="F142">
        <v>13</v>
      </c>
      <c r="G142">
        <v>0</v>
      </c>
      <c r="H142" t="s">
        <v>57</v>
      </c>
      <c r="I142" t="s">
        <v>56</v>
      </c>
      <c r="J142" t="s">
        <v>56</v>
      </c>
      <c r="K142" s="4" t="s">
        <v>575</v>
      </c>
      <c r="L142" s="4"/>
      <c r="M142" s="4"/>
      <c r="O142" s="4" t="s">
        <v>571</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111</v>
      </c>
      <c r="B143">
        <v>5</v>
      </c>
      <c r="C143" t="s">
        <v>137</v>
      </c>
      <c r="D143" t="s">
        <v>137</v>
      </c>
      <c r="E143" t="s">
        <v>20</v>
      </c>
      <c r="F143">
        <v>0</v>
      </c>
      <c r="G143">
        <v>0</v>
      </c>
      <c r="H143" t="s">
        <v>57</v>
      </c>
      <c r="I143" t="s">
        <v>56</v>
      </c>
      <c r="J143" t="s">
        <v>56</v>
      </c>
      <c r="K143" s="4"/>
      <c r="L143" s="4"/>
      <c r="M143" s="4"/>
      <c r="O143" s="4" t="s">
        <v>572</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111</v>
      </c>
      <c r="B144">
        <v>6</v>
      </c>
      <c r="C144" t="s">
        <v>567</v>
      </c>
      <c r="D144" t="s">
        <v>567</v>
      </c>
      <c r="E144" t="s">
        <v>19</v>
      </c>
      <c r="F144">
        <v>25</v>
      </c>
      <c r="G144">
        <v>0</v>
      </c>
      <c r="H144" t="s">
        <v>56</v>
      </c>
      <c r="I144" t="s">
        <v>56</v>
      </c>
      <c r="J144" t="s">
        <v>56</v>
      </c>
      <c r="K144" s="4"/>
      <c r="L144" s="4"/>
      <c r="M144" s="4" t="s">
        <v>576</v>
      </c>
      <c r="O144" s="4" t="s">
        <v>573</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111</v>
      </c>
      <c r="B145">
        <v>7</v>
      </c>
      <c r="C145" t="s">
        <v>566</v>
      </c>
      <c r="D145" t="s">
        <v>566</v>
      </c>
      <c r="E145" t="s">
        <v>19</v>
      </c>
      <c r="F145">
        <v>30</v>
      </c>
      <c r="G145">
        <v>0</v>
      </c>
      <c r="H145" t="s">
        <v>56</v>
      </c>
      <c r="I145" t="s">
        <v>56</v>
      </c>
      <c r="J145" t="s">
        <v>56</v>
      </c>
      <c r="K145" s="4"/>
      <c r="L145" s="4"/>
      <c r="M145" s="4" t="s">
        <v>759</v>
      </c>
      <c r="O145" s="4" t="s">
        <v>574</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141</v>
      </c>
      <c r="B147">
        <v>0</v>
      </c>
      <c r="C147" t="s">
        <v>126</v>
      </c>
      <c r="D147" t="s">
        <v>404</v>
      </c>
      <c r="E147" t="s">
        <v>92</v>
      </c>
      <c r="H147" t="s">
        <v>820</v>
      </c>
      <c r="I147" t="s">
        <v>167</v>
      </c>
      <c r="K147" s="4"/>
      <c r="L147" s="4"/>
      <c r="M147" s="4"/>
      <c r="O147" s="4" t="s">
        <v>219</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141</v>
      </c>
      <c r="B148">
        <v>1</v>
      </c>
      <c r="C148" t="s">
        <v>132</v>
      </c>
      <c r="D148" t="s">
        <v>132</v>
      </c>
      <c r="E148" t="s">
        <v>20</v>
      </c>
      <c r="F148">
        <v>0</v>
      </c>
      <c r="G148">
        <v>0</v>
      </c>
      <c r="H148" t="s">
        <v>57</v>
      </c>
      <c r="I148" t="s">
        <v>57</v>
      </c>
      <c r="J148" t="s">
        <v>56</v>
      </c>
      <c r="K148" s="4"/>
      <c r="L148" s="4"/>
      <c r="M148" s="4"/>
      <c r="O148" s="4" t="s">
        <v>220</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141</v>
      </c>
      <c r="B149">
        <v>2</v>
      </c>
      <c r="C149" t="s">
        <v>127</v>
      </c>
      <c r="D149" t="s">
        <v>127</v>
      </c>
      <c r="E149" t="s">
        <v>19</v>
      </c>
      <c r="F149">
        <v>50</v>
      </c>
      <c r="G149">
        <v>0</v>
      </c>
      <c r="H149" t="s">
        <v>57</v>
      </c>
      <c r="I149" t="s">
        <v>56</v>
      </c>
      <c r="J149" t="s">
        <v>57</v>
      </c>
      <c r="K149" s="4"/>
      <c r="L149" s="4"/>
      <c r="M149" s="4"/>
      <c r="O149" s="4" t="s">
        <v>221</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141</v>
      </c>
      <c r="B150">
        <v>3</v>
      </c>
      <c r="C150" t="s">
        <v>128</v>
      </c>
      <c r="D150" t="s">
        <v>128</v>
      </c>
      <c r="E150" t="s">
        <v>19</v>
      </c>
      <c r="F150">
        <v>10</v>
      </c>
      <c r="G150">
        <v>0</v>
      </c>
      <c r="H150" t="s">
        <v>56</v>
      </c>
      <c r="I150" t="s">
        <v>56</v>
      </c>
      <c r="J150" t="s">
        <v>56</v>
      </c>
      <c r="K150" s="4"/>
      <c r="L150" s="4"/>
      <c r="M150" s="4"/>
      <c r="O150" s="4" t="s">
        <v>222</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141</v>
      </c>
      <c r="B151">
        <v>4</v>
      </c>
      <c r="C151" t="s">
        <v>129</v>
      </c>
      <c r="D151" t="s">
        <v>129</v>
      </c>
      <c r="E151" t="s">
        <v>76</v>
      </c>
      <c r="F151">
        <v>0</v>
      </c>
      <c r="G151">
        <v>0</v>
      </c>
      <c r="H151" t="s">
        <v>56</v>
      </c>
      <c r="I151" t="s">
        <v>56</v>
      </c>
      <c r="J151" t="s">
        <v>56</v>
      </c>
      <c r="K151" s="4"/>
      <c r="L151" s="4"/>
      <c r="M151" s="4"/>
      <c r="O151" s="4" t="s">
        <v>223</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141</v>
      </c>
      <c r="B152">
        <v>5</v>
      </c>
      <c r="C152" t="s">
        <v>130</v>
      </c>
      <c r="D152" t="s">
        <v>130</v>
      </c>
      <c r="E152" t="s">
        <v>76</v>
      </c>
      <c r="F152">
        <v>0</v>
      </c>
      <c r="G152">
        <v>0</v>
      </c>
      <c r="H152" t="s">
        <v>56</v>
      </c>
      <c r="I152" t="s">
        <v>56</v>
      </c>
      <c r="J152" t="s">
        <v>56</v>
      </c>
      <c r="K152" s="4"/>
      <c r="L152" s="4"/>
      <c r="M152" s="4"/>
      <c r="O152" s="4" t="s">
        <v>612</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141</v>
      </c>
      <c r="B153">
        <v>6</v>
      </c>
      <c r="C153" t="s">
        <v>131</v>
      </c>
      <c r="D153" t="s">
        <v>131</v>
      </c>
      <c r="E153" t="s">
        <v>27</v>
      </c>
      <c r="F153">
        <v>0</v>
      </c>
      <c r="G153">
        <v>0</v>
      </c>
      <c r="H153" t="s">
        <v>56</v>
      </c>
      <c r="I153" t="s">
        <v>56</v>
      </c>
      <c r="J153" t="s">
        <v>56</v>
      </c>
      <c r="K153" s="4"/>
      <c r="L153" s="4"/>
      <c r="M153" s="4"/>
      <c r="O153" s="4" t="s">
        <v>224</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604</v>
      </c>
      <c r="B155">
        <v>0</v>
      </c>
      <c r="C155" t="s">
        <v>609</v>
      </c>
      <c r="D155" t="s">
        <v>610</v>
      </c>
      <c r="E155" t="s">
        <v>92</v>
      </c>
      <c r="H155" t="s">
        <v>819</v>
      </c>
      <c r="I155" t="s">
        <v>167</v>
      </c>
      <c r="K155" s="4"/>
      <c r="L155" s="4"/>
      <c r="M155" s="4"/>
      <c r="O155" s="4" t="s">
        <v>650</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604</v>
      </c>
      <c r="B156">
        <v>1</v>
      </c>
      <c r="C156" t="s">
        <v>132</v>
      </c>
      <c r="D156" t="s">
        <v>132</v>
      </c>
      <c r="E156" t="s">
        <v>20</v>
      </c>
      <c r="F156">
        <v>0</v>
      </c>
      <c r="G156">
        <v>0</v>
      </c>
      <c r="H156" t="s">
        <v>57</v>
      </c>
      <c r="I156" t="s">
        <v>57</v>
      </c>
      <c r="J156" t="s">
        <v>56</v>
      </c>
      <c r="K156" s="4"/>
      <c r="L156" s="4"/>
      <c r="M156" s="4"/>
      <c r="O156" s="4" t="s">
        <v>611</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604</v>
      </c>
      <c r="B157">
        <v>2</v>
      </c>
      <c r="C157" t="s">
        <v>127</v>
      </c>
      <c r="D157" t="s">
        <v>127</v>
      </c>
      <c r="E157" t="s">
        <v>19</v>
      </c>
      <c r="F157">
        <v>50</v>
      </c>
      <c r="G157">
        <v>0</v>
      </c>
      <c r="H157" t="s">
        <v>57</v>
      </c>
      <c r="I157" t="s">
        <v>56</v>
      </c>
      <c r="J157" t="s">
        <v>57</v>
      </c>
      <c r="K157" s="4"/>
      <c r="L157" s="4"/>
      <c r="M157" s="4"/>
      <c r="O157" s="4" t="s">
        <v>613</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604</v>
      </c>
      <c r="B158">
        <v>3</v>
      </c>
      <c r="C158" t="s">
        <v>128</v>
      </c>
      <c r="D158" t="s">
        <v>128</v>
      </c>
      <c r="E158" t="s">
        <v>19</v>
      </c>
      <c r="F158">
        <v>10</v>
      </c>
      <c r="G158">
        <v>0</v>
      </c>
      <c r="H158" t="s">
        <v>56</v>
      </c>
      <c r="I158" t="s">
        <v>56</v>
      </c>
      <c r="J158" t="s">
        <v>56</v>
      </c>
      <c r="K158" s="4"/>
      <c r="L158" s="4"/>
      <c r="M158" s="4"/>
      <c r="O158" s="4" t="s">
        <v>615</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604</v>
      </c>
      <c r="B159">
        <v>4</v>
      </c>
      <c r="C159" t="s">
        <v>129</v>
      </c>
      <c r="D159" t="s">
        <v>129</v>
      </c>
      <c r="E159" t="s">
        <v>76</v>
      </c>
      <c r="F159">
        <v>0</v>
      </c>
      <c r="G159">
        <v>0</v>
      </c>
      <c r="H159" t="s">
        <v>56</v>
      </c>
      <c r="I159" t="s">
        <v>56</v>
      </c>
      <c r="J159" t="s">
        <v>56</v>
      </c>
      <c r="K159" s="4"/>
      <c r="L159" s="4"/>
      <c r="M159" s="4"/>
      <c r="O159" s="4" t="s">
        <v>614</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604</v>
      </c>
      <c r="B160">
        <v>5</v>
      </c>
      <c r="C160" t="s">
        <v>130</v>
      </c>
      <c r="D160" t="s">
        <v>130</v>
      </c>
      <c r="E160" t="s">
        <v>76</v>
      </c>
      <c r="F160">
        <v>0</v>
      </c>
      <c r="G160">
        <v>0</v>
      </c>
      <c r="H160" t="s">
        <v>56</v>
      </c>
      <c r="I160" t="s">
        <v>56</v>
      </c>
      <c r="J160" t="s">
        <v>56</v>
      </c>
      <c r="K160" s="4"/>
      <c r="L160" s="4"/>
      <c r="M160" s="4"/>
      <c r="O160" s="4" t="s">
        <v>616</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604</v>
      </c>
      <c r="B161">
        <v>6</v>
      </c>
      <c r="C161" t="s">
        <v>131</v>
      </c>
      <c r="D161" t="s">
        <v>131</v>
      </c>
      <c r="E161" t="s">
        <v>27</v>
      </c>
      <c r="F161">
        <v>0</v>
      </c>
      <c r="G161">
        <v>0</v>
      </c>
      <c r="H161" t="s">
        <v>56</v>
      </c>
      <c r="I161" t="s">
        <v>56</v>
      </c>
      <c r="J161" t="s">
        <v>56</v>
      </c>
      <c r="K161" s="4"/>
      <c r="L161" s="4"/>
      <c r="M161" s="4"/>
      <c r="O161" s="4" t="s">
        <v>617</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646</v>
      </c>
      <c r="B163">
        <v>0</v>
      </c>
      <c r="C163" t="s">
        <v>647</v>
      </c>
      <c r="D163" t="s">
        <v>648</v>
      </c>
      <c r="E163" t="s">
        <v>92</v>
      </c>
      <c r="H163" t="s">
        <v>819</v>
      </c>
      <c r="I163" t="s">
        <v>167</v>
      </c>
      <c r="K163" s="4"/>
      <c r="L163" s="4"/>
      <c r="M163" s="4"/>
      <c r="O163" s="4" t="s">
        <v>649</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646</v>
      </c>
      <c r="B164">
        <v>1</v>
      </c>
      <c r="C164" t="s">
        <v>132</v>
      </c>
      <c r="D164" t="s">
        <v>132</v>
      </c>
      <c r="E164" t="s">
        <v>20</v>
      </c>
      <c r="F164">
        <v>0</v>
      </c>
      <c r="G164">
        <v>0</v>
      </c>
      <c r="H164" t="s">
        <v>57</v>
      </c>
      <c r="I164" t="s">
        <v>57</v>
      </c>
      <c r="J164" t="s">
        <v>56</v>
      </c>
      <c r="K164" s="4"/>
      <c r="L164" s="4"/>
      <c r="M164" s="4"/>
      <c r="O164" s="4" t="s">
        <v>651</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646</v>
      </c>
      <c r="B165">
        <v>2</v>
      </c>
      <c r="C165" t="s">
        <v>127</v>
      </c>
      <c r="D165" t="s">
        <v>127</v>
      </c>
      <c r="E165" t="s">
        <v>19</v>
      </c>
      <c r="F165">
        <v>50</v>
      </c>
      <c r="G165">
        <v>0</v>
      </c>
      <c r="H165" t="s">
        <v>57</v>
      </c>
      <c r="I165" t="s">
        <v>56</v>
      </c>
      <c r="J165" t="s">
        <v>57</v>
      </c>
      <c r="K165" s="4"/>
      <c r="L165" s="4"/>
      <c r="M165" s="4"/>
      <c r="O165" s="4" t="s">
        <v>652</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646</v>
      </c>
      <c r="B166">
        <v>3</v>
      </c>
      <c r="C166" t="s">
        <v>128</v>
      </c>
      <c r="D166" t="s">
        <v>128</v>
      </c>
      <c r="E166" t="s">
        <v>19</v>
      </c>
      <c r="F166">
        <v>10</v>
      </c>
      <c r="G166">
        <v>0</v>
      </c>
      <c r="H166" t="s">
        <v>56</v>
      </c>
      <c r="I166" t="s">
        <v>56</v>
      </c>
      <c r="J166" t="s">
        <v>56</v>
      </c>
      <c r="K166" s="4"/>
      <c r="L166" s="4"/>
      <c r="M166" s="4"/>
      <c r="O166" s="4" t="s">
        <v>653</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646</v>
      </c>
      <c r="B167">
        <v>4</v>
      </c>
      <c r="C167" t="s">
        <v>129</v>
      </c>
      <c r="D167" t="s">
        <v>129</v>
      </c>
      <c r="E167" t="s">
        <v>76</v>
      </c>
      <c r="F167">
        <v>0</v>
      </c>
      <c r="G167">
        <v>0</v>
      </c>
      <c r="H167" t="s">
        <v>56</v>
      </c>
      <c r="I167" t="s">
        <v>56</v>
      </c>
      <c r="J167" t="s">
        <v>56</v>
      </c>
      <c r="K167" s="4"/>
      <c r="L167" s="4"/>
      <c r="M167" s="4"/>
      <c r="O167" s="4" t="s">
        <v>654</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646</v>
      </c>
      <c r="B168">
        <v>5</v>
      </c>
      <c r="C168" t="s">
        <v>130</v>
      </c>
      <c r="D168" t="s">
        <v>130</v>
      </c>
      <c r="E168" t="s">
        <v>76</v>
      </c>
      <c r="F168">
        <v>0</v>
      </c>
      <c r="G168">
        <v>0</v>
      </c>
      <c r="H168" t="s">
        <v>56</v>
      </c>
      <c r="I168" t="s">
        <v>56</v>
      </c>
      <c r="J168" t="s">
        <v>56</v>
      </c>
      <c r="K168" s="4"/>
      <c r="L168" s="4"/>
      <c r="M168" s="4"/>
      <c r="O168" s="4" t="s">
        <v>655</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646</v>
      </c>
      <c r="B169">
        <v>6</v>
      </c>
      <c r="C169" t="s">
        <v>131</v>
      </c>
      <c r="D169" t="s">
        <v>131</v>
      </c>
      <c r="E169" t="s">
        <v>27</v>
      </c>
      <c r="F169">
        <v>0</v>
      </c>
      <c r="G169">
        <v>0</v>
      </c>
      <c r="H169" t="s">
        <v>56</v>
      </c>
      <c r="I169" t="s">
        <v>56</v>
      </c>
      <c r="J169" t="s">
        <v>56</v>
      </c>
      <c r="K169" s="4"/>
      <c r="L169" s="4"/>
      <c r="M169" s="4"/>
      <c r="O169" s="4" t="s">
        <v>617</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702</v>
      </c>
      <c r="B171">
        <v>0</v>
      </c>
      <c r="C171" t="s">
        <v>705</v>
      </c>
      <c r="D171" t="s">
        <v>704</v>
      </c>
      <c r="E171" t="s">
        <v>92</v>
      </c>
      <c r="H171" t="s">
        <v>819</v>
      </c>
      <c r="I171" t="s">
        <v>167</v>
      </c>
      <c r="K171" s="4"/>
      <c r="L171" s="4"/>
      <c r="M171" s="4"/>
      <c r="O171" s="4" t="s">
        <v>703</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702</v>
      </c>
      <c r="B172">
        <v>1</v>
      </c>
      <c r="C172" t="s">
        <v>132</v>
      </c>
      <c r="D172" t="s">
        <v>132</v>
      </c>
      <c r="E172" t="s">
        <v>20</v>
      </c>
      <c r="F172">
        <v>0</v>
      </c>
      <c r="G172">
        <v>0</v>
      </c>
      <c r="H172" t="s">
        <v>57</v>
      </c>
      <c r="I172" t="s">
        <v>57</v>
      </c>
      <c r="J172" t="s">
        <v>56</v>
      </c>
      <c r="K172" s="4"/>
      <c r="L172" s="4"/>
      <c r="M172" s="4"/>
      <c r="O172" s="4" t="s">
        <v>706</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702</v>
      </c>
      <c r="B173">
        <v>2</v>
      </c>
      <c r="C173" t="s">
        <v>127</v>
      </c>
      <c r="D173" t="s">
        <v>127</v>
      </c>
      <c r="E173" t="s">
        <v>19</v>
      </c>
      <c r="F173">
        <v>50</v>
      </c>
      <c r="G173">
        <v>0</v>
      </c>
      <c r="H173" t="s">
        <v>57</v>
      </c>
      <c r="I173" t="s">
        <v>56</v>
      </c>
      <c r="J173" t="s">
        <v>57</v>
      </c>
      <c r="K173" s="4"/>
      <c r="L173" s="4"/>
      <c r="M173" s="4"/>
      <c r="O173" s="4" t="s">
        <v>707</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702</v>
      </c>
      <c r="B174">
        <v>3</v>
      </c>
      <c r="C174" t="s">
        <v>128</v>
      </c>
      <c r="D174" t="s">
        <v>128</v>
      </c>
      <c r="E174" t="s">
        <v>19</v>
      </c>
      <c r="F174">
        <v>10</v>
      </c>
      <c r="G174">
        <v>0</v>
      </c>
      <c r="H174" t="s">
        <v>56</v>
      </c>
      <c r="I174" t="s">
        <v>56</v>
      </c>
      <c r="J174" t="s">
        <v>56</v>
      </c>
      <c r="K174" s="4"/>
      <c r="L174" s="4"/>
      <c r="M174" s="4"/>
      <c r="O174" s="4" t="s">
        <v>708</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702</v>
      </c>
      <c r="B175">
        <v>4</v>
      </c>
      <c r="C175" t="s">
        <v>129</v>
      </c>
      <c r="D175" t="s">
        <v>129</v>
      </c>
      <c r="E175" t="s">
        <v>76</v>
      </c>
      <c r="F175">
        <v>0</v>
      </c>
      <c r="G175">
        <v>0</v>
      </c>
      <c r="H175" t="s">
        <v>56</v>
      </c>
      <c r="I175" t="s">
        <v>56</v>
      </c>
      <c r="J175" t="s">
        <v>56</v>
      </c>
      <c r="K175" s="4"/>
      <c r="L175" s="4"/>
      <c r="M175" s="4"/>
      <c r="O175" s="4" t="s">
        <v>709</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702</v>
      </c>
      <c r="B176">
        <v>5</v>
      </c>
      <c r="C176" t="s">
        <v>131</v>
      </c>
      <c r="D176" t="s">
        <v>131</v>
      </c>
      <c r="E176" t="s">
        <v>27</v>
      </c>
      <c r="F176">
        <v>0</v>
      </c>
      <c r="G176">
        <v>0</v>
      </c>
      <c r="H176" t="s">
        <v>56</v>
      </c>
      <c r="I176" t="s">
        <v>56</v>
      </c>
      <c r="J176" t="s">
        <v>56</v>
      </c>
      <c r="K176" s="4"/>
      <c r="L176" s="4"/>
      <c r="M176" s="4"/>
      <c r="O176" s="4" t="s">
        <v>811</v>
      </c>
      <c r="P176" s="2" t="str" cm="1">
        <f t="array" ref="P176">CONCATENATE("      .AddAttribute(",Fill(B176,3),", ",QTFunc(C176),", ",QTFunc(D176),", ",QTFunc(E176),", ",F176,", ",G176,", ",H176,", ",I176,", ",QTFunc(K176),", ",QTFunc(L176),", ",QTFunc(M176),", ",QTFunc(O176),   ")")</f>
        <v xml:space="preserve">      .AddAttribute(  5, "UrgentValue", "UrgentValue", "bool", 0, 0, false, false, "", "", "", "boolean value that makes this entity of salary base to a system value (cannot be changed as it is used directly by the program)")</v>
      </c>
    </row>
    <row r="177" spans="1:16" x14ac:dyDescent="0.45">
      <c r="K177" s="4"/>
      <c r="L177" s="4"/>
      <c r="M177" s="4"/>
      <c r="O177" s="4"/>
      <c r="P177" s="2"/>
    </row>
    <row r="178" spans="1:16" x14ac:dyDescent="0.45">
      <c r="A178" t="s">
        <v>699</v>
      </c>
      <c r="B178">
        <v>0</v>
      </c>
      <c r="C178" t="s">
        <v>700</v>
      </c>
      <c r="D178" t="s">
        <v>701</v>
      </c>
      <c r="E178" t="s">
        <v>92</v>
      </c>
      <c r="H178" t="s">
        <v>819</v>
      </c>
      <c r="I178" t="s">
        <v>167</v>
      </c>
      <c r="K178" s="4"/>
      <c r="L178" s="4"/>
      <c r="M178" s="4"/>
      <c r="O178" s="4" t="s">
        <v>818</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(fix, bonus, hourly, dayly, monthly, ...)")</v>
      </c>
    </row>
    <row r="179" spans="1:16" x14ac:dyDescent="0.45">
      <c r="A179" t="s">
        <v>699</v>
      </c>
      <c r="B179">
        <v>1</v>
      </c>
      <c r="C179" t="s">
        <v>132</v>
      </c>
      <c r="D179" t="s">
        <v>132</v>
      </c>
      <c r="E179" t="s">
        <v>20</v>
      </c>
      <c r="F179">
        <v>0</v>
      </c>
      <c r="G179">
        <v>0</v>
      </c>
      <c r="H179" t="s">
        <v>57</v>
      </c>
      <c r="I179" t="s">
        <v>57</v>
      </c>
      <c r="J179" t="s">
        <v>56</v>
      </c>
      <c r="K179" s="4"/>
      <c r="L179" s="4"/>
      <c r="M179" s="4"/>
      <c r="O179" s="4" t="s">
        <v>812</v>
      </c>
      <c r="P179" s="2" t="str" cm="1">
        <f t="array" ref="P179">CONCATENATE("      .AddAttribute(",Fill(B179,3),", ",QTFunc(C179),", ",QTFunc(D179),", ",QTFunc(E179),", ",F179,", ",G179,", ",H179,", ",I179,", ",QTFunc(K179),", ",QTFunc(L179),", ",QTFunc(M179),", ",QTFunc(O179),   ")")</f>
        <v xml:space="preserve">      .AddAttribute(  1, "ID", "ID", "integer", 0, 0, true, true, "", "", "", "unique identification number / id of the type of salary")</v>
      </c>
    </row>
    <row r="180" spans="1:16" x14ac:dyDescent="0.45">
      <c r="A180" t="s">
        <v>699</v>
      </c>
      <c r="B180">
        <v>2</v>
      </c>
      <c r="C180" t="s">
        <v>127</v>
      </c>
      <c r="D180" t="s">
        <v>127</v>
      </c>
      <c r="E180" t="s">
        <v>19</v>
      </c>
      <c r="F180">
        <v>50</v>
      </c>
      <c r="G180">
        <v>0</v>
      </c>
      <c r="H180" t="s">
        <v>57</v>
      </c>
      <c r="I180" t="s">
        <v>56</v>
      </c>
      <c r="J180" t="s">
        <v>57</v>
      </c>
      <c r="K180" s="4"/>
      <c r="L180" s="4"/>
      <c r="M180" s="4"/>
      <c r="O180" s="4" t="s">
        <v>813</v>
      </c>
      <c r="P180" s="2" t="str" cm="1">
        <f t="array" ref="P180">CONCATENATE("      .AddAttribute(",Fill(B180,3),", ",QTFunc(C180),", ",QTFunc(D180),", ",QTFunc(E180),", ",F180,", ",G180,", ",H180,", ",I180,", ",QTFunc(K180),", ",QTFunc(L180),", ",QTFunc(M180),", ",QTFunc(O180),   ")")</f>
        <v xml:space="preserve">      .AddAttribute(  2, "Denotation", "Denotation", "varchar", 50, 0, true, false, "", "", "", "unique denotation for the type of salary")</v>
      </c>
    </row>
    <row r="181" spans="1:16" x14ac:dyDescent="0.45">
      <c r="A181" t="s">
        <v>699</v>
      </c>
      <c r="B181">
        <v>3</v>
      </c>
      <c r="C181" t="s">
        <v>128</v>
      </c>
      <c r="D181" t="s">
        <v>128</v>
      </c>
      <c r="E181" t="s">
        <v>19</v>
      </c>
      <c r="F181">
        <v>10</v>
      </c>
      <c r="G181">
        <v>0</v>
      </c>
      <c r="H181" t="s">
        <v>56</v>
      </c>
      <c r="I181" t="s">
        <v>56</v>
      </c>
      <c r="J181" t="s">
        <v>56</v>
      </c>
      <c r="K181" s="4"/>
      <c r="L181" s="4"/>
      <c r="M181" s="4"/>
      <c r="O181" s="4" t="s">
        <v>814</v>
      </c>
      <c r="P181" s="2" t="str" cm="1">
        <f t="array" ref="P181">CONCATENATE("      .AddAttribute(",Fill(B181,3),", ",QTFunc(C181),", ",QTFunc(D181),", ",QTFunc(E181),", ",F181,", ",G181,", ",H181,", ",I181,", ",QTFunc(K181),", ",QTFunc(L181),", ",QTFunc(M181),", ",QTFunc(O181),   ")")</f>
        <v xml:space="preserve">      .AddAttribute(  3, "Abbreviation", "Abbreviation", "varchar", 10, 0, false, false, "", "", "", "abbreviation for thetype of salary, used in the application for a compact display")</v>
      </c>
    </row>
    <row r="182" spans="1:16" x14ac:dyDescent="0.45">
      <c r="A182" t="s">
        <v>699</v>
      </c>
      <c r="B182">
        <v>4</v>
      </c>
      <c r="C182" t="s">
        <v>129</v>
      </c>
      <c r="D182" t="s">
        <v>129</v>
      </c>
      <c r="E182" t="s">
        <v>76</v>
      </c>
      <c r="F182">
        <v>0</v>
      </c>
      <c r="G182">
        <v>0</v>
      </c>
      <c r="H182" t="s">
        <v>56</v>
      </c>
      <c r="I182" t="s">
        <v>56</v>
      </c>
      <c r="J182" t="s">
        <v>56</v>
      </c>
      <c r="K182" s="4"/>
      <c r="L182" s="4"/>
      <c r="M182" s="4"/>
      <c r="O182" s="4" t="s">
        <v>815</v>
      </c>
      <c r="P182" s="2" t="str" cm="1">
        <f t="array" ref="P182">CONCATENATE("      .AddAttribute(",Fill(B182,3),", ",QTFunc(C182),", ",QTFunc(D182),", ",QTFunc(E182),", ",F182,", ",G182,", ",H182,", ",I182,", ",QTFunc(K182),", ",QTFunc(L182),", ",QTFunc(M182),", ",QTFunc(O182),   ")")</f>
        <v xml:space="preserve">      .AddAttribute(  4, "Description", "Description", "text", 0, 0, false, false, "", "", "", "description as long text for the type of salary, used in the application for detailed informations")</v>
      </c>
    </row>
    <row r="183" spans="1:16" x14ac:dyDescent="0.45">
      <c r="A183" t="s">
        <v>699</v>
      </c>
      <c r="B183">
        <v>5</v>
      </c>
      <c r="C183" t="s">
        <v>702</v>
      </c>
      <c r="D183" t="s">
        <v>702</v>
      </c>
      <c r="E183" t="s">
        <v>20</v>
      </c>
      <c r="F183">
        <v>0</v>
      </c>
      <c r="G183">
        <v>0</v>
      </c>
      <c r="H183" t="s">
        <v>56</v>
      </c>
      <c r="I183" t="s">
        <v>56</v>
      </c>
      <c r="J183" t="s">
        <v>56</v>
      </c>
      <c r="K183" s="4"/>
      <c r="L183" s="4"/>
      <c r="M183" s="4"/>
      <c r="O183" s="4" t="s">
        <v>816</v>
      </c>
      <c r="P183" s="2" t="str" cm="1">
        <f t="array" ref="P183">CONCATENATE("      .AddAttribute(",Fill(B183,3),", ",QTFunc(C183),", ",QTFunc(D183),", ",QTFunc(E183),", ",F183,", ",G183,", ",H183,", ",I183,", ",QTFunc(K183),", ",QTFunc(L183),", ",QTFunc(M183),", ",QTFunc(O183),   ")")</f>
        <v xml:space="preserve">      .AddAttribute(  5, "SalaryBase", "SalaryBase", "integer", 0, 0, false, false, "", "", "", "id of the salary base which is used for this type of salary (foreign key from SalaryBase)")</v>
      </c>
    </row>
    <row r="184" spans="1:16" x14ac:dyDescent="0.45">
      <c r="A184" t="s">
        <v>699</v>
      </c>
      <c r="B184">
        <v>6</v>
      </c>
      <c r="C184" t="s">
        <v>131</v>
      </c>
      <c r="D184" t="s">
        <v>131</v>
      </c>
      <c r="E184" t="s">
        <v>27</v>
      </c>
      <c r="F184">
        <v>0</v>
      </c>
      <c r="G184">
        <v>0</v>
      </c>
      <c r="H184" t="s">
        <v>56</v>
      </c>
      <c r="I184" t="s">
        <v>56</v>
      </c>
      <c r="J184" t="s">
        <v>56</v>
      </c>
      <c r="K184" s="4"/>
      <c r="L184" s="4"/>
      <c r="M184" s="4"/>
      <c r="O184" s="4" t="s">
        <v>811</v>
      </c>
      <c r="P184" s="2" t="str" cm="1">
        <f t="array" ref="P184">CONCATENATE("      .AddAttribute(",Fill(B184,3),", ",QTFunc(C184),", ",QTFunc(D184),", ",QTFunc(E184),", ",F184,", ",G184,", ",H184,", ",I184,", ",QTFunc(K184),", ",QTFunc(L184),", ",QTFunc(M184),", ",QTFunc(O184),   ")")</f>
        <v xml:space="preserve">      .AddAttribute(  6, "UrgentValue", "UrgentValue", "bool", 0, 0, false, false, "", "", "", "boolean value that makes this entity of salary base to a system value (cannot be changed as it is used directly by the program)")</v>
      </c>
    </row>
    <row r="185" spans="1:16" x14ac:dyDescent="0.45">
      <c r="K185" s="4"/>
      <c r="L185" s="4"/>
      <c r="M185" s="4"/>
      <c r="O185" s="4"/>
      <c r="P185" s="2"/>
    </row>
    <row r="186" spans="1:16" x14ac:dyDescent="0.45">
      <c r="A186" t="s">
        <v>278</v>
      </c>
      <c r="B186">
        <v>0</v>
      </c>
      <c r="C186" t="s">
        <v>309</v>
      </c>
      <c r="D186" t="s">
        <v>354</v>
      </c>
      <c r="E186" t="s">
        <v>165</v>
      </c>
      <c r="H186" t="s">
        <v>819</v>
      </c>
      <c r="I186" t="s">
        <v>167</v>
      </c>
      <c r="K186" s="4"/>
      <c r="L186" s="4"/>
      <c r="M186" s="4"/>
      <c r="O186" s="4" t="s">
        <v>459</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278</v>
      </c>
      <c r="B187">
        <v>1</v>
      </c>
      <c r="C187" t="s">
        <v>132</v>
      </c>
      <c r="D187" t="s">
        <v>132</v>
      </c>
      <c r="E187" t="s">
        <v>20</v>
      </c>
      <c r="F187">
        <v>0</v>
      </c>
      <c r="G187">
        <v>0</v>
      </c>
      <c r="H187" t="s">
        <v>57</v>
      </c>
      <c r="I187" t="s">
        <v>57</v>
      </c>
      <c r="J187" t="s">
        <v>56</v>
      </c>
      <c r="K187" s="4"/>
      <c r="L187" s="4"/>
      <c r="M187" s="4"/>
      <c r="O187" s="4" t="s">
        <v>463</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278</v>
      </c>
      <c r="B188">
        <v>2</v>
      </c>
      <c r="C188" t="s">
        <v>127</v>
      </c>
      <c r="D188" t="s">
        <v>127</v>
      </c>
      <c r="E188" t="s">
        <v>19</v>
      </c>
      <c r="F188">
        <v>50</v>
      </c>
      <c r="G188">
        <v>0</v>
      </c>
      <c r="H188" t="s">
        <v>57</v>
      </c>
      <c r="I188" t="s">
        <v>56</v>
      </c>
      <c r="J188" t="s">
        <v>57</v>
      </c>
      <c r="K188" s="4"/>
      <c r="L188" s="4"/>
      <c r="M188" s="4"/>
      <c r="O188" s="4" t="s">
        <v>687</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278</v>
      </c>
      <c r="B189">
        <v>3</v>
      </c>
      <c r="C189" t="s">
        <v>128</v>
      </c>
      <c r="D189" t="s">
        <v>128</v>
      </c>
      <c r="E189" t="s">
        <v>19</v>
      </c>
      <c r="F189">
        <v>10</v>
      </c>
      <c r="G189">
        <v>0</v>
      </c>
      <c r="H189" t="s">
        <v>56</v>
      </c>
      <c r="I189" t="s">
        <v>56</v>
      </c>
      <c r="J189" t="s">
        <v>56</v>
      </c>
      <c r="K189" s="4"/>
      <c r="L189" s="4"/>
      <c r="M189" s="4"/>
      <c r="O189" s="4" t="s">
        <v>460</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278</v>
      </c>
      <c r="B190">
        <v>4</v>
      </c>
      <c r="C190" t="s">
        <v>129</v>
      </c>
      <c r="D190" t="s">
        <v>129</v>
      </c>
      <c r="E190" t="s">
        <v>76</v>
      </c>
      <c r="F190">
        <v>0</v>
      </c>
      <c r="G190">
        <v>0</v>
      </c>
      <c r="H190" t="s">
        <v>56</v>
      </c>
      <c r="I190" t="s">
        <v>56</v>
      </c>
      <c r="J190" t="s">
        <v>56</v>
      </c>
      <c r="K190" s="4"/>
      <c r="L190" s="4"/>
      <c r="M190" s="4"/>
      <c r="O190" s="4" t="s">
        <v>462</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278</v>
      </c>
      <c r="B191">
        <v>5</v>
      </c>
      <c r="C191" t="s">
        <v>175</v>
      </c>
      <c r="D191" t="s">
        <v>175</v>
      </c>
      <c r="E191" t="s">
        <v>27</v>
      </c>
      <c r="F191">
        <v>0</v>
      </c>
      <c r="G191">
        <v>0</v>
      </c>
      <c r="H191" t="s">
        <v>57</v>
      </c>
      <c r="I191" t="s">
        <v>56</v>
      </c>
      <c r="J191" t="s">
        <v>56</v>
      </c>
      <c r="K191" s="4"/>
      <c r="L191" s="4"/>
      <c r="M191" s="4"/>
      <c r="O191" s="4" t="s">
        <v>461</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278</v>
      </c>
      <c r="B192">
        <v>6</v>
      </c>
      <c r="C192" t="s">
        <v>131</v>
      </c>
      <c r="D192" t="s">
        <v>131</v>
      </c>
      <c r="E192" t="s">
        <v>27</v>
      </c>
      <c r="F192">
        <v>0</v>
      </c>
      <c r="G192">
        <v>0</v>
      </c>
      <c r="H192" t="s">
        <v>56</v>
      </c>
      <c r="I192" t="s">
        <v>56</v>
      </c>
      <c r="J192" t="s">
        <v>56</v>
      </c>
      <c r="K192" s="4"/>
      <c r="L192" s="4"/>
      <c r="M192" s="4"/>
      <c r="O192" s="4" t="s">
        <v>310</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553</v>
      </c>
      <c r="B194">
        <v>0</v>
      </c>
      <c r="C194" t="s">
        <v>770</v>
      </c>
      <c r="D194" t="s">
        <v>771</v>
      </c>
      <c r="E194" t="s">
        <v>165</v>
      </c>
      <c r="H194" t="s">
        <v>819</v>
      </c>
      <c r="I194" t="s">
        <v>167</v>
      </c>
      <c r="K194" s="4"/>
      <c r="L194" s="4"/>
      <c r="M194" s="4"/>
      <c r="O194" s="4" t="s">
        <v>787</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553</v>
      </c>
      <c r="B195">
        <v>1</v>
      </c>
      <c r="C195" t="s">
        <v>741</v>
      </c>
      <c r="D195" t="s">
        <v>741</v>
      </c>
      <c r="E195" t="s">
        <v>22</v>
      </c>
      <c r="F195">
        <v>0</v>
      </c>
      <c r="G195">
        <v>0</v>
      </c>
      <c r="H195" t="s">
        <v>57</v>
      </c>
      <c r="I195" t="s">
        <v>57</v>
      </c>
      <c r="J195" t="s">
        <v>56</v>
      </c>
      <c r="K195" s="4"/>
      <c r="L195" s="4"/>
      <c r="M195" s="4"/>
      <c r="O195" s="4" t="s">
        <v>766</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553</v>
      </c>
      <c r="B196">
        <v>2</v>
      </c>
      <c r="C196" t="s">
        <v>551</v>
      </c>
      <c r="D196" t="s">
        <v>551</v>
      </c>
      <c r="E196" t="s">
        <v>19</v>
      </c>
      <c r="F196">
        <v>50</v>
      </c>
      <c r="G196">
        <v>0</v>
      </c>
      <c r="H196" t="s">
        <v>57</v>
      </c>
      <c r="I196" t="s">
        <v>56</v>
      </c>
      <c r="J196" t="s">
        <v>56</v>
      </c>
      <c r="K196" s="4"/>
      <c r="L196" s="4"/>
      <c r="M196" s="4"/>
      <c r="O196" s="4" t="s">
        <v>767</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553</v>
      </c>
      <c r="B197">
        <v>3</v>
      </c>
      <c r="C197" t="s">
        <v>552</v>
      </c>
      <c r="D197" t="s">
        <v>552</v>
      </c>
      <c r="E197" t="s">
        <v>20</v>
      </c>
      <c r="F197">
        <v>0</v>
      </c>
      <c r="G197">
        <v>0</v>
      </c>
      <c r="H197" t="s">
        <v>57</v>
      </c>
      <c r="I197" t="s">
        <v>56</v>
      </c>
      <c r="J197" t="s">
        <v>56</v>
      </c>
      <c r="K197" s="4"/>
      <c r="L197" s="4"/>
      <c r="M197" s="4"/>
      <c r="O197" s="4" t="s">
        <v>768</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553</v>
      </c>
      <c r="B198">
        <v>4</v>
      </c>
      <c r="C198" t="s">
        <v>129</v>
      </c>
      <c r="D198" t="s">
        <v>129</v>
      </c>
      <c r="E198" t="s">
        <v>76</v>
      </c>
      <c r="F198">
        <v>0</v>
      </c>
      <c r="G198">
        <v>0</v>
      </c>
      <c r="H198" t="s">
        <v>56</v>
      </c>
      <c r="I198" t="s">
        <v>56</v>
      </c>
      <c r="J198" t="s">
        <v>56</v>
      </c>
      <c r="K198" s="4"/>
      <c r="L198" s="4"/>
      <c r="M198" s="4"/>
      <c r="O198" s="4" t="s">
        <v>769</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540</v>
      </c>
      <c r="B200">
        <v>0</v>
      </c>
      <c r="C200" t="s">
        <v>543</v>
      </c>
      <c r="D200" t="s">
        <v>544</v>
      </c>
      <c r="E200" t="s">
        <v>92</v>
      </c>
      <c r="H200" t="s">
        <v>819</v>
      </c>
      <c r="I200" t="s">
        <v>167</v>
      </c>
      <c r="K200" s="4"/>
      <c r="L200" s="4"/>
      <c r="M200" s="4"/>
      <c r="O200" s="4" t="s">
        <v>690</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540</v>
      </c>
      <c r="B201">
        <v>1</v>
      </c>
      <c r="C201" t="s">
        <v>132</v>
      </c>
      <c r="D201" t="s">
        <v>132</v>
      </c>
      <c r="E201" t="s">
        <v>20</v>
      </c>
      <c r="F201">
        <v>0</v>
      </c>
      <c r="G201">
        <v>0</v>
      </c>
      <c r="H201" t="s">
        <v>57</v>
      </c>
      <c r="I201" t="s">
        <v>57</v>
      </c>
      <c r="J201" t="s">
        <v>56</v>
      </c>
      <c r="K201" s="4" t="s">
        <v>679</v>
      </c>
      <c r="L201" s="4"/>
      <c r="M201" s="4"/>
      <c r="O201" s="4" t="s">
        <v>545</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540</v>
      </c>
      <c r="B202">
        <v>2</v>
      </c>
      <c r="C202" t="s">
        <v>127</v>
      </c>
      <c r="D202" t="s">
        <v>127</v>
      </c>
      <c r="E202" t="s">
        <v>19</v>
      </c>
      <c r="F202">
        <v>50</v>
      </c>
      <c r="G202">
        <v>0</v>
      </c>
      <c r="H202" t="s">
        <v>57</v>
      </c>
      <c r="I202" t="s">
        <v>56</v>
      </c>
      <c r="J202" t="s">
        <v>57</v>
      </c>
      <c r="K202" s="4"/>
      <c r="L202" s="4"/>
      <c r="M202" s="4"/>
      <c r="O202" s="4" t="s">
        <v>688</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540</v>
      </c>
      <c r="B203">
        <v>3</v>
      </c>
      <c r="C203" t="s">
        <v>128</v>
      </c>
      <c r="D203" t="s">
        <v>128</v>
      </c>
      <c r="E203" t="s">
        <v>19</v>
      </c>
      <c r="F203">
        <v>10</v>
      </c>
      <c r="G203">
        <v>0</v>
      </c>
      <c r="H203" t="s">
        <v>57</v>
      </c>
      <c r="I203" t="s">
        <v>56</v>
      </c>
      <c r="J203" t="s">
        <v>57</v>
      </c>
      <c r="K203" s="4"/>
      <c r="L203" s="4"/>
      <c r="M203" s="4"/>
      <c r="O203" s="4" t="s">
        <v>689</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540</v>
      </c>
      <c r="B204">
        <v>4</v>
      </c>
      <c r="C204" t="s">
        <v>486</v>
      </c>
      <c r="D204" t="s">
        <v>486</v>
      </c>
      <c r="E204" t="s">
        <v>257</v>
      </c>
      <c r="F204">
        <v>0</v>
      </c>
      <c r="G204">
        <v>0</v>
      </c>
      <c r="H204" t="s">
        <v>57</v>
      </c>
      <c r="I204" t="s">
        <v>56</v>
      </c>
      <c r="J204" t="s">
        <v>57</v>
      </c>
      <c r="K204" s="4" t="s">
        <v>678</v>
      </c>
      <c r="L204" s="4"/>
      <c r="M204" s="4"/>
      <c r="O204" s="4" t="s">
        <v>550</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640</v>
      </c>
      <c r="B206">
        <v>0</v>
      </c>
      <c r="C206" t="s">
        <v>641</v>
      </c>
      <c r="D206" t="s">
        <v>642</v>
      </c>
      <c r="E206" t="s">
        <v>165</v>
      </c>
      <c r="H206" t="s">
        <v>819</v>
      </c>
      <c r="I206" t="s">
        <v>167</v>
      </c>
      <c r="K206" s="4"/>
      <c r="L206" s="4"/>
      <c r="M206" s="4"/>
      <c r="O206" s="4" t="s">
        <v>677</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640</v>
      </c>
      <c r="B207">
        <v>1</v>
      </c>
      <c r="C207" t="s">
        <v>132</v>
      </c>
      <c r="D207" t="s">
        <v>132</v>
      </c>
      <c r="E207" t="s">
        <v>20</v>
      </c>
      <c r="F207">
        <v>0</v>
      </c>
      <c r="G207">
        <v>0</v>
      </c>
      <c r="H207" t="s">
        <v>57</v>
      </c>
      <c r="I207" t="s">
        <v>57</v>
      </c>
      <c r="J207" t="s">
        <v>56</v>
      </c>
      <c r="K207" s="4"/>
      <c r="L207" s="4"/>
      <c r="M207" s="4"/>
      <c r="O207" s="4" t="s">
        <v>643</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640</v>
      </c>
      <c r="B208">
        <v>2</v>
      </c>
      <c r="C208" t="s">
        <v>644</v>
      </c>
      <c r="D208" t="s">
        <v>644</v>
      </c>
      <c r="E208" t="s">
        <v>22</v>
      </c>
      <c r="F208">
        <v>0</v>
      </c>
      <c r="G208">
        <v>0</v>
      </c>
      <c r="H208" t="s">
        <v>57</v>
      </c>
      <c r="I208" t="s">
        <v>57</v>
      </c>
      <c r="J208" t="s">
        <v>56</v>
      </c>
      <c r="K208" s="4"/>
      <c r="L208" s="4"/>
      <c r="M208" s="4"/>
      <c r="O208" s="4" t="s">
        <v>780</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640</v>
      </c>
      <c r="B209">
        <v>3</v>
      </c>
      <c r="C209" t="s">
        <v>645</v>
      </c>
      <c r="D209" t="s">
        <v>645</v>
      </c>
      <c r="E209" t="s">
        <v>22</v>
      </c>
      <c r="F209">
        <v>0</v>
      </c>
      <c r="G209">
        <v>0</v>
      </c>
      <c r="H209" t="s">
        <v>56</v>
      </c>
      <c r="I209" t="s">
        <v>56</v>
      </c>
      <c r="J209" t="s">
        <v>56</v>
      </c>
      <c r="K209" s="4"/>
      <c r="L209" s="4"/>
      <c r="M209" s="4"/>
      <c r="O209" s="4" t="s">
        <v>781</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640</v>
      </c>
      <c r="B210">
        <v>4</v>
      </c>
      <c r="C210" t="s">
        <v>676</v>
      </c>
      <c r="D210" t="s">
        <v>676</v>
      </c>
      <c r="E210" t="s">
        <v>20</v>
      </c>
      <c r="F210">
        <v>0</v>
      </c>
      <c r="G210">
        <v>0</v>
      </c>
      <c r="H210" t="s">
        <v>57</v>
      </c>
      <c r="I210" t="s">
        <v>56</v>
      </c>
      <c r="J210" t="s">
        <v>56</v>
      </c>
      <c r="K210" s="4" t="s">
        <v>680</v>
      </c>
      <c r="L210" s="4"/>
      <c r="M210" s="4"/>
      <c r="O210" s="4" t="s">
        <v>782</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640</v>
      </c>
      <c r="B211">
        <v>5</v>
      </c>
      <c r="C211" t="s">
        <v>130</v>
      </c>
      <c r="D211" t="s">
        <v>130</v>
      </c>
      <c r="E211" t="s">
        <v>76</v>
      </c>
      <c r="F211">
        <v>0</v>
      </c>
      <c r="G211">
        <v>0</v>
      </c>
      <c r="H211" t="s">
        <v>56</v>
      </c>
      <c r="I211" t="s">
        <v>56</v>
      </c>
      <c r="J211" t="s">
        <v>56</v>
      </c>
      <c r="K211" s="4"/>
      <c r="L211" s="4"/>
      <c r="M211" s="4"/>
      <c r="O211" s="4" t="s">
        <v>783</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539</v>
      </c>
      <c r="B213">
        <v>0</v>
      </c>
      <c r="C213" t="s">
        <v>542</v>
      </c>
      <c r="D213" t="s">
        <v>801</v>
      </c>
      <c r="E213" t="s">
        <v>92</v>
      </c>
      <c r="H213" t="s">
        <v>819</v>
      </c>
      <c r="I213" t="s">
        <v>167</v>
      </c>
      <c r="K213" s="4"/>
      <c r="L213" s="4"/>
      <c r="M213" s="4"/>
      <c r="O213" s="4" t="s">
        <v>541</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539</v>
      </c>
      <c r="B214">
        <v>1</v>
      </c>
      <c r="C214" t="s">
        <v>132</v>
      </c>
      <c r="D214" t="s">
        <v>132</v>
      </c>
      <c r="E214" t="s">
        <v>20</v>
      </c>
      <c r="F214">
        <v>0</v>
      </c>
      <c r="G214">
        <v>0</v>
      </c>
      <c r="H214" t="s">
        <v>57</v>
      </c>
      <c r="I214" t="s">
        <v>57</v>
      </c>
      <c r="J214" t="s">
        <v>56</v>
      </c>
      <c r="K214" s="4" t="s">
        <v>680</v>
      </c>
      <c r="L214" s="4"/>
      <c r="M214" s="4"/>
      <c r="O214" s="4" t="s">
        <v>546</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539</v>
      </c>
      <c r="B215">
        <v>2</v>
      </c>
      <c r="C215" t="s">
        <v>127</v>
      </c>
      <c r="D215" t="s">
        <v>127</v>
      </c>
      <c r="E215" t="s">
        <v>19</v>
      </c>
      <c r="F215">
        <v>20</v>
      </c>
      <c r="G215">
        <v>0</v>
      </c>
      <c r="H215" t="s">
        <v>57</v>
      </c>
      <c r="I215" t="s">
        <v>56</v>
      </c>
      <c r="J215" t="s">
        <v>56</v>
      </c>
      <c r="K215" s="4"/>
      <c r="L215" s="4"/>
      <c r="M215" s="4"/>
      <c r="O215" s="4" t="s">
        <v>547</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539</v>
      </c>
      <c r="B216">
        <v>3</v>
      </c>
      <c r="C216" t="s">
        <v>128</v>
      </c>
      <c r="D216" t="s">
        <v>128</v>
      </c>
      <c r="E216" t="s">
        <v>19</v>
      </c>
      <c r="F216">
        <v>5</v>
      </c>
      <c r="G216">
        <v>0</v>
      </c>
      <c r="H216" t="s">
        <v>57</v>
      </c>
      <c r="I216" t="s">
        <v>56</v>
      </c>
      <c r="J216" t="s">
        <v>56</v>
      </c>
      <c r="K216" s="4"/>
      <c r="L216" s="4"/>
      <c r="M216" s="4"/>
      <c r="O216" s="4" t="s">
        <v>548</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539</v>
      </c>
      <c r="B217">
        <v>4</v>
      </c>
      <c r="C217" t="s">
        <v>483</v>
      </c>
      <c r="D217" t="s">
        <v>483</v>
      </c>
      <c r="E217" t="s">
        <v>27</v>
      </c>
      <c r="F217">
        <v>0</v>
      </c>
      <c r="G217">
        <v>0</v>
      </c>
      <c r="H217" t="s">
        <v>57</v>
      </c>
      <c r="I217" t="s">
        <v>56</v>
      </c>
      <c r="J217" t="s">
        <v>56</v>
      </c>
      <c r="K217" s="4"/>
      <c r="L217" s="4"/>
      <c r="M217" s="4"/>
      <c r="O217" s="4" t="s">
        <v>549</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737</v>
      </c>
      <c r="B219">
        <v>0</v>
      </c>
      <c r="C219" t="s">
        <v>738</v>
      </c>
      <c r="D219" t="s">
        <v>739</v>
      </c>
      <c r="E219" t="s">
        <v>165</v>
      </c>
      <c r="H219" t="s">
        <v>819</v>
      </c>
      <c r="I219" t="s">
        <v>167</v>
      </c>
      <c r="K219" s="4"/>
      <c r="L219" s="4"/>
      <c r="M219" s="4"/>
      <c r="O219" s="4" t="s">
        <v>740</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737</v>
      </c>
      <c r="B220">
        <v>1</v>
      </c>
      <c r="C220" t="s">
        <v>741</v>
      </c>
      <c r="D220" t="s">
        <v>741</v>
      </c>
      <c r="E220" t="s">
        <v>22</v>
      </c>
      <c r="F220">
        <v>0</v>
      </c>
      <c r="G220">
        <v>0</v>
      </c>
      <c r="H220" t="s">
        <v>57</v>
      </c>
      <c r="I220" t="s">
        <v>57</v>
      </c>
      <c r="J220" t="s">
        <v>56</v>
      </c>
      <c r="K220" s="4"/>
      <c r="L220" s="4"/>
      <c r="M220" s="4"/>
      <c r="O220" s="4" t="s">
        <v>749</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737</v>
      </c>
      <c r="B221">
        <v>2</v>
      </c>
      <c r="C221" t="s">
        <v>742</v>
      </c>
      <c r="D221" t="s">
        <v>742</v>
      </c>
      <c r="E221" t="s">
        <v>20</v>
      </c>
      <c r="F221">
        <v>0</v>
      </c>
      <c r="G221">
        <v>0</v>
      </c>
      <c r="H221" t="s">
        <v>57</v>
      </c>
      <c r="I221" t="s">
        <v>56</v>
      </c>
      <c r="J221" t="s">
        <v>56</v>
      </c>
      <c r="K221" s="4"/>
      <c r="L221" s="4"/>
      <c r="M221" s="4"/>
      <c r="O221" s="4" t="s">
        <v>750</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737</v>
      </c>
      <c r="B222">
        <v>3</v>
      </c>
      <c r="C222" t="s">
        <v>743</v>
      </c>
      <c r="D222" t="s">
        <v>743</v>
      </c>
      <c r="E222" t="s">
        <v>20</v>
      </c>
      <c r="F222">
        <v>0</v>
      </c>
      <c r="G222">
        <v>0</v>
      </c>
      <c r="H222" t="s">
        <v>57</v>
      </c>
      <c r="I222" t="s">
        <v>56</v>
      </c>
      <c r="J222" t="s">
        <v>56</v>
      </c>
      <c r="K222" s="4"/>
      <c r="L222" s="4"/>
      <c r="M222" s="4"/>
      <c r="O222" s="4" t="s">
        <v>751</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737</v>
      </c>
      <c r="B223">
        <v>4</v>
      </c>
      <c r="C223" t="s">
        <v>744</v>
      </c>
      <c r="D223" t="s">
        <v>744</v>
      </c>
      <c r="E223" t="s">
        <v>20</v>
      </c>
      <c r="F223">
        <v>0</v>
      </c>
      <c r="G223">
        <v>0</v>
      </c>
      <c r="H223" t="s">
        <v>57</v>
      </c>
      <c r="I223" t="s">
        <v>56</v>
      </c>
      <c r="J223" t="s">
        <v>56</v>
      </c>
      <c r="K223" s="4"/>
      <c r="L223" s="4"/>
      <c r="M223" s="4" t="s">
        <v>756</v>
      </c>
      <c r="O223" s="4" t="s">
        <v>752</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737</v>
      </c>
      <c r="B224">
        <v>5</v>
      </c>
      <c r="C224" t="s">
        <v>745</v>
      </c>
      <c r="D224" t="s">
        <v>745</v>
      </c>
      <c r="E224" t="s">
        <v>20</v>
      </c>
      <c r="F224">
        <v>0</v>
      </c>
      <c r="G224">
        <v>0</v>
      </c>
      <c r="H224" t="s">
        <v>57</v>
      </c>
      <c r="I224" t="s">
        <v>56</v>
      </c>
      <c r="J224" t="s">
        <v>56</v>
      </c>
      <c r="K224" s="4"/>
      <c r="L224" s="4"/>
      <c r="M224" s="4" t="s">
        <v>757</v>
      </c>
      <c r="O224" s="4" t="s">
        <v>755</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737</v>
      </c>
      <c r="B225">
        <v>6</v>
      </c>
      <c r="C225" t="s">
        <v>748</v>
      </c>
      <c r="D225" t="s">
        <v>748</v>
      </c>
      <c r="E225" t="s">
        <v>20</v>
      </c>
      <c r="F225">
        <v>0</v>
      </c>
      <c r="G225">
        <v>0</v>
      </c>
      <c r="H225" t="s">
        <v>57</v>
      </c>
      <c r="I225" t="s">
        <v>56</v>
      </c>
      <c r="J225" t="s">
        <v>56</v>
      </c>
      <c r="K225" s="4"/>
      <c r="L225" s="4"/>
      <c r="M225" s="4" t="s">
        <v>758</v>
      </c>
      <c r="O225" s="4" t="s">
        <v>752</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737</v>
      </c>
      <c r="B226">
        <v>7</v>
      </c>
      <c r="C226" t="s">
        <v>746</v>
      </c>
      <c r="D226" t="s">
        <v>746</v>
      </c>
      <c r="E226" t="s">
        <v>20</v>
      </c>
      <c r="F226">
        <v>0</v>
      </c>
      <c r="G226">
        <v>0</v>
      </c>
      <c r="H226" t="s">
        <v>57</v>
      </c>
      <c r="I226" t="s">
        <v>56</v>
      </c>
      <c r="J226" t="s">
        <v>56</v>
      </c>
      <c r="K226" s="4"/>
      <c r="L226" s="4"/>
      <c r="M226" s="4" t="s">
        <v>754</v>
      </c>
      <c r="O226" s="4" t="s">
        <v>752</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737</v>
      </c>
      <c r="B227">
        <v>8</v>
      </c>
      <c r="C227" t="s">
        <v>747</v>
      </c>
      <c r="D227" t="s">
        <v>747</v>
      </c>
      <c r="E227" t="s">
        <v>20</v>
      </c>
      <c r="F227">
        <v>0</v>
      </c>
      <c r="G227">
        <v>0</v>
      </c>
      <c r="H227" t="s">
        <v>57</v>
      </c>
      <c r="I227" t="s">
        <v>56</v>
      </c>
      <c r="J227" t="s">
        <v>56</v>
      </c>
      <c r="K227" s="4"/>
      <c r="L227" s="4"/>
      <c r="M227" s="4" t="s">
        <v>773</v>
      </c>
      <c r="O227" s="4" t="s">
        <v>753</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737</v>
      </c>
      <c r="B228">
        <v>9</v>
      </c>
      <c r="C228" t="s">
        <v>483</v>
      </c>
      <c r="D228" t="s">
        <v>483</v>
      </c>
      <c r="E228" t="s">
        <v>27</v>
      </c>
      <c r="F228">
        <v>0</v>
      </c>
      <c r="G228">
        <v>0</v>
      </c>
      <c r="H228" t="s">
        <v>57</v>
      </c>
      <c r="I228" t="s">
        <v>56</v>
      </c>
      <c r="J228" t="s">
        <v>56</v>
      </c>
      <c r="K228" s="4"/>
      <c r="L228" s="4"/>
      <c r="M228" s="4" t="s">
        <v>774</v>
      </c>
      <c r="O228" s="4" t="s">
        <v>772</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168</v>
      </c>
      <c r="B230">
        <v>0</v>
      </c>
      <c r="C230" t="s">
        <v>169</v>
      </c>
      <c r="D230" t="s">
        <v>821</v>
      </c>
      <c r="E230" t="s">
        <v>165</v>
      </c>
      <c r="H230" t="s">
        <v>819</v>
      </c>
      <c r="I230" t="s">
        <v>167</v>
      </c>
      <c r="K230" s="4"/>
      <c r="L230" s="4"/>
      <c r="M230" s="4"/>
      <c r="O230" s="4" t="s">
        <v>435</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"myHR", "System\\HR", "SQL", "entity set with working hours performed and booked by employees")</v>
      </c>
    </row>
    <row r="231" spans="1:16" x14ac:dyDescent="0.45">
      <c r="A231" t="s">
        <v>168</v>
      </c>
      <c r="B231">
        <v>1</v>
      </c>
      <c r="C231" t="s">
        <v>132</v>
      </c>
      <c r="D231" t="s">
        <v>132</v>
      </c>
      <c r="E231" t="s">
        <v>20</v>
      </c>
      <c r="F231">
        <v>0</v>
      </c>
      <c r="G231">
        <v>0</v>
      </c>
      <c r="H231" t="s">
        <v>57</v>
      </c>
      <c r="I231" t="s">
        <v>57</v>
      </c>
      <c r="J231" t="s">
        <v>56</v>
      </c>
      <c r="K231" s="4"/>
      <c r="L231" s="4"/>
      <c r="M231" s="4"/>
      <c r="O231" s="4" t="s">
        <v>436</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168</v>
      </c>
      <c r="B232">
        <v>2</v>
      </c>
      <c r="C232" t="s">
        <v>170</v>
      </c>
      <c r="D232" t="s">
        <v>170</v>
      </c>
      <c r="E232" t="s">
        <v>30</v>
      </c>
      <c r="F232">
        <v>0</v>
      </c>
      <c r="G232">
        <v>0</v>
      </c>
      <c r="H232" t="s">
        <v>57</v>
      </c>
      <c r="I232" t="s">
        <v>57</v>
      </c>
      <c r="J232" t="s">
        <v>56</v>
      </c>
      <c r="K232" s="4"/>
      <c r="L232" s="4"/>
      <c r="M232" s="4"/>
      <c r="O232" s="4" t="s">
        <v>437</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168</v>
      </c>
      <c r="B233">
        <v>3</v>
      </c>
      <c r="C233" t="s">
        <v>171</v>
      </c>
      <c r="D233" t="s">
        <v>171</v>
      </c>
      <c r="E233" t="s">
        <v>30</v>
      </c>
      <c r="F233">
        <v>0</v>
      </c>
      <c r="G233">
        <v>0</v>
      </c>
      <c r="H233" t="s">
        <v>56</v>
      </c>
      <c r="I233" t="s">
        <v>56</v>
      </c>
      <c r="J233" t="s">
        <v>56</v>
      </c>
      <c r="K233" s="4" t="s">
        <v>494</v>
      </c>
      <c r="L233" s="4" t="s">
        <v>491</v>
      </c>
      <c r="M233" s="4"/>
      <c r="O233" s="4" t="s">
        <v>490</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168</v>
      </c>
      <c r="B234">
        <v>4</v>
      </c>
      <c r="C234" t="s">
        <v>433</v>
      </c>
      <c r="D234" t="s">
        <v>172</v>
      </c>
      <c r="E234" t="s">
        <v>27</v>
      </c>
      <c r="F234">
        <v>0</v>
      </c>
      <c r="G234">
        <v>0</v>
      </c>
      <c r="H234" t="s">
        <v>57</v>
      </c>
      <c r="I234" t="s">
        <v>56</v>
      </c>
      <c r="J234" t="s">
        <v>56</v>
      </c>
      <c r="K234" s="4"/>
      <c r="L234" s="4"/>
      <c r="M234" s="4"/>
      <c r="O234" s="4" t="s">
        <v>489</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168</v>
      </c>
      <c r="B235">
        <v>5</v>
      </c>
      <c r="C235" t="s">
        <v>432</v>
      </c>
      <c r="D235" t="s">
        <v>432</v>
      </c>
      <c r="E235" t="s">
        <v>30</v>
      </c>
      <c r="F235">
        <v>0</v>
      </c>
      <c r="G235">
        <v>0</v>
      </c>
      <c r="H235" t="s">
        <v>56</v>
      </c>
      <c r="I235" t="s">
        <v>56</v>
      </c>
      <c r="J235" t="s">
        <v>56</v>
      </c>
      <c r="K235" s="4"/>
      <c r="L235" s="4"/>
      <c r="M235" s="4"/>
      <c r="O235" s="4" t="s">
        <v>434</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168</v>
      </c>
      <c r="B236">
        <v>6</v>
      </c>
      <c r="C236" t="s">
        <v>487</v>
      </c>
      <c r="D236" t="s">
        <v>487</v>
      </c>
      <c r="E236" t="s">
        <v>22</v>
      </c>
      <c r="F236">
        <v>0</v>
      </c>
      <c r="G236">
        <v>0</v>
      </c>
      <c r="H236" t="s">
        <v>56</v>
      </c>
      <c r="I236" t="s">
        <v>56</v>
      </c>
      <c r="J236" t="s">
        <v>56</v>
      </c>
      <c r="K236" s="4"/>
      <c r="L236" s="4"/>
      <c r="M236" s="4" t="s">
        <v>493</v>
      </c>
      <c r="O236" s="4" t="s">
        <v>488</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ht="14.65" thickBot="1" x14ac:dyDescent="0.5">
      <c r="K237" s="4"/>
      <c r="L237" s="4"/>
      <c r="M237" s="4"/>
      <c r="O237" s="4"/>
      <c r="P237" s="2"/>
    </row>
    <row r="238" spans="1:16" s="14" customFormat="1" ht="14.65" thickTop="1" x14ac:dyDescent="0.45">
      <c r="K238" s="15"/>
      <c r="L238" s="15"/>
      <c r="M238" s="15"/>
      <c r="O238" s="15"/>
      <c r="P238" s="16"/>
    </row>
    <row r="239" spans="1:16" x14ac:dyDescent="0.45">
      <c r="A239" t="s">
        <v>884</v>
      </c>
      <c r="B239">
        <v>0</v>
      </c>
      <c r="C239" t="s">
        <v>885</v>
      </c>
      <c r="D239" t="s">
        <v>886</v>
      </c>
      <c r="E239" t="s">
        <v>165</v>
      </c>
      <c r="H239" t="s">
        <v>822</v>
      </c>
      <c r="I239" t="s">
        <v>167</v>
      </c>
      <c r="K239" s="4"/>
      <c r="L239" s="4"/>
      <c r="M239" s="4"/>
      <c r="O239" s="4" t="s">
        <v>887</v>
      </c>
      <c r="P239" s="2" t="str">
        <f>CONCATENATE("   ",$P$1,".AddTable(","""",A239,""", ",CONCATENATE("EMyEntityType::",E239),", """,IF(ISERROR(FIND(".",C239)),"",RIGHT(C239, LEN(C239) - FIND(".",C239))),""", """,IF(ISERROR(FIND(".",C239)),"",LEFT(C239, FIND(".",C239)-1)),""", """,IF(ISERROR(FIND("::",D239)),"",RIGHT(D239, LEN(D239) - FIND("::",D239)-1)),""", """,IF(ISERROR(FIND("::",D239)),"",LEFT(D239, FIND("::",D239)-1)),""", """,H239,""", """,I239,""", """,O239,""")")</f>
        <v xml:space="preserve">   dictionary.AddTable("Contacts", EMyEntityType::table, "Contacts", "dbo", "Contacts", "mySales", "System\\Sales", "SQL", "information to the data of a contact person at the customer  (inherited from Person)")</v>
      </c>
    </row>
    <row r="240" spans="1:16" x14ac:dyDescent="0.45">
      <c r="A240" t="s">
        <v>884</v>
      </c>
      <c r="B240">
        <v>1</v>
      </c>
      <c r="C240" t="s">
        <v>888</v>
      </c>
      <c r="D240" t="s">
        <v>888</v>
      </c>
      <c r="E240" t="s">
        <v>20</v>
      </c>
      <c r="F240">
        <v>0</v>
      </c>
      <c r="G240">
        <v>0</v>
      </c>
      <c r="H240" t="s">
        <v>57</v>
      </c>
      <c r="I240" t="s">
        <v>57</v>
      </c>
      <c r="J240" t="s">
        <v>56</v>
      </c>
      <c r="K240" s="4"/>
      <c r="L240" s="4"/>
      <c r="M240" s="4"/>
      <c r="O240" s="4" t="s">
        <v>889</v>
      </c>
      <c r="P240" s="2" t="str" cm="1">
        <f t="array" ref="P240">CONCATENATE("      .AddAttribute(",Fill(B240,3),", ",QTFunc(C240),", ",QTFunc(D240),", ",QTFunc(E240),", ",F240,", ",G240,", ",H240,", ",I240,", ",QTFunc(K240),", ",QTFunc(L240),", ",QTFunc(M240),", ",QTFunc(O240),   ")")</f>
        <v xml:space="preserve">      .AddAttribute(  1, "ContactID", "ContactID", "integer", 0, 0, true, true, "", "", "", "internal id for this contact, attribute as foreign key from an attribute ID of a person entity ")</v>
      </c>
    </row>
    <row r="241" spans="1:16" x14ac:dyDescent="0.45">
      <c r="A241" t="s">
        <v>884</v>
      </c>
      <c r="B241">
        <v>2</v>
      </c>
      <c r="C241" t="s">
        <v>855</v>
      </c>
      <c r="D241" t="s">
        <v>855</v>
      </c>
      <c r="E241" t="s">
        <v>20</v>
      </c>
      <c r="F241">
        <v>0</v>
      </c>
      <c r="G241">
        <v>0</v>
      </c>
      <c r="H241" t="s">
        <v>57</v>
      </c>
      <c r="I241" t="s">
        <v>56</v>
      </c>
      <c r="J241" t="s">
        <v>56</v>
      </c>
      <c r="K241" s="4"/>
      <c r="L241" s="4"/>
      <c r="M241" s="4"/>
      <c r="O241" s="4" t="s">
        <v>893</v>
      </c>
      <c r="P241" s="2" t="str" cm="1">
        <f t="array" ref="P241">CONCATENATE("      .AddAttribute(",Fill(B241,3),", ",QTFunc(C241),", ",QTFunc(D241),", ",QTFunc(E241),", ",F241,", ",G241,", ",H241,", ",I241,", ",QTFunc(K241),", ",QTFunc(L241),", ",QTFunc(M241),", ",QTFunc(O241),   ")")</f>
        <v xml:space="preserve">      .AddAttribute(  2, "CustID", "CustID", "integer", 0, 0, true, false, "", "", "", "Customer identification number of the contact associated customer.")</v>
      </c>
    </row>
    <row r="242" spans="1:16" x14ac:dyDescent="0.45">
      <c r="A242" t="s">
        <v>884</v>
      </c>
      <c r="B242">
        <v>3</v>
      </c>
      <c r="C242" t="s">
        <v>857</v>
      </c>
      <c r="D242" t="s">
        <v>857</v>
      </c>
      <c r="E242" t="s">
        <v>20</v>
      </c>
      <c r="F242">
        <v>0</v>
      </c>
      <c r="G242">
        <v>0</v>
      </c>
      <c r="H242" t="s">
        <v>57</v>
      </c>
      <c r="I242" t="s">
        <v>56</v>
      </c>
      <c r="J242" t="s">
        <v>56</v>
      </c>
      <c r="K242" s="4"/>
      <c r="L242" s="4"/>
      <c r="M242" s="4"/>
      <c r="O242" s="4" t="s">
        <v>891</v>
      </c>
      <c r="P242" s="2" t="str" cm="1">
        <f t="array" ref="P242">CONCATENATE("      .AddAttribute(",Fill(B242,3),", ",QTFunc(C242),", ",QTFunc(D242),", ",QTFunc(E242),", ",F242,", ",G242,", ",H242,", ",I242,", ",QTFunc(K242),", ",QTFunc(L242),", ",QTFunc(M242),", ",QTFunc(O242),   ")")</f>
        <v xml:space="preserve">      .AddAttribute(  3, "CustLiaison", "CustLiaison", "integer", 0, 0, true, false, "", "", "", "liaision for this contact person as range value (from table CustLiasion)")</v>
      </c>
    </row>
    <row r="243" spans="1:16" x14ac:dyDescent="0.45">
      <c r="K243" s="4"/>
      <c r="L243" s="4"/>
      <c r="M243" s="4"/>
      <c r="O243" s="4"/>
      <c r="P243" s="2"/>
    </row>
    <row r="244" spans="1:16" x14ac:dyDescent="0.45">
      <c r="A244" t="s">
        <v>901</v>
      </c>
      <c r="B244">
        <v>0</v>
      </c>
      <c r="C244" t="s">
        <v>923</v>
      </c>
      <c r="D244" t="s">
        <v>924</v>
      </c>
      <c r="E244" t="s">
        <v>92</v>
      </c>
      <c r="H244" t="s">
        <v>820</v>
      </c>
      <c r="I244" t="s">
        <v>167</v>
      </c>
      <c r="K244" s="4"/>
      <c r="L244" s="4"/>
      <c r="M244" s="4"/>
      <c r="O244" s="4" t="s">
        <v>927</v>
      </c>
      <c r="P244" s="2" t="str">
        <f>CONCATENATE("   ",$P$1,".AddTable(","""",A244,""", ",CONCATENATE("EMyEntityType::",E244),", """,IF(ISERROR(FIND(".",C244)),"",RIGHT(C244, LEN(C244) - FIND(".",C244))),""", """,IF(ISERROR(FIND(".",C244)),"",LEFT(C244, FIND(".",C244)-1)),""", """,IF(ISERROR(FIND("::",D244)),"",RIGHT(D244, LEN(D244) - FIND("::",D244)-1)),""", """,IF(ISERROR(FIND("::",D244)),"",LEFT(D244, FIND("::",D244)-1)),""", """,H244,""", """,I244,""", """,O244,""")")</f>
        <v xml:space="preserve">   dictionary.AddTable("CorporateForm", EMyEntityType::range, "CorporateForm", "dbo", "CorporateForm", "myCorporate", "System\\Corporate", "SQL", "This table stores information about various types of legal forms. Each row corresponds to a specific legal form with several informations.")</v>
      </c>
    </row>
    <row r="245" spans="1:16" x14ac:dyDescent="0.45">
      <c r="A245" t="s">
        <v>901</v>
      </c>
      <c r="B245">
        <v>1</v>
      </c>
      <c r="C245" t="s">
        <v>132</v>
      </c>
      <c r="D245" t="s">
        <v>132</v>
      </c>
      <c r="E245" t="s">
        <v>20</v>
      </c>
      <c r="F245">
        <v>0</v>
      </c>
      <c r="G245">
        <v>0</v>
      </c>
      <c r="H245" t="s">
        <v>57</v>
      </c>
      <c r="I245" t="s">
        <v>57</v>
      </c>
      <c r="J245" t="s">
        <v>56</v>
      </c>
      <c r="K245" s="4"/>
      <c r="L245" s="4"/>
      <c r="M245" s="4"/>
      <c r="O245" s="4" t="s">
        <v>928</v>
      </c>
      <c r="P245" s="2" t="str" cm="1">
        <f t="array" ref="P245">CONCATENATE("      .AddAttribute(",Fill(B245,3),", ",QTFunc(C245),", ",QTFunc(D245),", ",QTFunc(E245),", ",F245,", ",G245,", ",H245,", ",I245,", ",QTFunc(K245),", ",QTFunc(L245),", ",QTFunc(M245),", ",QTFunc(O245),   ")")</f>
        <v xml:space="preserve">      .AddAttribute(  1, "ID", "ID", "integer", 0, 0, true, true, "", "", "", "unique identification number / id for this enity of Legal Forms. Used as primary key and for relationships")</v>
      </c>
    </row>
    <row r="246" spans="1:16" x14ac:dyDescent="0.45">
      <c r="A246" t="s">
        <v>901</v>
      </c>
      <c r="B246">
        <v>2</v>
      </c>
      <c r="C246" t="s">
        <v>127</v>
      </c>
      <c r="D246" t="s">
        <v>127</v>
      </c>
      <c r="E246" t="s">
        <v>19</v>
      </c>
      <c r="F246">
        <v>50</v>
      </c>
      <c r="G246">
        <v>0</v>
      </c>
      <c r="H246" t="s">
        <v>57</v>
      </c>
      <c r="I246" t="s">
        <v>56</v>
      </c>
      <c r="J246" t="s">
        <v>56</v>
      </c>
      <c r="K246" s="4"/>
      <c r="L246" s="4"/>
      <c r="M246" s="4"/>
      <c r="O246" s="4" t="s">
        <v>929</v>
      </c>
      <c r="P246" s="2" t="str" cm="1">
        <f t="array" ref="P246">CONCATENATE("      .AddAttribute(",Fill(B246,3),", ",QTFunc(C246),", ",QTFunc(D246),", ",QTFunc(E246),", ",F246,", ",G246,", ",H246,", ",I246,", ",QTFunc(K246),", ",QTFunc(L246),", ",QTFunc(M246),", ",QTFunc(O246),   ")")</f>
        <v xml:space="preserve">      .AddAttribute(  2, "Denotation", "Denotation", "varchar", 50, 0, true, false, "", "", "", "unique denotation for this entity. denotes the name or designation of the legal form")</v>
      </c>
    </row>
    <row r="247" spans="1:16" x14ac:dyDescent="0.45">
      <c r="A247" t="s">
        <v>901</v>
      </c>
      <c r="B247">
        <v>3</v>
      </c>
      <c r="C247" t="s">
        <v>128</v>
      </c>
      <c r="D247" t="s">
        <v>128</v>
      </c>
      <c r="E247" t="s">
        <v>19</v>
      </c>
      <c r="F247">
        <v>15</v>
      </c>
      <c r="G247">
        <v>0</v>
      </c>
      <c r="H247" t="s">
        <v>57</v>
      </c>
      <c r="I247" t="s">
        <v>56</v>
      </c>
      <c r="J247" t="s">
        <v>56</v>
      </c>
      <c r="K247" s="4"/>
      <c r="L247" s="4"/>
      <c r="M247" s="4"/>
      <c r="O247" s="4" t="s">
        <v>930</v>
      </c>
      <c r="P247" s="2" t="str" cm="1">
        <f t="array" ref="P247">CONCATENATE("      .AddAttribute(",Fill(B247,3),", ",QTFunc(C247),", ",QTFunc(D247),", ",QTFunc(E247),", ",F247,", ",G247,", ",H247,", ",I247,", ",QTFunc(K247),", ",QTFunc(L247),", ",QTFunc(M247),", ",QTFunc(O247),   ")")</f>
        <v xml:space="preserve">      .AddAttribute(  3, "Abbreviation", "Abbreviation", "varchar", 15, 0, true, false, "", "", "", "Abbreviated form of the legal form,  used in the application or reports for a compact display")</v>
      </c>
    </row>
    <row r="248" spans="1:16" x14ac:dyDescent="0.45">
      <c r="A248" t="s">
        <v>901</v>
      </c>
      <c r="B248">
        <v>4</v>
      </c>
      <c r="C248" t="s">
        <v>129</v>
      </c>
      <c r="D248" t="s">
        <v>129</v>
      </c>
      <c r="E248" t="s">
        <v>76</v>
      </c>
      <c r="F248">
        <v>0</v>
      </c>
      <c r="G248">
        <v>0</v>
      </c>
      <c r="H248" t="s">
        <v>56</v>
      </c>
      <c r="I248" t="s">
        <v>56</v>
      </c>
      <c r="J248" t="s">
        <v>56</v>
      </c>
      <c r="K248" s="4"/>
      <c r="L248" s="4"/>
      <c r="M248" s="4"/>
      <c r="O248" s="4" t="s">
        <v>931</v>
      </c>
      <c r="P248" s="2" t="str" cm="1">
        <f t="array" ref="P248">CONCATENATE("      .AddAttribute(",Fill(B248,3),", ",QTFunc(C248),", ",QTFunc(D248),", ",QTFunc(E248),", ",F248,", ",G248,", ",H248,", ",I248,", ",QTFunc(K248),", ",QTFunc(L248),", ",QTFunc(M248),", ",QTFunc(O248),   ")")</f>
        <v xml:space="preserve">      .AddAttribute(  4, "Description", "Description", "text", 0, 0, false, false, "", "", "", "provides a detailed description of the legal form. long text of this entity, used in the application for detailed informations")</v>
      </c>
    </row>
    <row r="249" spans="1:16" x14ac:dyDescent="0.45">
      <c r="A249" t="s">
        <v>901</v>
      </c>
      <c r="B249">
        <v>5</v>
      </c>
      <c r="C249" t="s">
        <v>922</v>
      </c>
      <c r="D249" t="s">
        <v>922</v>
      </c>
      <c r="E249" t="s">
        <v>27</v>
      </c>
      <c r="F249">
        <v>0</v>
      </c>
      <c r="G249">
        <v>0</v>
      </c>
      <c r="H249" t="s">
        <v>57</v>
      </c>
      <c r="I249" t="s">
        <v>56</v>
      </c>
      <c r="J249" t="s">
        <v>56</v>
      </c>
      <c r="K249" s="4"/>
      <c r="L249" s="4"/>
      <c r="M249" s="4"/>
      <c r="O249" s="4" t="s">
        <v>933</v>
      </c>
      <c r="P249" s="2" t="str" cm="1">
        <f t="array" ref="P249">CONCATENATE("      .AddAttribute(",Fill(B249,3),", ",QTFunc(C249),", ",QTFunc(D249),", ",QTFunc(E249),", ",F249,", ",G249,", ",H249,", ",I249,", ",QTFunc(K249),", ",QTFunc(L249),", ",QTFunc(M249),", ",QTFunc(O249),   ")")</f>
        <v xml:space="preserve">      .AddAttribute(  5, "IsLegalEntrity", "IsLegalEntrity", "bool", 0, 0, true, false, "", "", "", "indicates whether the legal form constitutes a legal entity (true/false)")</v>
      </c>
    </row>
    <row r="250" spans="1:16" x14ac:dyDescent="0.45">
      <c r="A250" t="s">
        <v>901</v>
      </c>
      <c r="B250">
        <v>6</v>
      </c>
      <c r="C250" t="s">
        <v>131</v>
      </c>
      <c r="D250" t="s">
        <v>131</v>
      </c>
      <c r="E250" t="s">
        <v>20</v>
      </c>
      <c r="F250">
        <v>0</v>
      </c>
      <c r="G250">
        <v>0</v>
      </c>
      <c r="H250" t="s">
        <v>56</v>
      </c>
      <c r="I250" t="s">
        <v>56</v>
      </c>
      <c r="J250" t="s">
        <v>56</v>
      </c>
      <c r="K250" s="4"/>
      <c r="L250" s="4"/>
      <c r="M250" s="4"/>
      <c r="O250" s="4" t="s">
        <v>932</v>
      </c>
      <c r="P250" s="2" t="str" cm="1">
        <f t="array" ref="P250">CONCATENATE("      .AddAttribute(",Fill(B250,3),", ",QTFunc(C250),", ",QTFunc(D250),", ",QTFunc(E250),", ",F250,", ",G250,", ",H250,", ",I250,", ",QTFunc(K250),", ",QTFunc(L250),", ",QTFunc(M250),", ",QTFunc(O250),   ")")</f>
        <v xml:space="preserve">      .AddAttribute(  6, "UrgentValue", "UrgentValue", "integer", 0, 0, false, false, "", "", "", "indicates whether the legal form has urgent significance (true/false)")</v>
      </c>
    </row>
    <row r="251" spans="1:16" x14ac:dyDescent="0.45">
      <c r="K251" s="4"/>
      <c r="L251" s="4"/>
      <c r="M251" s="4"/>
      <c r="O251" s="4"/>
      <c r="P251" s="2"/>
    </row>
    <row r="252" spans="1:16" x14ac:dyDescent="0.45">
      <c r="A252" t="s">
        <v>826</v>
      </c>
      <c r="B252">
        <v>0</v>
      </c>
      <c r="C252" t="s">
        <v>836</v>
      </c>
      <c r="D252" t="s">
        <v>837</v>
      </c>
      <c r="E252" t="s">
        <v>92</v>
      </c>
      <c r="H252" t="s">
        <v>822</v>
      </c>
      <c r="I252" t="s">
        <v>167</v>
      </c>
      <c r="K252" s="4"/>
      <c r="L252" s="4"/>
      <c r="M252" s="4"/>
      <c r="O252" s="4" t="s">
        <v>829</v>
      </c>
      <c r="P252" s="2" t="str">
        <f>CONCATENATE("   ",$P$1,".AddTable(","""",A252,""", ",CONCATENATE("EMyEntityType::",E252),", """,IF(ISERROR(FIND(".",C252)),"",RIGHT(C252, LEN(C252) - FIND(".",C252))),""", """,IF(ISERROR(FIND(".",C252)),"",LEFT(C252, FIND(".",C252)-1)),""", """,IF(ISERROR(FIND("::",D252)),"",RIGHT(D252, LEN(D252) - FIND("::",D252)-1)),""", """,IF(ISERROR(FIND("::",D252)),"",LEFT(D252, FIND("::",D252)-1)),""", """,H252,""", """,I252,""", """,O252,""")")</f>
        <v xml:space="preserve">   dictionary.AddTable("CustClassification", EMyEntityType::range, "CustClassification", "dbo", "CustClassification", "mySales", "System\\Sales", "SQL", "domain / range with the classifications for customers")</v>
      </c>
    </row>
    <row r="253" spans="1:16" x14ac:dyDescent="0.45">
      <c r="A253" t="s">
        <v>826</v>
      </c>
      <c r="B253">
        <v>1</v>
      </c>
      <c r="C253" t="s">
        <v>132</v>
      </c>
      <c r="D253" t="s">
        <v>132</v>
      </c>
      <c r="E253" t="s">
        <v>20</v>
      </c>
      <c r="F253">
        <v>0</v>
      </c>
      <c r="G253">
        <v>0</v>
      </c>
      <c r="H253" t="s">
        <v>57</v>
      </c>
      <c r="I253" t="s">
        <v>57</v>
      </c>
      <c r="J253" t="s">
        <v>56</v>
      </c>
      <c r="K253" s="4"/>
      <c r="L253" s="4"/>
      <c r="M253" s="4"/>
      <c r="O253" s="4" t="s">
        <v>830</v>
      </c>
      <c r="P253" s="2" t="str" cm="1">
        <f t="array" ref="P253">CONCATENATE("      .AddAttribute(",Fill(B253,3),", ",QTFunc(C253),", ",QTFunc(D253),", ",QTFunc(E253),", ",F253,", ",G253,", ",H253,", ",I253,", ",QTFunc(K253),", ",QTFunc(L253),", ",QTFunc(M253),", ",QTFunc(O253),   ")")</f>
        <v xml:space="preserve">      .AddAttribute(  1, "ID", "ID", "integer", 0, 0, true, true, "", "", "", "unique identification number / id of this classification of a customer")</v>
      </c>
    </row>
    <row r="254" spans="1:16" x14ac:dyDescent="0.45">
      <c r="A254" t="s">
        <v>826</v>
      </c>
      <c r="B254">
        <v>2</v>
      </c>
      <c r="C254" t="s">
        <v>127</v>
      </c>
      <c r="D254" t="s">
        <v>127</v>
      </c>
      <c r="E254" t="s">
        <v>19</v>
      </c>
      <c r="F254">
        <v>50</v>
      </c>
      <c r="G254">
        <v>0</v>
      </c>
      <c r="H254" t="s">
        <v>57</v>
      </c>
      <c r="I254" t="s">
        <v>56</v>
      </c>
      <c r="J254" t="s">
        <v>57</v>
      </c>
      <c r="K254" s="4"/>
      <c r="L254" s="4"/>
      <c r="M254" s="4"/>
      <c r="O254" s="4" t="s">
        <v>831</v>
      </c>
      <c r="P254" s="2" t="str" cm="1">
        <f t="array" ref="P254">CONCATENATE("      .AddAttribute(",Fill(B254,3),", ",QTFunc(C254),", ",QTFunc(D254),", ",QTFunc(E254),", ",F254,", ",G254,", ",H254,", ",I254,", ",QTFunc(K254),", ",QTFunc(L254),", ",QTFunc(M254),", ",QTFunc(O254),   ")")</f>
        <v xml:space="preserve">      .AddAttribute(  2, "Denotation", "Denotation", "varchar", 50, 0, true, false, "", "", "", "unique denotation of this classification of a customer")</v>
      </c>
    </row>
    <row r="255" spans="1:16" x14ac:dyDescent="0.45">
      <c r="A255" t="s">
        <v>826</v>
      </c>
      <c r="B255">
        <v>3</v>
      </c>
      <c r="C255" t="s">
        <v>128</v>
      </c>
      <c r="D255" t="s">
        <v>128</v>
      </c>
      <c r="E255" t="s">
        <v>19</v>
      </c>
      <c r="F255">
        <v>10</v>
      </c>
      <c r="G255">
        <v>0</v>
      </c>
      <c r="H255" t="s">
        <v>56</v>
      </c>
      <c r="I255" t="s">
        <v>56</v>
      </c>
      <c r="J255" t="s">
        <v>56</v>
      </c>
      <c r="K255" s="4"/>
      <c r="L255" s="4"/>
      <c r="M255" s="4"/>
      <c r="O255" s="4" t="s">
        <v>832</v>
      </c>
      <c r="P255" s="2" t="str" cm="1">
        <f t="array" ref="P255">CONCATENATE("      .AddAttribute(",Fill(B255,3),", ",QTFunc(C255),", ",QTFunc(D255),", ",QTFunc(E255),", ",F255,", ",G255,", ",H255,", ",I255,", ",QTFunc(K255),", ",QTFunc(L255),", ",QTFunc(M255),", ",QTFunc(O255),   ")")</f>
        <v xml:space="preserve">      .AddAttribute(  3, "Abbreviation", "Abbreviation", "varchar", 10, 0, false, false, "", "", "", "abbreviation of this classification of a customer, used in the application for a compact display")</v>
      </c>
    </row>
    <row r="256" spans="1:16" x14ac:dyDescent="0.45">
      <c r="A256" t="s">
        <v>826</v>
      </c>
      <c r="B256">
        <v>4</v>
      </c>
      <c r="C256" t="s">
        <v>129</v>
      </c>
      <c r="D256" t="s">
        <v>129</v>
      </c>
      <c r="E256" t="s">
        <v>76</v>
      </c>
      <c r="F256">
        <v>0</v>
      </c>
      <c r="G256">
        <v>0</v>
      </c>
      <c r="H256" t="s">
        <v>56</v>
      </c>
      <c r="I256" t="s">
        <v>56</v>
      </c>
      <c r="J256" t="s">
        <v>56</v>
      </c>
      <c r="K256" s="4"/>
      <c r="L256" s="4"/>
      <c r="M256" s="4"/>
      <c r="O256" s="4" t="s">
        <v>833</v>
      </c>
      <c r="P256" s="2" t="str" cm="1">
        <f t="array" ref="P256">CONCATENATE("      .AddAttribute(",Fill(B256,3),", ",QTFunc(C256),", ",QTFunc(D256),", ",QTFunc(E256),", ",F256,", ",G256,", ",H256,", ",I256,", ",QTFunc(K256),", ",QTFunc(L256),", ",QTFunc(M256),", ",QTFunc(O256),   ")")</f>
        <v xml:space="preserve">      .AddAttribute(  4, "Description", "Description", "text", 0, 0, false, false, "", "", "", "description as long text of this classification of a customer, used in the application for detailed informations")</v>
      </c>
    </row>
    <row r="257" spans="1:16" x14ac:dyDescent="0.45">
      <c r="A257" t="s">
        <v>826</v>
      </c>
      <c r="B257">
        <v>5</v>
      </c>
      <c r="C257" t="s">
        <v>130</v>
      </c>
      <c r="D257" t="s">
        <v>130</v>
      </c>
      <c r="E257" t="s">
        <v>76</v>
      </c>
      <c r="F257">
        <v>0</v>
      </c>
      <c r="G257">
        <v>0</v>
      </c>
      <c r="H257" t="s">
        <v>56</v>
      </c>
      <c r="I257" t="s">
        <v>56</v>
      </c>
      <c r="J257" t="s">
        <v>56</v>
      </c>
      <c r="K257" s="4"/>
      <c r="L257" s="4"/>
      <c r="M257" s="4"/>
      <c r="O257" s="4" t="s">
        <v>834</v>
      </c>
      <c r="P257" s="2" t="str" cm="1">
        <f t="array" ref="P257">CONCATENATE("      .AddAttribute(",Fill(B257,3),", ",QTFunc(C257),", ",QTFunc(D257),", ",QTFunc(E257),", ",F257,", ",G257,", ",H257,", ",I257,", ",QTFunc(K257),", ",QTFunc(L257),", ",QTFunc(M257),", ",QTFunc(O257),   ")")</f>
        <v xml:space="preserve">      .AddAttribute(  5, "Notes", "Notes", "text", 0, 0, false, false, "", "", "", "notes, with additional / free information of this classification of a customer, not used in the application")</v>
      </c>
    </row>
    <row r="258" spans="1:16" x14ac:dyDescent="0.45">
      <c r="A258" t="s">
        <v>826</v>
      </c>
      <c r="B258">
        <v>6</v>
      </c>
      <c r="C258" t="s">
        <v>131</v>
      </c>
      <c r="D258" t="s">
        <v>131</v>
      </c>
      <c r="E258" t="s">
        <v>27</v>
      </c>
      <c r="F258">
        <v>0</v>
      </c>
      <c r="G258">
        <v>0</v>
      </c>
      <c r="H258" t="s">
        <v>56</v>
      </c>
      <c r="I258" t="s">
        <v>56</v>
      </c>
      <c r="J258" t="s">
        <v>56</v>
      </c>
      <c r="K258" s="4"/>
      <c r="L258" s="4"/>
      <c r="M258" s="4"/>
      <c r="O258" s="4" t="s">
        <v>835</v>
      </c>
      <c r="P258" s="2" t="str" cm="1">
        <f t="array" ref="P258">CONCATENATE("      .AddAttribute(",Fill(B258,3),", ",QTFunc(C258),", ",QTFunc(D258),", ",QTFunc(E258),", ",F258,", ",G258,", ",H258,", ",I258,", ",QTFunc(K258),", ",QTFunc(L258),", ",QTFunc(M258),", ",QTFunc(O258),   ")")</f>
        <v xml:space="preserve">      .AddAttribute(  6, "UrgentValue", "UrgentValue", "bool", 0, 0, false, false, "", "", "", "boolean value that makes this entity of this classification of a customer to a system value (cannot be changed as it is used directly by the program)")</v>
      </c>
    </row>
    <row r="259" spans="1:16" x14ac:dyDescent="0.45">
      <c r="K259" s="4"/>
      <c r="L259" s="4"/>
      <c r="M259" s="4"/>
      <c r="O259" s="4"/>
      <c r="P259" s="2"/>
    </row>
    <row r="260" spans="1:16" x14ac:dyDescent="0.45">
      <c r="A260" t="s">
        <v>857</v>
      </c>
      <c r="B260">
        <v>0</v>
      </c>
      <c r="C260" t="s">
        <v>858</v>
      </c>
      <c r="D260" t="s">
        <v>859</v>
      </c>
      <c r="E260" t="s">
        <v>92</v>
      </c>
      <c r="H260" t="s">
        <v>822</v>
      </c>
      <c r="I260" t="s">
        <v>167</v>
      </c>
      <c r="K260" s="4"/>
      <c r="L260" s="4"/>
      <c r="M260" s="4"/>
      <c r="O260" s="4" t="s">
        <v>860</v>
      </c>
      <c r="P260" s="2" t="str">
        <f>CONCATENATE("   ",$P$1,".AddTable(","""",A260,""", ",CONCATENATE("EMyEntityType::",E260),", """,IF(ISERROR(FIND(".",C260)),"",RIGHT(C260, LEN(C260) - FIND(".",C260))),""", """,IF(ISERROR(FIND(".",C260)),"",LEFT(C260, FIND(".",C260)-1)),""", """,IF(ISERROR(FIND("::",D260)),"",RIGHT(D260, LEN(D260) - FIND("::",D260)-1)),""", """,IF(ISERROR(FIND("::",D260)),"",LEFT(D260, FIND("::",D260)-1)),""", """,H260,""", """,I260,""", """,O260,""")")</f>
        <v xml:space="preserve">   dictionary.AddTable("CustLiaison", EMyEntityType::range, "CustLiaison", "dbo", "CustLiaison", "mySales", "System\\Sales", "SQL", "doman range with the liaisons to use a contact at a customer")</v>
      </c>
    </row>
    <row r="261" spans="1:16" x14ac:dyDescent="0.45">
      <c r="A261" t="s">
        <v>857</v>
      </c>
      <c r="B261">
        <v>1</v>
      </c>
      <c r="C261" t="s">
        <v>132</v>
      </c>
      <c r="D261" t="s">
        <v>132</v>
      </c>
      <c r="E261" t="s">
        <v>20</v>
      </c>
      <c r="F261">
        <v>0</v>
      </c>
      <c r="G261">
        <v>0</v>
      </c>
      <c r="H261" t="s">
        <v>57</v>
      </c>
      <c r="I261" t="s">
        <v>57</v>
      </c>
      <c r="J261" t="s">
        <v>56</v>
      </c>
      <c r="K261" s="4"/>
      <c r="L261" s="4"/>
      <c r="M261" s="4"/>
      <c r="O261" s="4" t="s">
        <v>861</v>
      </c>
      <c r="P261" s="2" t="str" cm="1">
        <f t="array" ref="P261">CONCATENATE("      .AddAttribute(",Fill(B261,3),", ",QTFunc(C261),", ",QTFunc(D261),", ",QTFunc(E261),", ",F261,", ",G261,", ",H261,", ",I261,", ",QTFunc(K261),", ",QTFunc(L261),", ",QTFunc(M261),", ",QTFunc(O261),   ")")</f>
        <v xml:space="preserve">      .AddAttribute(  1, "ID", "ID", "integer", 0, 0, true, true, "", "", "", "unique identification number / id of this liaison to use a contact in a customer")</v>
      </c>
    </row>
    <row r="262" spans="1:16" x14ac:dyDescent="0.45">
      <c r="A262" t="s">
        <v>857</v>
      </c>
      <c r="B262">
        <v>2</v>
      </c>
      <c r="C262" t="s">
        <v>127</v>
      </c>
      <c r="D262" t="s">
        <v>127</v>
      </c>
      <c r="E262" t="s">
        <v>19</v>
      </c>
      <c r="F262">
        <v>50</v>
      </c>
      <c r="G262">
        <v>0</v>
      </c>
      <c r="H262" t="s">
        <v>57</v>
      </c>
      <c r="I262" t="s">
        <v>56</v>
      </c>
      <c r="J262" t="s">
        <v>57</v>
      </c>
      <c r="K262" s="4"/>
      <c r="L262" s="4"/>
      <c r="M262" s="4"/>
      <c r="O262" s="4" t="s">
        <v>862</v>
      </c>
      <c r="P262" s="2" t="str" cm="1">
        <f t="array" ref="P262">CONCATENATE("      .AddAttribute(",Fill(B262,3),", ",QTFunc(C262),", ",QTFunc(D262),", ",QTFunc(E262),", ",F262,", ",G262,", ",H262,", ",I262,", ",QTFunc(K262),", ",QTFunc(L262),", ",QTFunc(M262),", ",QTFunc(O262),   ")")</f>
        <v xml:space="preserve">      .AddAttribute(  2, "Denotation", "Denotation", "varchar", 50, 0, true, false, "", "", "", "unique denotation of this liaison to use a contact in a customer")</v>
      </c>
    </row>
    <row r="263" spans="1:16" x14ac:dyDescent="0.45">
      <c r="A263" t="s">
        <v>857</v>
      </c>
      <c r="B263">
        <v>3</v>
      </c>
      <c r="C263" t="s">
        <v>128</v>
      </c>
      <c r="D263" t="s">
        <v>128</v>
      </c>
      <c r="E263" t="s">
        <v>19</v>
      </c>
      <c r="F263">
        <v>10</v>
      </c>
      <c r="G263">
        <v>0</v>
      </c>
      <c r="H263" t="s">
        <v>56</v>
      </c>
      <c r="I263" t="s">
        <v>56</v>
      </c>
      <c r="J263" t="s">
        <v>56</v>
      </c>
      <c r="K263" s="4"/>
      <c r="L263" s="4"/>
      <c r="M263" s="4"/>
      <c r="O263" s="4" t="s">
        <v>863</v>
      </c>
      <c r="P263" s="2" t="str" cm="1">
        <f t="array" ref="P263">CONCATENATE("      .AddAttribute(",Fill(B263,3),", ",QTFunc(C263),", ",QTFunc(D263),", ",QTFunc(E263),", ",F263,", ",G263,", ",H263,", ",I263,", ",QTFunc(K263),", ",QTFunc(L263),", ",QTFunc(M263),", ",QTFunc(O263),   ")")</f>
        <v xml:space="preserve">      .AddAttribute(  3, "Abbreviation", "Abbreviation", "varchar", 10, 0, false, false, "", "", "", "abbreviation of this liaison to use a contact in a customer, used in the application for a compact display")</v>
      </c>
    </row>
    <row r="264" spans="1:16" x14ac:dyDescent="0.45">
      <c r="A264" t="s">
        <v>857</v>
      </c>
      <c r="B264">
        <v>4</v>
      </c>
      <c r="C264" t="s">
        <v>129</v>
      </c>
      <c r="D264" t="s">
        <v>129</v>
      </c>
      <c r="E264" t="s">
        <v>76</v>
      </c>
      <c r="F264">
        <v>0</v>
      </c>
      <c r="G264">
        <v>0</v>
      </c>
      <c r="H264" t="s">
        <v>56</v>
      </c>
      <c r="I264" t="s">
        <v>56</v>
      </c>
      <c r="J264" t="s">
        <v>56</v>
      </c>
      <c r="K264" s="4"/>
      <c r="L264" s="4"/>
      <c r="M264" s="4"/>
      <c r="O264" s="4" t="s">
        <v>864</v>
      </c>
      <c r="P264" s="2" t="str" cm="1">
        <f t="array" ref="P264">CONCATENATE("      .AddAttribute(",Fill(B264,3),", ",QTFunc(C264),", ",QTFunc(D264),", ",QTFunc(E264),", ",F264,", ",G264,", ",H264,", ",I264,", ",QTFunc(K264),", ",QTFunc(L264),", ",QTFunc(M264),", ",QTFunc(O264),   ")")</f>
        <v xml:space="preserve">      .AddAttribute(  4, "Description", "Description", "text", 0, 0, false, false, "", "", "", "description as long text of this liaison to use a contact in a customer, used in the application for detailed informations")</v>
      </c>
    </row>
    <row r="265" spans="1:16" x14ac:dyDescent="0.45">
      <c r="A265" t="s">
        <v>857</v>
      </c>
      <c r="B265">
        <v>5</v>
      </c>
      <c r="C265" t="s">
        <v>130</v>
      </c>
      <c r="D265" t="s">
        <v>130</v>
      </c>
      <c r="E265" t="s">
        <v>76</v>
      </c>
      <c r="F265">
        <v>0</v>
      </c>
      <c r="G265">
        <v>0</v>
      </c>
      <c r="H265" t="s">
        <v>56</v>
      </c>
      <c r="I265" t="s">
        <v>56</v>
      </c>
      <c r="J265" t="s">
        <v>56</v>
      </c>
      <c r="K265" s="4"/>
      <c r="L265" s="4"/>
      <c r="M265" s="4"/>
      <c r="O265" s="4" t="s">
        <v>865</v>
      </c>
      <c r="P265" s="2" t="str" cm="1">
        <f t="array" ref="P265">CONCATENATE("      .AddAttribute(",Fill(B265,3),", ",QTFunc(C265),", ",QTFunc(D265),", ",QTFunc(E265),", ",F265,", ",G265,", ",H265,", ",I265,", ",QTFunc(K265),", ",QTFunc(L265),", ",QTFunc(M265),", ",QTFunc(O265),   ")")</f>
        <v xml:space="preserve">      .AddAttribute(  5, "Notes", "Notes", "text", 0, 0, false, false, "", "", "", "notes, with additional / free information of this  liaison to use a contact in a customer, not used in the application")</v>
      </c>
    </row>
    <row r="266" spans="1:16" x14ac:dyDescent="0.45">
      <c r="A266" t="s">
        <v>857</v>
      </c>
      <c r="B266">
        <v>6</v>
      </c>
      <c r="C266" t="s">
        <v>131</v>
      </c>
      <c r="D266" t="s">
        <v>131</v>
      </c>
      <c r="E266" t="s">
        <v>27</v>
      </c>
      <c r="F266">
        <v>0</v>
      </c>
      <c r="G266">
        <v>0</v>
      </c>
      <c r="H266" t="s">
        <v>56</v>
      </c>
      <c r="I266" t="s">
        <v>56</v>
      </c>
      <c r="J266" t="s">
        <v>56</v>
      </c>
      <c r="K266" s="4"/>
      <c r="L266" s="4"/>
      <c r="M266" s="4"/>
      <c r="O266" s="4" t="s">
        <v>866</v>
      </c>
      <c r="P266" s="2" t="str" cm="1">
        <f t="array" ref="P266">CONCATENATE("      .AddAttribute(",Fill(B266,3),", ",QTFunc(C266),", ",QTFunc(D266),", ",QTFunc(E266),", ",F266,", ",G266,", ",H266,", ",I266,", ",QTFunc(K266),", ",QTFunc(L266),", ",QTFunc(M266),", ",QTFunc(O266),   ")")</f>
        <v xml:space="preserve">      .AddAttribute(  6, "UrgentValue", "UrgentValue", "bool", 0, 0, false, false, "", "", "", "boolean value that makes this entity of this liaison to use a contact in a customer to a system value (cannot be changed as it is used directly by the program)")</v>
      </c>
    </row>
    <row r="267" spans="1:16" x14ac:dyDescent="0.45">
      <c r="K267" s="4"/>
      <c r="L267" s="4"/>
      <c r="M267" s="4"/>
    </row>
    <row r="268" spans="1:16" x14ac:dyDescent="0.45">
      <c r="A268" t="s">
        <v>825</v>
      </c>
      <c r="B268">
        <v>0</v>
      </c>
      <c r="C268" t="s">
        <v>853</v>
      </c>
      <c r="D268" t="s">
        <v>854</v>
      </c>
      <c r="E268" t="s">
        <v>165</v>
      </c>
      <c r="H268" t="s">
        <v>822</v>
      </c>
      <c r="I268" t="s">
        <v>167</v>
      </c>
      <c r="O268" s="4" t="s">
        <v>856</v>
      </c>
      <c r="P268" s="2" t="str">
        <f>CONCATENATE("   ",$P$1,".AddTable(","""",A268,""", ",CONCATENATE("EMyEntityType::",E268),", """,IF(ISERROR(FIND(".",C268)),"",RIGHT(C268, LEN(C268) - FIND(".",C268))),""", """,IF(ISERROR(FIND(".",C268)),"",LEFT(C268, FIND(".",C268)-1)),""", """,IF(ISERROR(FIND("::",D268)),"",RIGHT(D268, LEN(D268) - FIND("::",D268)-1)),""", """,IF(ISERROR(FIND("::",D268)),"",LEFT(D268, FIND("::",D268)-1)),""", """,H268,""", """,I268,""", """,O268,""")")</f>
        <v xml:space="preserve">   dictionary.AddTable("Customers", EMyEntityType::table, "Customers", "dbo", "Customers", "mySales", "System\\Sales", "SQL", "information to the data of a client / customer  (inherited from Person)")</v>
      </c>
    </row>
    <row r="269" spans="1:16" x14ac:dyDescent="0.45">
      <c r="A269" t="s">
        <v>825</v>
      </c>
      <c r="B269">
        <v>1</v>
      </c>
      <c r="C269" t="s">
        <v>855</v>
      </c>
      <c r="D269" t="s">
        <v>855</v>
      </c>
      <c r="E269" t="s">
        <v>20</v>
      </c>
      <c r="F269">
        <v>0</v>
      </c>
      <c r="G269">
        <v>0</v>
      </c>
      <c r="H269" t="s">
        <v>57</v>
      </c>
      <c r="I269" t="s">
        <v>57</v>
      </c>
      <c r="J269" t="s">
        <v>56</v>
      </c>
      <c r="O269" s="4" t="s">
        <v>890</v>
      </c>
      <c r="P269" s="2" t="str" cm="1">
        <f t="array" ref="P269">CONCATENATE("      .AddAttribute(",Fill(B269,3),", ",QTFunc(C269),", ",QTFunc(D269),", ",QTFunc(E269),", ",F269,", ",G269,", ",H269,", ",I269,", ",QTFunc(K269),", ",QTFunc(L269),", ",QTFunc(M269),", ",QTFunc(O269),   ")")</f>
        <v xml:space="preserve">      .AddAttribute(  1, "CustID", "CustID", "integer", 0, 0, true, true, "", "", "", "internal id for this client, attribute as foreign key from an attribute ID of a person entity ")</v>
      </c>
    </row>
    <row r="270" spans="1:16" x14ac:dyDescent="0.45">
      <c r="A270" t="s">
        <v>825</v>
      </c>
      <c r="B270">
        <v>2</v>
      </c>
      <c r="C270" t="s">
        <v>823</v>
      </c>
      <c r="D270" t="s">
        <v>823</v>
      </c>
      <c r="E270" t="s">
        <v>20</v>
      </c>
      <c r="F270">
        <v>0</v>
      </c>
      <c r="G270">
        <v>0</v>
      </c>
      <c r="H270" t="s">
        <v>57</v>
      </c>
      <c r="I270" t="s">
        <v>56</v>
      </c>
      <c r="J270" t="s">
        <v>56</v>
      </c>
      <c r="O270" s="4" t="s">
        <v>824</v>
      </c>
      <c r="P270" s="2" t="str" cm="1">
        <f t="array" ref="P270">CONCATENATE("      .AddAttribute(",Fill(B270,3),", ",QTFunc(C270),", ",QTFunc(D270),", ",QTFunc(E270),", ",F270,", ",G270,", ",H270,", ",I270,", ",QTFunc(K270),", ",QTFunc(L270),", ",QTFunc(M270),", ",QTFunc(O270),   ")")</f>
        <v xml:space="preserve">      .AddAttribute(  2, "ServiceAgent", "ServiceAgent", "integer", 0, 0, true, false, "", "", "", "employee is  responsible for this client (association with the employys entity)")</v>
      </c>
    </row>
    <row r="271" spans="1:16" x14ac:dyDescent="0.45">
      <c r="A271" t="s">
        <v>825</v>
      </c>
      <c r="B271">
        <v>3</v>
      </c>
      <c r="C271" t="s">
        <v>826</v>
      </c>
      <c r="D271" t="s">
        <v>826</v>
      </c>
      <c r="E271" t="s">
        <v>20</v>
      </c>
      <c r="F271">
        <v>0</v>
      </c>
      <c r="G271">
        <v>0</v>
      </c>
      <c r="H271" t="s">
        <v>57</v>
      </c>
      <c r="I271" t="s">
        <v>56</v>
      </c>
      <c r="J271" t="s">
        <v>56</v>
      </c>
      <c r="O271" s="4" t="s">
        <v>892</v>
      </c>
      <c r="P271" s="2" t="str" cm="1">
        <f t="array" ref="P271">CONCATENATE("      .AddAttribute(",Fill(B271,3),", ",QTFunc(C271),", ",QTFunc(D271),", ",QTFunc(E271),", ",F271,", ",G271,", ",H271,", ",I271,", ",QTFunc(K271),", ",QTFunc(L271),", ",QTFunc(M271),", ",QTFunc(O271),   ")")</f>
        <v xml:space="preserve">      .AddAttribute(  3, "CustClassification", "CustClassification", "integer", 0, 0, true, false, "", "", "", "classification of this customer as range value (from table CustClassification)")</v>
      </c>
    </row>
    <row r="272" spans="1:16" x14ac:dyDescent="0.45">
      <c r="A272" t="s">
        <v>825</v>
      </c>
      <c r="B272">
        <v>4</v>
      </c>
      <c r="C272" t="s">
        <v>925</v>
      </c>
      <c r="D272" t="s">
        <v>925</v>
      </c>
      <c r="E272" t="s">
        <v>20</v>
      </c>
      <c r="F272">
        <v>0</v>
      </c>
      <c r="G272">
        <v>0</v>
      </c>
      <c r="H272" t="s">
        <v>57</v>
      </c>
      <c r="I272" t="s">
        <v>56</v>
      </c>
      <c r="J272" t="s">
        <v>56</v>
      </c>
      <c r="O272" s="4" t="s">
        <v>926</v>
      </c>
      <c r="P272" s="2" t="str" cm="1">
        <f t="array" ref="P272">CONCATENATE("      .AddAttribute(",Fill(B272,3),", ",QTFunc(C272),", ",QTFunc(D272),", ",QTFunc(E272),", ",F272,", ",G272,", ",H272,", ",I272,", ",QTFunc(K272),", ",QTFunc(L272),", ",QTFunc(M272),", ",QTFunc(O272),   ")")</f>
        <v xml:space="preserve">      .AddAttribute(  4, "LegalForm", "LegalForm", "integer", 0, 0, true, false, "", "", "", "legal form of this customer")</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71"/>
  <sheetViews>
    <sheetView workbookViewId="0">
      <selection activeCell="B8" sqref="B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80</v>
      </c>
      <c r="B1" t="s">
        <v>81</v>
      </c>
    </row>
    <row r="2" spans="1:18" x14ac:dyDescent="0.45">
      <c r="A2" t="s">
        <v>23</v>
      </c>
      <c r="B2" t="s">
        <v>95</v>
      </c>
      <c r="C2" t="s">
        <v>89</v>
      </c>
      <c r="D2" t="s">
        <v>96</v>
      </c>
      <c r="E2">
        <v>1</v>
      </c>
      <c r="F2" t="s">
        <v>57</v>
      </c>
      <c r="G2">
        <v>2</v>
      </c>
      <c r="H2" t="s">
        <v>56</v>
      </c>
      <c r="I2">
        <v>3</v>
      </c>
      <c r="J2" t="s">
        <v>56</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98</v>
      </c>
      <c r="B8" t="s">
        <v>1025</v>
      </c>
      <c r="C8" t="s">
        <v>89</v>
      </c>
      <c r="D8" t="s">
        <v>196</v>
      </c>
      <c r="E8">
        <v>4</v>
      </c>
      <c r="F8" t="s">
        <v>57</v>
      </c>
      <c r="G8">
        <v>5</v>
      </c>
      <c r="H8" t="s">
        <v>57</v>
      </c>
      <c r="R8" t="str" cm="1">
        <f t="array" ref="R8">CONCATENATE("   .AddIndex(""",B8,""", ",CONCATENATE("EMyIndexType::",C8),", """,D8,""", ",ListePaare(E8:P8)," )")</f>
        <v xml:space="preserve">   .AddIndex("Address_City_Street", EMyIndexType::undefined, "access path to search for city / street combinations in addresses", { { 4, true }, { 5, true } } )</v>
      </c>
    </row>
    <row r="10" spans="1:18" x14ac:dyDescent="0.45">
      <c r="A10" t="s">
        <v>99</v>
      </c>
      <c r="B10" t="s">
        <v>1024</v>
      </c>
      <c r="C10" t="s">
        <v>180</v>
      </c>
      <c r="D10" t="s">
        <v>195</v>
      </c>
      <c r="E10">
        <v>2</v>
      </c>
      <c r="F10" t="s">
        <v>57</v>
      </c>
      <c r="R10" t="str" cm="1">
        <f t="array" ref="R10">CONCATENATE("   .AddIndex(""",B10,""", ",CONCATENATE("EMyIndexType::",C10),", """,D10,""", ",ListePaare(E10:P10)," )")</f>
        <v xml:space="preserve">   .AddIndex("AddressType_Denotation", EMyIndexType::key, "unique / representative denotation for an addresstye as key canditate", { { 2, true } } )</v>
      </c>
    </row>
    <row r="12" spans="1:18" x14ac:dyDescent="0.45">
      <c r="A12" t="s">
        <v>100</v>
      </c>
      <c r="B12" t="s">
        <v>1023</v>
      </c>
      <c r="C12" t="s">
        <v>89</v>
      </c>
      <c r="D12" t="s">
        <v>213</v>
      </c>
      <c r="E12">
        <v>4</v>
      </c>
      <c r="F12" t="s">
        <v>57</v>
      </c>
      <c r="R12" t="str" cm="1">
        <f t="array" ref="R12">CONCATENATE("   .AddIndex(""",B12,""", ",CONCATENATE("EMyIndexType::",C12),", """,D12,""", ",ListePaare(E12:P12)," )")</f>
        <v xml:space="preserve">   .AddIndex("Banking_IBAN", EMyIndexType::undefined, "access path to search a specific IBAN account number in data", { { 4, true } } )</v>
      </c>
    </row>
    <row r="13" spans="1:18" x14ac:dyDescent="0.45">
      <c r="A13" t="s">
        <v>100</v>
      </c>
      <c r="B13" t="s">
        <v>1022</v>
      </c>
      <c r="C13" t="s">
        <v>89</v>
      </c>
      <c r="D13" t="s">
        <v>344</v>
      </c>
      <c r="E13">
        <v>5</v>
      </c>
      <c r="F13" t="s">
        <v>57</v>
      </c>
      <c r="R13" t="str" cm="1">
        <f t="array" ref="R13">CONCATENATE("   .AddIndex(""",B13,""", ",CONCATENATE("EMyIndexType::",C13),", """,D13,""", ",ListePaare(E13:P13)," )")</f>
        <v xml:space="preserve">   .AddIndex("Banking_BIC", EMyIndexType::undefined, "access path to search a specific BIC in data", { { 5, true } } )</v>
      </c>
    </row>
    <row r="15" spans="1:18" x14ac:dyDescent="0.45">
      <c r="A15" t="s">
        <v>101</v>
      </c>
      <c r="B15" t="s">
        <v>1021</v>
      </c>
      <c r="C15" t="s">
        <v>180</v>
      </c>
      <c r="D15" t="s">
        <v>218</v>
      </c>
      <c r="E15">
        <v>2</v>
      </c>
      <c r="F15" t="s">
        <v>57</v>
      </c>
      <c r="R15" t="str" cm="1">
        <f t="array" ref="R15">CONCATENATE("   .AddIndex(""",B15,""", ",CONCATENATE("EMyIndexType::",C15),", """,D15,""", ",ListePaare(E15:P15)," )")</f>
        <v xml:space="preserve">   .AddIndex("BankingTypes_Denotation", EMyIndexType::key, "unique / representative denotation for an banking type as key canditate for this entity", { { 2, true } } )</v>
      </c>
    </row>
    <row r="17" spans="1:18" x14ac:dyDescent="0.45">
      <c r="A17" t="s">
        <v>102</v>
      </c>
      <c r="B17" t="s">
        <v>1020</v>
      </c>
      <c r="C17" t="s">
        <v>180</v>
      </c>
      <c r="D17" t="s">
        <v>342</v>
      </c>
      <c r="E17">
        <v>2</v>
      </c>
      <c r="F17" t="s">
        <v>57</v>
      </c>
      <c r="R17" t="str" cm="1">
        <f t="array" ref="R17">CONCATENATE("   .AddIndex(""",B17,""", ",CONCATENATE("EMyIndexType::",C17),", """,D17,""", ",ListePaare(E17:P17)," )")</f>
        <v xml:space="preserve">   .AddIndex("Countries_Denotation", EMyIndexType::key, "unique / representative official name of the country as key canditate for this entity", { { 2, true } } )</v>
      </c>
    </row>
    <row r="18" spans="1:18" x14ac:dyDescent="0.45">
      <c r="A18" t="s">
        <v>102</v>
      </c>
      <c r="B18" t="s">
        <v>1019</v>
      </c>
      <c r="C18" t="s">
        <v>180</v>
      </c>
      <c r="D18" t="s">
        <v>343</v>
      </c>
      <c r="E18">
        <v>6</v>
      </c>
      <c r="F18" t="s">
        <v>57</v>
      </c>
      <c r="R18" t="str" cm="1">
        <f t="array" ref="R18">CONCATENATE("   .AddIndex(""",B18,""", ",CONCATENATE("EMyIndexType::",C18),", """,D18,""", ",ListePaare(E18:P18)," )")</f>
        <v xml:space="preserve">   .AddIndex("Countries_ISOCode", EMyIndexType::key, "unique / representative official iso code of the country as key canditate for this entity", { { 6, true } } )</v>
      </c>
    </row>
    <row r="20" spans="1:18" x14ac:dyDescent="0.45">
      <c r="A20" t="s">
        <v>103</v>
      </c>
      <c r="B20" t="s">
        <v>1018</v>
      </c>
      <c r="C20" t="s">
        <v>180</v>
      </c>
      <c r="D20" t="s">
        <v>341</v>
      </c>
      <c r="E20">
        <v>2</v>
      </c>
      <c r="F20" t="s">
        <v>57</v>
      </c>
      <c r="R20" t="str" cm="1">
        <f t="array" ref="R20">CONCATENATE("   .AddIndex(""",B20,""", ",CONCATENATE("EMyIndexType::",C20),", """,D20,""", ",ListePaare(E20:P20)," )")</f>
        <v xml:space="preserve">   .AddIndex("Departments_Denotation", EMyIndexType::key, "unique / representative denotation forthe department as key canditate for this entity", { { 2, true } } )</v>
      </c>
    </row>
    <row r="21" spans="1:18" x14ac:dyDescent="0.45">
      <c r="A21" t="s">
        <v>103</v>
      </c>
      <c r="B21" t="s">
        <v>1017</v>
      </c>
      <c r="C21" t="s">
        <v>89</v>
      </c>
      <c r="D21" t="s">
        <v>378</v>
      </c>
      <c r="E21">
        <v>3</v>
      </c>
      <c r="F21" t="s">
        <v>57</v>
      </c>
      <c r="R21" t="str" cm="1">
        <f t="array" ref="R21">CONCATENATE("   .AddIndex(""",B21,""", ",CONCATENATE("EMyIndexType::",C21),", """,D21,""", ",ListePaare(E21:P21)," )")</f>
        <v xml:space="preserve">   .AddIndex("Departments_Abbr", EMyIndexType::undefined, "search pass for abbreviations of departments", { { 3, true } } )</v>
      </c>
    </row>
    <row r="23" spans="1:18" x14ac:dyDescent="0.45">
      <c r="A23" t="s">
        <v>104</v>
      </c>
      <c r="B23" t="s">
        <v>1016</v>
      </c>
      <c r="C23" t="s">
        <v>180</v>
      </c>
      <c r="D23" t="s">
        <v>245</v>
      </c>
      <c r="E23">
        <v>3</v>
      </c>
      <c r="F23" t="s">
        <v>57</v>
      </c>
      <c r="R23" t="str" cm="1">
        <f t="array" ref="R23">CONCATENATE("   .AddIndex(""",B23,""", ",CONCATENATE("EMyIndexType::",C23),", """,D23,""", ",ListePaare(E23:P23)," )")</f>
        <v xml:space="preserve">   .AddIndex("Employees_PersonNumber", EMyIndexType::key, "unique personal number of a employee in company (key canditate)", { { 3, true } } )</v>
      </c>
    </row>
    <row r="24" spans="1:18" x14ac:dyDescent="0.45">
      <c r="A24" t="s">
        <v>104</v>
      </c>
      <c r="B24" t="s">
        <v>1015</v>
      </c>
      <c r="C24" t="s">
        <v>180</v>
      </c>
      <c r="D24" t="s">
        <v>246</v>
      </c>
      <c r="E24">
        <v>9</v>
      </c>
      <c r="F24" t="s">
        <v>57</v>
      </c>
      <c r="R24" t="str" cm="1">
        <f t="array" ref="R24">CONCATENATE("   .AddIndex(""",B24,""", ",CONCATENATE("EMyIndexType::",C24),", """,D24,""", ",ListePaare(E24:P24)," )")</f>
        <v xml:space="preserve">   .AddIndex("Employees_SocialNumber", EMyIndexType::key, "extern unique number of an employee (key canditate)", { { 9, true } } )</v>
      </c>
    </row>
    <row r="25" spans="1:18" x14ac:dyDescent="0.45">
      <c r="A25" t="s">
        <v>104</v>
      </c>
      <c r="B25" t="s">
        <v>1014</v>
      </c>
      <c r="C25" t="s">
        <v>89</v>
      </c>
      <c r="D25" t="s">
        <v>244</v>
      </c>
      <c r="E25">
        <v>7</v>
      </c>
      <c r="F25" t="s">
        <v>57</v>
      </c>
      <c r="R25" t="str" cm="1">
        <f t="array" ref="R25">CONCATENATE("   .AddIndex(""",B25,""", ",CONCATENATE("EMyIndexType::",C25),", """,D25,""", ",ListePaare(E25:P25)," )")</f>
        <v xml:space="preserve">   .AddIndex("Employees_JobSpec", EMyIndexType::undefined, "access path to search for informations about job specifications", { { 7, true } } )</v>
      </c>
    </row>
    <row r="26" spans="1:18" x14ac:dyDescent="0.45">
      <c r="A26" t="s">
        <v>104</v>
      </c>
      <c r="B26" t="s">
        <v>1013</v>
      </c>
      <c r="C26" t="s">
        <v>89</v>
      </c>
      <c r="D26" t="s">
        <v>255</v>
      </c>
      <c r="E26">
        <v>10</v>
      </c>
      <c r="F26" t="s">
        <v>57</v>
      </c>
      <c r="R26" t="str" cm="1">
        <f t="array" ref="R26">CONCATENATE("   .AddIndex(""",B26,""", ",CONCATENATE("EMyIndexType::",C26),", """,D26,""", ",ListePaare(E26:P26)," )")</f>
        <v xml:space="preserve">   .AddIndex("Employees_Active", EMyIndexType::undefined, "access path to search / filter all active employees", { { 10, true } } )</v>
      </c>
    </row>
    <row r="28" spans="1:18" x14ac:dyDescent="0.45">
      <c r="A28" t="s">
        <v>173</v>
      </c>
      <c r="B28" t="s">
        <v>1012</v>
      </c>
      <c r="C28" t="s">
        <v>180</v>
      </c>
      <c r="D28" t="s">
        <v>635</v>
      </c>
      <c r="E28">
        <v>2</v>
      </c>
      <c r="F28" t="s">
        <v>57</v>
      </c>
      <c r="R28" t="str" cm="1">
        <f t="array" ref="R28">CONCATENATE("   .AddIndex(""",B28,""", ",CONCATENATE("EMyIndexType::",C28),", """,D28,""", ",ListePaare(E28:P28)," )")</f>
        <v xml:space="preserve">   .AddIndex("FamilyStatus_Denotation", EMyIndexType::key, "unique / representative denotation for a family status as key canditate for this entity", { { 2, true } } )</v>
      </c>
    </row>
    <row r="30" spans="1:18" x14ac:dyDescent="0.45">
      <c r="A30" t="s">
        <v>105</v>
      </c>
      <c r="B30" t="s">
        <v>1011</v>
      </c>
      <c r="C30" t="s">
        <v>180</v>
      </c>
      <c r="D30" t="s">
        <v>340</v>
      </c>
      <c r="E30">
        <v>2</v>
      </c>
      <c r="F30" t="s">
        <v>57</v>
      </c>
      <c r="R30" t="str" cm="1">
        <f t="array" ref="R30">CONCATENATE("   .AddIndex(""",B30,""", ",CONCATENATE("EMyIndexType::",C30),", """,D30,""", ",ListePaare(E30:P30)," )")</f>
        <v xml:space="preserve">   .AddIndex("FamilyTypes_Denotation", EMyIndexType::key, "unique / representative denotation for a family type (choosen gender) as key canditate for this entity", { { 2, true } } )</v>
      </c>
    </row>
    <row r="32" spans="1:18" x14ac:dyDescent="0.45">
      <c r="A32" t="s">
        <v>106</v>
      </c>
      <c r="B32" t="s">
        <v>1010</v>
      </c>
      <c r="C32" t="s">
        <v>180</v>
      </c>
      <c r="D32" t="s">
        <v>634</v>
      </c>
      <c r="E32">
        <v>2</v>
      </c>
      <c r="F32" t="s">
        <v>57</v>
      </c>
      <c r="R32" t="str" cm="1">
        <f t="array" ref="R32">CONCATENATE("   .AddIndex(""",B32,""", ",CONCATENATE("EMyIndexType::",C32),", """,D32,""", ",ListePaare(E32:P32)," )")</f>
        <v xml:space="preserve">   .AddIndex("FormOfAddress_Denotation", EMyIndexType::key, "unique / representative denotation for a form of address", { { 2, true } } )</v>
      </c>
    </row>
    <row r="34" spans="1:18" x14ac:dyDescent="0.45">
      <c r="A34" t="s">
        <v>107</v>
      </c>
      <c r="B34" t="s">
        <v>1009</v>
      </c>
      <c r="C34" t="s">
        <v>89</v>
      </c>
      <c r="D34" t="s">
        <v>397</v>
      </c>
      <c r="E34">
        <v>3</v>
      </c>
      <c r="F34" t="s">
        <v>57</v>
      </c>
      <c r="R34" t="str" cm="1">
        <f t="array" ref="R34">CONCATENATE("   .AddIndex(""",B34,""", ",CONCATENATE("EMyIndexType::",C34),", """,D34,""", ",ListePaare(E34:P34)," )")</f>
        <v xml:space="preserve">   .AddIndex("Internet_Address", EMyIndexType::undefined, "access path to seach a address of internet connection", { { 3, true } } )</v>
      </c>
    </row>
    <row r="36" spans="1:18" x14ac:dyDescent="0.45">
      <c r="A36" t="s">
        <v>108</v>
      </c>
      <c r="B36" t="s">
        <v>1008</v>
      </c>
      <c r="C36" t="s">
        <v>180</v>
      </c>
      <c r="D36" t="s">
        <v>636</v>
      </c>
      <c r="E36">
        <v>2</v>
      </c>
      <c r="F36" t="s">
        <v>57</v>
      </c>
      <c r="R36" t="str" cm="1">
        <f t="array" ref="R36">CONCATENATE("   .AddIndex(""",B36,""", ",CONCATENATE("EMyIndexType::",C36),", """,D36,""", ",ListePaare(E36:P36)," )")</f>
        <v xml:space="preserve">   .AddIndex("InternetTypes_Denotation", EMyIndexType::key, "unique / representative denotation for this internet type", { { 2, true } } )</v>
      </c>
    </row>
    <row r="38" spans="1:18" x14ac:dyDescent="0.45">
      <c r="A38" t="s">
        <v>109</v>
      </c>
      <c r="B38" t="s">
        <v>1007</v>
      </c>
      <c r="C38" t="s">
        <v>180</v>
      </c>
      <c r="D38" t="s">
        <v>637</v>
      </c>
      <c r="E38">
        <v>2</v>
      </c>
      <c r="F38" t="s">
        <v>57</v>
      </c>
      <c r="R38" t="str" cm="1">
        <f t="array" ref="R38">CONCATENATE("   .AddIndex(""",B38,""", ",CONCATENATE("EMyIndexType::",C38),", """,D38,""", ",ListePaare(E38:P38)," )")</f>
        <v xml:space="preserve">   .AddIndex("JobPositions_Denotation", EMyIndexType::key, "unique / representative denotation for this position in job", { { 2, true } } )</v>
      </c>
    </row>
    <row r="40" spans="1:18" x14ac:dyDescent="0.45">
      <c r="A40" t="s">
        <v>110</v>
      </c>
      <c r="B40" t="s">
        <v>1006</v>
      </c>
      <c r="C40" t="s">
        <v>89</v>
      </c>
      <c r="D40" t="s">
        <v>388</v>
      </c>
      <c r="E40">
        <v>2</v>
      </c>
      <c r="F40" t="s">
        <v>57</v>
      </c>
      <c r="G40">
        <v>3</v>
      </c>
      <c r="H40" t="s">
        <v>57</v>
      </c>
      <c r="R40" t="str" cm="1">
        <f t="array" ref="R40">CONCATENATE("   .AddIndex(""",B40,""", ",CONCATENATE("EMyIndexType::",C40),", """,D40,""", ",ListePaare(E40:P40)," )")</f>
        <v xml:space="preserve">   .AddIndex("Person_Name_Firstname", EMyIndexType::undefined, "access path to search for name and / or firstname in a person", { { 2, true }, { 3, true } } )</v>
      </c>
    </row>
    <row r="42" spans="1:18" x14ac:dyDescent="0.45">
      <c r="A42" t="s">
        <v>111</v>
      </c>
      <c r="B42" t="s">
        <v>1005</v>
      </c>
      <c r="C42" t="s">
        <v>89</v>
      </c>
      <c r="D42" t="s">
        <v>392</v>
      </c>
      <c r="E42">
        <v>3</v>
      </c>
      <c r="F42" t="s">
        <v>57</v>
      </c>
      <c r="G42">
        <v>4</v>
      </c>
      <c r="H42" t="s">
        <v>57</v>
      </c>
      <c r="R42" t="str" cm="1">
        <f t="array" ref="R42">CONCATENATE("   .AddIndex(""",B42,""", ",CONCATENATE("EMyIndexType::",C42),", """,D42,""", ",ListePaare(E42:P42)," )")</f>
        <v xml:space="preserve">   .AddIndex("iPhone_Number", EMyIndexType::undefined, "access path to search a phone number", { { 3, true }, { 4, true } } )</v>
      </c>
    </row>
    <row r="44" spans="1:18" x14ac:dyDescent="0.45">
      <c r="A44" t="s">
        <v>141</v>
      </c>
      <c r="B44" t="s">
        <v>1004</v>
      </c>
      <c r="C44" t="s">
        <v>180</v>
      </c>
      <c r="D44" t="s">
        <v>638</v>
      </c>
      <c r="E44">
        <v>2</v>
      </c>
      <c r="F44" t="s">
        <v>57</v>
      </c>
      <c r="R44" t="str" cm="1">
        <f t="array" ref="R44">CONCATENATE("   .AddIndex(""",B44,""", ",CONCATENATE("EMyIndexType::",C44),", """,D44,""", ",ListePaare(E44:P44)," )")</f>
        <v xml:space="preserve">   .AddIndex("PhonesTypes_Denotation", EMyIndexType::key, "unique / representative denotation for this type of phone connections", { { 2, true } } )</v>
      </c>
    </row>
    <row r="46" spans="1:18" x14ac:dyDescent="0.45">
      <c r="A46" t="s">
        <v>604</v>
      </c>
      <c r="B46" t="s">
        <v>1003</v>
      </c>
      <c r="C46" t="s">
        <v>180</v>
      </c>
      <c r="D46" t="s">
        <v>639</v>
      </c>
      <c r="E46">
        <v>2</v>
      </c>
      <c r="F46" t="s">
        <v>57</v>
      </c>
      <c r="R46" t="str" cm="1">
        <f t="array" ref="R46">CONCATENATE("   .AddIndex(""",B46,""", ",CONCATENATE("EMyIndexType::",C46),", """,D46,""", ",ListePaare(E46:P46)," )")</f>
        <v xml:space="preserve">   .AddIndex("ReasonDeparture_Denotation", EMyIndexType::key, "unique / representative denotation for this reason of departure", { { 2, true } } )</v>
      </c>
    </row>
    <row r="48" spans="1:18" x14ac:dyDescent="0.45">
      <c r="A48" t="s">
        <v>646</v>
      </c>
      <c r="B48" t="s">
        <v>1002</v>
      </c>
      <c r="C48" t="s">
        <v>180</v>
      </c>
      <c r="D48" t="s">
        <v>675</v>
      </c>
      <c r="E48">
        <v>2</v>
      </c>
      <c r="F48" t="s">
        <v>57</v>
      </c>
      <c r="R48" t="str" cm="1">
        <f t="array" ref="R48">CONCATENATE("   .AddIndex(""",B48,""", ",CONCATENATE("EMyIndexType::",C48),", """,D48,""", ",ListePaare(E48:P48)," )")</f>
        <v xml:space="preserve">   .AddIndex("ReasonNonWorking_Denotation", EMyIndexType::key, "unique / representative denotation for this reason of idle time", { { 2, true } } )</v>
      </c>
    </row>
    <row r="50" spans="1:18" x14ac:dyDescent="0.45">
      <c r="A50" t="s">
        <v>702</v>
      </c>
      <c r="B50" t="s">
        <v>1001</v>
      </c>
      <c r="C50" t="s">
        <v>180</v>
      </c>
      <c r="D50" t="s">
        <v>711</v>
      </c>
      <c r="E50">
        <v>2</v>
      </c>
      <c r="F50" t="s">
        <v>57</v>
      </c>
      <c r="R50" t="str" cm="1">
        <f t="array" ref="R50">CONCATENATE("   .AddIndex(""",B50,""", ",CONCATENATE("EMyIndexType::",C50),", """,D50,""", ",ListePaare(E50:P50)," )")</f>
        <v xml:space="preserve">   .AddIndex("SalaryBase_Denotation", EMyIndexType::key, "unique / representative denotation for this base of salary", { { 2, true } } )</v>
      </c>
    </row>
    <row r="51" spans="1:18" x14ac:dyDescent="0.45">
      <c r="A51" t="s">
        <v>702</v>
      </c>
      <c r="B51" t="s">
        <v>1000</v>
      </c>
      <c r="C51" t="s">
        <v>180</v>
      </c>
      <c r="D51" t="s">
        <v>710</v>
      </c>
      <c r="E51">
        <v>3</v>
      </c>
      <c r="F51" t="s">
        <v>57</v>
      </c>
      <c r="R51" t="str" cm="1">
        <f t="array" ref="R51">CONCATENATE("   .AddIndex(""",B51,""", ",CONCATENATE("EMyIndexType::",C51),", """,D51,""", ",ListePaare(E51:P51)," )")</f>
        <v xml:space="preserve">   .AddIndex("SalaryBase_Abbreviation", EMyIndexType::key, "unique / representative abbreviation for this base of salary", { { 3, true } } )</v>
      </c>
    </row>
    <row r="53" spans="1:18" x14ac:dyDescent="0.45">
      <c r="A53" t="s">
        <v>540</v>
      </c>
      <c r="B53" t="s">
        <v>999</v>
      </c>
      <c r="C53" t="s">
        <v>180</v>
      </c>
      <c r="D53" t="s">
        <v>691</v>
      </c>
      <c r="E53">
        <v>2</v>
      </c>
      <c r="F53" t="s">
        <v>57</v>
      </c>
      <c r="R53" t="str" cm="1">
        <f t="array" ref="R53">CONCATENATE("   .AddIndex(""",B53,""", ",CONCATENATE("EMyIndexType::",C53),", """,D53,""", ",ListePaare(E53:P53)," )")</f>
        <v xml:space="preserve">   .AddIndex("WD_Months_Denotation", EMyIndexType::key, "unique / representative denotation for this month, use in selections or to display", { { 2, true } } )</v>
      </c>
    </row>
    <row r="54" spans="1:18" x14ac:dyDescent="0.45">
      <c r="A54" t="s">
        <v>540</v>
      </c>
      <c r="B54" t="s">
        <v>998</v>
      </c>
      <c r="C54" t="s">
        <v>180</v>
      </c>
      <c r="D54" t="s">
        <v>692</v>
      </c>
      <c r="E54">
        <v>3</v>
      </c>
      <c r="F54" t="s">
        <v>57</v>
      </c>
      <c r="R54" t="str" cm="1">
        <f t="array" ref="R54">CONCATENATE("   .AddIndex(""",B54,""", ",CONCATENATE("EMyIndexType::",C54),", """,D54,""", ",ListePaare(E54:P54)," )")</f>
        <v xml:space="preserve">   .AddIndex("WD_Months_Abbreviation", EMyIndexType::key, "unique / representative abbreviation for this month, use in selections or to display", { { 3, true } } )</v>
      </c>
    </row>
    <row r="56" spans="1:18" x14ac:dyDescent="0.45">
      <c r="A56" t="s">
        <v>539</v>
      </c>
      <c r="B56" t="s">
        <v>997</v>
      </c>
      <c r="C56" t="s">
        <v>180</v>
      </c>
      <c r="D56" t="s">
        <v>693</v>
      </c>
      <c r="E56">
        <v>2</v>
      </c>
      <c r="F56" t="s">
        <v>57</v>
      </c>
      <c r="R56" t="str" cm="1">
        <f t="array" ref="R56">CONCATENATE("   .AddIndex(""",B56,""", ",CONCATENATE("EMyIndexType::",C56),", """,D56,""", ",ListePaare(E56:P56)," )")</f>
        <v xml:space="preserve">   .AddIndex("WD_Weekdays_Denotation", EMyIndexType::key, "unique / representative denotation for this weekday, use in selections or to display", { { 2, true } } )</v>
      </c>
    </row>
    <row r="57" spans="1:18" x14ac:dyDescent="0.45">
      <c r="A57" t="s">
        <v>539</v>
      </c>
      <c r="B57" t="s">
        <v>996</v>
      </c>
      <c r="C57" t="s">
        <v>180</v>
      </c>
      <c r="D57" t="s">
        <v>694</v>
      </c>
      <c r="E57">
        <v>3</v>
      </c>
      <c r="F57" t="s">
        <v>57</v>
      </c>
      <c r="R57" t="str" cm="1">
        <f t="array" ref="R57">CONCATENATE("   .AddIndex(""",B57,""", ",CONCATENATE("EMyIndexType::",C57),", """,D57,""", ",ListePaare(E57:P57)," )")</f>
        <v xml:space="preserve">   .AddIndex("WD_Weekdays_Abbreviation", EMyIndexType::key, "unique / representative abbreviation for this weekdays, use in selections or to display", { { 3, true } } )</v>
      </c>
    </row>
    <row r="59" spans="1:18" x14ac:dyDescent="0.45">
      <c r="A59" t="s">
        <v>737</v>
      </c>
      <c r="B59" t="s">
        <v>995</v>
      </c>
      <c r="C59" t="s">
        <v>89</v>
      </c>
      <c r="D59" t="s">
        <v>763</v>
      </c>
      <c r="E59">
        <v>4</v>
      </c>
      <c r="F59" t="s">
        <v>57</v>
      </c>
      <c r="G59">
        <v>5</v>
      </c>
      <c r="H59" t="s">
        <v>57</v>
      </c>
      <c r="R59" t="str" cm="1">
        <f t="array" ref="R59">CONCATENATE("   .AddIndex(""",B59,""", ",CONCATENATE("EMyIndexType::",C59),", """,D59,""", ",ListePaare(E59:P59)," )")</f>
        <v xml:space="preserve">   .AddIndex("WD_Workdays_Years_Month", EMyIndexType::undefined, "access path for search year and month for reports", { { 4, true }, { 5, true } } )</v>
      </c>
    </row>
    <row r="61" spans="1:18" x14ac:dyDescent="0.45">
      <c r="A61" t="s">
        <v>278</v>
      </c>
      <c r="B61" t="s">
        <v>994</v>
      </c>
      <c r="C61" t="s">
        <v>180</v>
      </c>
      <c r="D61" t="s">
        <v>457</v>
      </c>
      <c r="E61">
        <v>2</v>
      </c>
      <c r="F61" t="s">
        <v>57</v>
      </c>
      <c r="R61" t="str" cm="1">
        <f t="array" ref="R61">CONCATENATE("   .AddIndex(""",B61,""", ",CONCATENATE("EMyIndexType::",C61),", """,D61,""", ",ListePaare(E61:P61)," )")</f>
        <v xml:space="preserve">   .AddIndex("TaxClasses_Denotation", EMyIndexType::key, "unique / representative official denotation of the tax class as key canditate for this entity", { { 2, true } } )</v>
      </c>
    </row>
    <row r="62" spans="1:18" x14ac:dyDescent="0.45">
      <c r="A62" t="s">
        <v>278</v>
      </c>
      <c r="B62" t="s">
        <v>993</v>
      </c>
      <c r="C62" t="s">
        <v>180</v>
      </c>
      <c r="D62" t="s">
        <v>458</v>
      </c>
      <c r="E62">
        <v>3</v>
      </c>
      <c r="F62" t="s">
        <v>57</v>
      </c>
      <c r="R62" t="str" cm="1">
        <f t="array" ref="R62">CONCATENATE("   .AddIndex(""",B62,""", ",CONCATENATE("EMyIndexType::",C62),", """,D62,""", ",ListePaare(E62:P62)," )")</f>
        <v xml:space="preserve">   .AddIndex("TaxClasses_Abbreviation", EMyIndexType::key, "unique / representative official abbreviation of the tax class as key canditate for this entity", { { 3, true } } )</v>
      </c>
    </row>
    <row r="64" spans="1:18" ht="14.65" thickBot="1" x14ac:dyDescent="0.5"/>
    <row r="65" spans="1:18" s="14" customFormat="1" ht="14.65" thickTop="1" x14ac:dyDescent="0.45"/>
    <row r="66" spans="1:18" x14ac:dyDescent="0.45">
      <c r="A66" t="s">
        <v>901</v>
      </c>
      <c r="B66" t="s">
        <v>992</v>
      </c>
      <c r="C66" t="s">
        <v>180</v>
      </c>
      <c r="D66" t="s">
        <v>934</v>
      </c>
      <c r="E66">
        <v>2</v>
      </c>
      <c r="F66" t="s">
        <v>57</v>
      </c>
      <c r="R66" t="str" cm="1">
        <f t="array" ref="R66">CONCATENATE("   .AddIndex(""",B66,""", ",CONCATENATE("EMyIndexType::",C66),", """,D66,""", ",ListePaare(E66:P66)," )")</f>
        <v xml:space="preserve">   .AddIndex("CorporateForm_Donation", EMyIndexType::key, "unique / representative denotation for this corporate form", { { 2, true } } )</v>
      </c>
    </row>
    <row r="67" spans="1:18" x14ac:dyDescent="0.45">
      <c r="A67" t="s">
        <v>901</v>
      </c>
      <c r="B67" t="s">
        <v>991</v>
      </c>
      <c r="C67" t="s">
        <v>180</v>
      </c>
      <c r="D67" t="s">
        <v>935</v>
      </c>
      <c r="E67">
        <v>1</v>
      </c>
      <c r="F67" t="s">
        <v>57</v>
      </c>
      <c r="R67" t="str" cm="1">
        <f t="array" ref="R67">CONCATENATE("   .AddIndex(""",B67,""", ",CONCATENATE("EMyIndexType::",C67),", """,D67,""", ",ListePaare(E67:P67)," )")</f>
        <v xml:space="preserve">   .AddIndex("CorporateForm_Abbreviation", EMyIndexType::key, "unique / representative abbreviation for this corporate form", { { 1, true } } )</v>
      </c>
    </row>
    <row r="69" spans="1:18" x14ac:dyDescent="0.45">
      <c r="A69" t="s">
        <v>826</v>
      </c>
      <c r="B69" t="s">
        <v>990</v>
      </c>
      <c r="C69" t="s">
        <v>180</v>
      </c>
      <c r="D69" t="s">
        <v>868</v>
      </c>
      <c r="E69">
        <v>2</v>
      </c>
      <c r="F69" t="s">
        <v>57</v>
      </c>
      <c r="R69" t="str" cm="1">
        <f t="array" ref="R69">CONCATENATE("   .AddIndex(""",B69,""", ",CONCATENATE("EMyIndexType::",C69),", """,D69,""", ",ListePaare(E69:P69)," )")</f>
        <v xml:space="preserve">   .AddIndex("CustClass_Donation", EMyIndexType::key, "unique / representative denotation for this customers classification", { { 2, true } } )</v>
      </c>
    </row>
    <row r="71" spans="1:18" x14ac:dyDescent="0.45">
      <c r="A71" t="s">
        <v>857</v>
      </c>
      <c r="B71" t="s">
        <v>989</v>
      </c>
      <c r="C71" t="s">
        <v>180</v>
      </c>
      <c r="D71" t="s">
        <v>867</v>
      </c>
      <c r="E71">
        <v>2</v>
      </c>
      <c r="F71" t="s">
        <v>57</v>
      </c>
      <c r="R71" t="str" cm="1">
        <f t="array" ref="R71">CONCATENATE("   .AddIndex(""",B71,""", ",CONCATENATE("EMyIndexType::",C71),", """,D71,""", ",ListePaare(E71:P71)," )")</f>
        <v xml:space="preserve">   .AddIndex("CustLiaison_Donation", EMyIndexType::key, "unique / representative denotation for this liaison for the contact", { { 2,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63"/>
  <sheetViews>
    <sheetView topLeftCell="A49" workbookViewId="0">
      <selection activeCell="B60" sqref="B60"/>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80</v>
      </c>
      <c r="B1" t="s">
        <v>81</v>
      </c>
      <c r="N1" t="s">
        <v>82</v>
      </c>
      <c r="Y1" t="s">
        <v>129</v>
      </c>
      <c r="AB1" t="s">
        <v>58</v>
      </c>
      <c r="AC1" t="s">
        <v>59</v>
      </c>
    </row>
    <row r="2" spans="1:29" x14ac:dyDescent="0.45">
      <c r="A2" t="s">
        <v>23</v>
      </c>
      <c r="B2" t="s">
        <v>83</v>
      </c>
      <c r="C2" t="s">
        <v>93</v>
      </c>
      <c r="D2">
        <v>1</v>
      </c>
      <c r="E2">
        <v>3</v>
      </c>
      <c r="F2">
        <v>5</v>
      </c>
      <c r="N2" t="s">
        <v>23</v>
      </c>
      <c r="O2">
        <v>1</v>
      </c>
      <c r="P2">
        <v>7</v>
      </c>
      <c r="Q2">
        <v>5</v>
      </c>
      <c r="AB2" t="s">
        <v>97</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83</v>
      </c>
      <c r="C4" t="s">
        <v>93</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98</v>
      </c>
      <c r="B9" t="s">
        <v>954</v>
      </c>
      <c r="C9" t="s">
        <v>476</v>
      </c>
      <c r="D9" s="8">
        <v>1</v>
      </c>
      <c r="E9" s="8"/>
      <c r="F9" s="8"/>
      <c r="G9" s="8"/>
      <c r="H9" s="8"/>
      <c r="I9" s="8"/>
      <c r="J9" s="8"/>
      <c r="K9" s="8"/>
      <c r="L9" s="8"/>
      <c r="M9" s="8"/>
      <c r="N9" t="s">
        <v>110</v>
      </c>
      <c r="O9" s="8">
        <v>1</v>
      </c>
      <c r="P9" s="8"/>
      <c r="Q9" s="8"/>
      <c r="R9" s="8"/>
      <c r="S9" s="8"/>
      <c r="T9" s="8"/>
      <c r="U9" s="8"/>
      <c r="V9" s="8"/>
      <c r="W9" s="8"/>
      <c r="X9" s="8"/>
      <c r="Y9" t="s">
        <v>346</v>
      </c>
      <c r="Z9" t="s">
        <v>402</v>
      </c>
      <c r="AB9" t="s">
        <v>347</v>
      </c>
      <c r="AC9" s="5" t="str" cm="1">
        <f t="array" ref="AC9">IF(LängeListe(D9:M9)=LängeListe(O9:X9),CONCATENATE("   .AddReference(",QTFunc(B9),", ",CONCATENATE("EMyReferenceType::",C9),",  ",QTFunc(N9),", ",QTFunc(Y9),", ",QTFunc(Z9),", ",IF(AA9&lt;&gt;"",CONCATENATE("{ ",AA9," }"),"{ }"),", ",QTFunc(AB9),", ",PaarListe(D9:M9,O9:X9)," )"),"nein")</f>
        <v xml:space="preserve">   .AddReference("Address2Person", EMyReferenceType::composition,  "Person", "residential address", "1 : n", { }, "part of- relationship from a person to the residential addresses", { {1,1} } )</v>
      </c>
    </row>
    <row r="10" spans="1:29" x14ac:dyDescent="0.45">
      <c r="A10" t="s">
        <v>98</v>
      </c>
      <c r="B10" t="s">
        <v>955</v>
      </c>
      <c r="C10" t="s">
        <v>92</v>
      </c>
      <c r="D10" s="8">
        <v>2</v>
      </c>
      <c r="E10" s="8"/>
      <c r="F10" s="8"/>
      <c r="G10" s="8"/>
      <c r="H10" s="8"/>
      <c r="I10" s="8"/>
      <c r="J10" s="8"/>
      <c r="K10" s="8"/>
      <c r="L10" s="8"/>
      <c r="M10" s="8"/>
      <c r="N10" t="s">
        <v>99</v>
      </c>
      <c r="O10" s="8">
        <v>1</v>
      </c>
      <c r="P10" s="8"/>
      <c r="Q10" s="8"/>
      <c r="R10" s="8"/>
      <c r="S10" s="8"/>
      <c r="T10" s="8"/>
      <c r="U10" s="8"/>
      <c r="V10" s="8"/>
      <c r="W10" s="8"/>
      <c r="X10" s="8"/>
      <c r="Y10" t="s">
        <v>348</v>
      </c>
      <c r="Z10" t="s">
        <v>477</v>
      </c>
      <c r="AA10">
        <v>2</v>
      </c>
      <c r="AB10" t="s">
        <v>183</v>
      </c>
      <c r="AC10" s="5" t="str" cm="1">
        <f t="array" ref="AC10">IF(LängeListe(D10:M10)=LängeListe(O10:X10),CONCATENATE("   .AddReference(",QTFunc(B10),", ",CONCATENATE("EMyReferenceType::",C10),",  ",QTFunc(N10),", ",QTFunc(Y10),", ",QTFunc(Z10),", ",IF(AA10&lt;&gt;"",CONCATENATE("{ ",AA10," }"),"{ }"),", ",QTFunc(AB10),", ",PaarListe(D10:M10,O10:X10)," )"),"nein")</f>
        <v xml:space="preserve">   .AddReference("Address2AddressType", EMyReferenceType::range,  "AddressTypes", "has values", "n : 1", { 2 }, "range value to extent the relationship of a person to an address", { {2,1} } )</v>
      </c>
    </row>
    <row r="11" spans="1:29" x14ac:dyDescent="0.45">
      <c r="A11" t="s">
        <v>98</v>
      </c>
      <c r="B11" t="s">
        <v>956</v>
      </c>
      <c r="C11" t="s">
        <v>93</v>
      </c>
      <c r="D11" s="8">
        <v>7</v>
      </c>
      <c r="E11" s="8"/>
      <c r="F11" s="8"/>
      <c r="G11" s="8"/>
      <c r="H11" s="8"/>
      <c r="I11" s="8"/>
      <c r="J11" s="8"/>
      <c r="K11" s="8"/>
      <c r="L11" s="8"/>
      <c r="M11" s="8"/>
      <c r="N11" t="s">
        <v>102</v>
      </c>
      <c r="O11" s="8">
        <v>1</v>
      </c>
      <c r="P11" s="8"/>
      <c r="Q11" s="8"/>
      <c r="R11" s="8"/>
      <c r="S11" s="8"/>
      <c r="T11" s="8"/>
      <c r="U11" s="8"/>
      <c r="V11" s="8"/>
      <c r="W11" s="8"/>
      <c r="X11" s="8"/>
      <c r="Y11" t="s">
        <v>349</v>
      </c>
      <c r="Z11" t="s">
        <v>477</v>
      </c>
      <c r="AA11">
        <v>2</v>
      </c>
      <c r="AB11" t="s">
        <v>215</v>
      </c>
      <c r="AC11" s="5" t="str" cm="1">
        <f t="array" ref="AC11">IF(LängeListe(D11:M11)=LängeListe(O11:X11),CONCATENATE("   .AddReference(",QTFunc(B11),", ",CONCATENATE("EMyReferenceType::",C11),",  ",QTFunc(N11),", ",QTFunc(Y11),", ",QTFunc(Z11),", ",IF(AA11&lt;&gt;"",CONCATENATE("{ ",AA11," }"),"{ }"),", ",QTFunc(AB11),", ",PaarListe(D11:M11,O11:X11)," )"),"nein")</f>
        <v xml:space="preserve">   .AddReference("Address2Countries",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100</v>
      </c>
      <c r="B13" t="s">
        <v>957</v>
      </c>
      <c r="C13" t="s">
        <v>476</v>
      </c>
      <c r="D13" s="8">
        <v>1</v>
      </c>
      <c r="E13" s="8"/>
      <c r="F13" s="8"/>
      <c r="G13" s="8"/>
      <c r="H13" s="8"/>
      <c r="I13" s="8"/>
      <c r="J13" s="8"/>
      <c r="K13" s="8"/>
      <c r="L13" s="8"/>
      <c r="M13" s="8"/>
      <c r="N13" t="s">
        <v>110</v>
      </c>
      <c r="O13" s="8">
        <v>1</v>
      </c>
      <c r="P13" s="8"/>
      <c r="Q13" s="8"/>
      <c r="R13" s="8"/>
      <c r="S13" s="8"/>
      <c r="T13" s="8"/>
      <c r="U13" s="8"/>
      <c r="V13" s="8"/>
      <c r="W13" s="8"/>
      <c r="X13" s="8"/>
      <c r="Y13" t="s">
        <v>352</v>
      </c>
      <c r="Z13" t="s">
        <v>402</v>
      </c>
      <c r="AB13" t="s">
        <v>216</v>
      </c>
      <c r="AC13" s="5" t="str" cm="1">
        <f t="array" ref="AC13">IF(LängeListe(D13:M13)=LängeListe(O13:X13),CONCATENATE("   .AddReference(",QTFunc(B13),", ",CONCATENATE("EMyReferenceType::",C13),",  ",QTFunc(N13),", ",QTFunc(Y13),", ",QTFunc(Z13),", ",IF(AA13&lt;&gt;"",CONCATENATE("{ ",AA13," }"),"{ }"),", ",QTFunc(AB13),", ",PaarListe(D13:M13,O13:X13)," )"),"nein")</f>
        <v xml:space="preserve">   .AddReference("Banking2Person", EMyReferenceType::composition,  "Person", "owns", "1 : n", { }, "part of relationship from a banking account to the person who own it", { {1,1} } )</v>
      </c>
    </row>
    <row r="14" spans="1:29" x14ac:dyDescent="0.45">
      <c r="A14" t="s">
        <v>100</v>
      </c>
      <c r="B14" t="s">
        <v>958</v>
      </c>
      <c r="C14" t="s">
        <v>92</v>
      </c>
      <c r="D14" s="8">
        <v>2</v>
      </c>
      <c r="E14" s="8"/>
      <c r="F14" s="8"/>
      <c r="G14" s="8"/>
      <c r="H14" s="8"/>
      <c r="I14" s="8"/>
      <c r="J14" s="8"/>
      <c r="K14" s="8"/>
      <c r="L14" s="8"/>
      <c r="M14" s="8"/>
      <c r="N14" t="s">
        <v>101</v>
      </c>
      <c r="O14" s="8">
        <v>1</v>
      </c>
      <c r="P14" s="8"/>
      <c r="Q14" s="8"/>
      <c r="R14" s="8"/>
      <c r="S14" s="8"/>
      <c r="T14" s="8"/>
      <c r="U14" s="8"/>
      <c r="V14" s="8"/>
      <c r="W14" s="8"/>
      <c r="X14" s="8"/>
      <c r="Y14" t="s">
        <v>348</v>
      </c>
      <c r="Z14" t="s">
        <v>477</v>
      </c>
      <c r="AA14">
        <v>2</v>
      </c>
      <c r="AB14" t="s">
        <v>217</v>
      </c>
      <c r="AC14" s="5" t="str" cm="1">
        <f t="array" ref="AC14">IF(LängeListe(D14:M14)=LängeListe(O14:X14),CONCATENATE("   .AddReference(",QTFunc(B14),", ",CONCATENATE("EMyReferenceType::",C14),",  ",QTFunc(N14),", ",QTFunc(Y14),", ",QTFunc(Z14),", ",IF(AA14&lt;&gt;"",CONCATENATE("{ ",AA14," }"),"{ }"),", ",QTFunc(AB14),", ",PaarListe(D14:M14,O14:X14)," )"),"nein")</f>
        <v xml:space="preserve">   .AddReference("Banking2Type", EMyReferenceType::range,  "BankingTypes", "has values", "n : 1", { 2 }, "range value to extent the relationship of a person to an banking account", { {2,1} } )</v>
      </c>
    </row>
    <row r="15" spans="1:29" x14ac:dyDescent="0.45">
      <c r="A15" t="s">
        <v>100</v>
      </c>
      <c r="B15" t="s">
        <v>959</v>
      </c>
      <c r="C15" t="s">
        <v>93</v>
      </c>
      <c r="D15" s="8" t="s">
        <v>951</v>
      </c>
      <c r="E15" s="8"/>
      <c r="F15" s="8"/>
      <c r="G15" s="8"/>
      <c r="H15" s="8"/>
      <c r="I15" s="8"/>
      <c r="J15" s="8"/>
      <c r="K15" s="8"/>
      <c r="L15" s="8"/>
      <c r="M15" s="8"/>
      <c r="N15" t="s">
        <v>102</v>
      </c>
      <c r="O15" s="8">
        <v>1</v>
      </c>
      <c r="P15" s="8"/>
      <c r="Q15" s="8"/>
      <c r="R15" s="8"/>
      <c r="S15" s="8"/>
      <c r="T15" s="8"/>
      <c r="U15" s="8"/>
      <c r="V15" s="8"/>
      <c r="W15" s="8"/>
      <c r="X15" s="8"/>
      <c r="Y15" t="s">
        <v>349</v>
      </c>
      <c r="Z15" t="s">
        <v>477</v>
      </c>
      <c r="AA15">
        <v>2</v>
      </c>
      <c r="AB15" t="s">
        <v>214</v>
      </c>
      <c r="AC15" s="5" t="str" cm="1">
        <f t="array" ref="AC15">IF(LängeListe(D15:M15)=LängeListe(O15:X15),CONCATENATE("   .AddReference(",QTFunc(B15),", ",CONCATENATE("EMyReferenceType::",C15),",  ",QTFunc(N15),", ",QTFunc(Y15),", ",QTFunc(Z15),", ",IF(AA15&lt;&gt;"",CONCATENATE("{ ",AA15," }"),"{ }"),", ",QTFunc(AB15),", ",PaarListe(D15:M15,O15:X15)," )"),"nein")</f>
        <v xml:space="preserve">   .AddReference("Banking2Countries", EMyReferenceType::assoziation,  "Countries", "belongs to", "n : 1", { 2 }, "key ID to the associated entity of Countries, where bank who manage this account is located", { {ki,1}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103</v>
      </c>
      <c r="B17" t="s">
        <v>960</v>
      </c>
      <c r="C17" t="s">
        <v>93</v>
      </c>
      <c r="D17" s="8">
        <v>5</v>
      </c>
      <c r="E17" s="8"/>
      <c r="F17" s="8"/>
      <c r="G17" s="8"/>
      <c r="H17" s="8"/>
      <c r="I17" s="8"/>
      <c r="J17" s="8"/>
      <c r="K17" s="8"/>
      <c r="L17" s="8"/>
      <c r="M17" s="8"/>
      <c r="N17" t="s">
        <v>104</v>
      </c>
      <c r="O17" s="8">
        <v>1</v>
      </c>
      <c r="P17" s="8"/>
      <c r="Q17" s="8"/>
      <c r="R17" s="8"/>
      <c r="S17" s="8"/>
      <c r="T17" s="8"/>
      <c r="U17" s="8"/>
      <c r="V17" s="8"/>
      <c r="W17" s="8"/>
      <c r="X17" s="8"/>
      <c r="Y17" t="s">
        <v>418</v>
      </c>
      <c r="Z17" t="s">
        <v>477</v>
      </c>
      <c r="AA17">
        <v>9</v>
      </c>
      <c r="AB17" t="s">
        <v>419</v>
      </c>
      <c r="AC17" s="5" t="str" cm="1">
        <f t="array" ref="AC17">IF(LängeListe(D17:M17)=LängeListe(O17:X17),CONCATENATE("   .AddReference(",QTFunc(B17),", ",CONCATENATE("EMyReferenceType::",C17),",  ",QTFunc(N17),", ",QTFunc(Y17),", ",QTFunc(Z17),", ",IF(AA17&lt;&gt;"",CONCATENATE("{ ",AA17," }"),"{ }"),", ",QTFunc(AB17),", ",PaarListe(D17:M17,O17:X17)," )"),"nein")</f>
        <v xml:space="preserve">   .AddReference("Departments2Employee",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104</v>
      </c>
      <c r="B19" t="s">
        <v>961</v>
      </c>
      <c r="C19" t="s">
        <v>91</v>
      </c>
      <c r="D19" s="8">
        <v>1</v>
      </c>
      <c r="E19" s="8"/>
      <c r="F19" s="8"/>
      <c r="G19" s="8"/>
      <c r="H19" s="8"/>
      <c r="I19" s="8"/>
      <c r="J19" s="8"/>
      <c r="K19" s="8"/>
      <c r="L19" s="8"/>
      <c r="M19" s="8"/>
      <c r="N19" t="s">
        <v>110</v>
      </c>
      <c r="O19" s="8">
        <v>1</v>
      </c>
      <c r="P19" s="8"/>
      <c r="Q19" s="8"/>
      <c r="R19" s="8"/>
      <c r="S19" s="8"/>
      <c r="T19" s="8"/>
      <c r="U19" s="8"/>
      <c r="V19" s="8"/>
      <c r="W19" s="8"/>
      <c r="X19" s="8"/>
      <c r="Y19" t="s">
        <v>345</v>
      </c>
      <c r="Z19" s="9" t="s">
        <v>478</v>
      </c>
      <c r="AA19">
        <v>9</v>
      </c>
      <c r="AB19" t="s">
        <v>239</v>
      </c>
      <c r="AC19" s="5" t="str" cm="1">
        <f t="array" ref="AC19">IF(LängeListe(D19:M19)=LängeListe(O19:X19),CONCATENATE("   .AddReference(",QTFunc(B19),", ",CONCATENATE("EMyReferenceType::",C19),",  ",QTFunc(N19),", ",QTFunc(Y19),", ",QTFunc(Z19),", ",IF(AA19&lt;&gt;"",CONCATENATE("{ ",AA19," }"),"{ }"),", ",QTFunc(AB19),", ",PaarListe(D19:M19,O19:X19)," )"),"nein")</f>
        <v xml:space="preserve">   .AddReference("Employees2Person", EMyReferenceType::generalization,  "Person", "is-a", "1 : 1", { 9 }, "generalization from an employee to a person (is-a relationship)", { {1,1} } )</v>
      </c>
    </row>
    <row r="20" spans="1:29" x14ac:dyDescent="0.45">
      <c r="A20" t="s">
        <v>104</v>
      </c>
      <c r="B20" t="s">
        <v>962</v>
      </c>
      <c r="C20" t="s">
        <v>92</v>
      </c>
      <c r="D20" s="8">
        <v>4</v>
      </c>
      <c r="E20" s="8"/>
      <c r="F20" s="8"/>
      <c r="G20" s="8"/>
      <c r="H20" s="8"/>
      <c r="I20" s="8"/>
      <c r="J20" s="8"/>
      <c r="K20" s="8"/>
      <c r="L20" s="8"/>
      <c r="M20" s="8"/>
      <c r="N20" t="s">
        <v>699</v>
      </c>
      <c r="O20" s="8">
        <v>1</v>
      </c>
      <c r="P20" s="8"/>
      <c r="Q20" s="8"/>
      <c r="R20" s="8"/>
      <c r="S20" s="8"/>
      <c r="T20" s="8"/>
      <c r="U20" s="8"/>
      <c r="V20" s="8"/>
      <c r="W20" s="8"/>
      <c r="X20" s="8"/>
      <c r="Y20" t="s">
        <v>348</v>
      </c>
      <c r="Z20" s="9" t="s">
        <v>477</v>
      </c>
      <c r="AA20">
        <v>2</v>
      </c>
      <c r="AB20" t="s">
        <v>722</v>
      </c>
      <c r="AC20" s="5" t="str" cm="1">
        <f t="array" ref="AC20">IF(LängeListe(D20:M20)=LängeListe(O20:X20),CONCATENATE("   .AddReference(",QTFunc(B20),", ",CONCATENATE("EMyReferenceType::",C20),",  ",QTFunc(N20),", ",QTFunc(Y20),", ",QTFunc(Z20),", ",IF(AA20&lt;&gt;"",CONCATENATE("{ ",AA20," }"),"{ }"),", ",QTFunc(AB20),", ",PaarListe(D20:M20,O20:X20)," )"),"nein")</f>
        <v xml:space="preserve">   .AddReference("Employees2SalaryType", EMyReferenceType::range,  "SalaryType", "has values", "n : 1", { 2 }, "range values as domain for the attribute SalaryType (inside this SalaryBase)", { {4,1} } )</v>
      </c>
    </row>
    <row r="21" spans="1:29" x14ac:dyDescent="0.45">
      <c r="A21" t="s">
        <v>104</v>
      </c>
      <c r="B21" t="s">
        <v>963</v>
      </c>
      <c r="C21" t="s">
        <v>92</v>
      </c>
      <c r="D21" s="8">
        <v>5</v>
      </c>
      <c r="E21" s="8"/>
      <c r="F21" s="8"/>
      <c r="G21" s="8"/>
      <c r="H21" s="8"/>
      <c r="I21" s="8"/>
      <c r="J21" s="8"/>
      <c r="K21" s="8"/>
      <c r="L21" s="8"/>
      <c r="M21" s="8"/>
      <c r="N21" t="s">
        <v>278</v>
      </c>
      <c r="O21" s="8">
        <v>1</v>
      </c>
      <c r="P21" s="8"/>
      <c r="Q21" s="8"/>
      <c r="R21" s="8"/>
      <c r="S21" s="8"/>
      <c r="T21" s="8"/>
      <c r="U21" s="8"/>
      <c r="V21" s="8"/>
      <c r="W21" s="8"/>
      <c r="X21" s="8"/>
      <c r="Y21" t="s">
        <v>348</v>
      </c>
      <c r="Z21" t="s">
        <v>477</v>
      </c>
      <c r="AA21">
        <v>2</v>
      </c>
      <c r="AB21" t="s">
        <v>313</v>
      </c>
      <c r="AC21" s="5" t="str" cm="1">
        <f t="array" ref="AC21">IF(LängeListe(D21:M21)=LängeListe(O21:X21),CONCATENATE("   .AddReference(",QTFunc(B21),", ",CONCATENATE("EMyReferenceType::",C21),",  ",QTFunc(N21),", ",QTFunc(Y21),", ",QTFunc(Z21),", ",IF(AA21&lt;&gt;"",CONCATENATE("{ ",AA21," }"),"{ }"),", ",QTFunc(AB21),", ",PaarListe(D21:M21,O21:X21)," )"),"nein")</f>
        <v xml:space="preserve">   .AddReference("Employees2TaxClass", EMyReferenceType::range,  "TaxClasses", "has values", "n : 1", { 2 }, "range value as domain for the attribute TaxClass", { {5,1} } )</v>
      </c>
    </row>
    <row r="22" spans="1:29" x14ac:dyDescent="0.45">
      <c r="A22" t="s">
        <v>104</v>
      </c>
      <c r="B22" t="s">
        <v>964</v>
      </c>
      <c r="C22" t="s">
        <v>92</v>
      </c>
      <c r="D22" s="8">
        <v>8</v>
      </c>
      <c r="E22" s="8"/>
      <c r="F22" s="8"/>
      <c r="G22" s="8"/>
      <c r="H22" s="8"/>
      <c r="I22" s="8"/>
      <c r="J22" s="8"/>
      <c r="K22" s="8"/>
      <c r="L22" s="8"/>
      <c r="M22" s="8"/>
      <c r="N22" t="s">
        <v>604</v>
      </c>
      <c r="O22" s="8">
        <v>1</v>
      </c>
      <c r="P22" s="8"/>
      <c r="Q22" s="8"/>
      <c r="R22" s="8"/>
      <c r="S22" s="8"/>
      <c r="T22" s="8"/>
      <c r="U22" s="8"/>
      <c r="V22" s="8"/>
      <c r="W22" s="8"/>
      <c r="X22" s="8"/>
      <c r="Y22" t="s">
        <v>606</v>
      </c>
      <c r="Z22" t="s">
        <v>477</v>
      </c>
      <c r="AA22">
        <v>2</v>
      </c>
      <c r="AB22" t="s">
        <v>607</v>
      </c>
      <c r="AC22" s="5" t="str" cm="1">
        <f t="array" ref="AC22">IF(LängeListe(D22:M22)=LängeListe(O22:X22),CONCATENATE("   .AddReference(",QTFunc(B22),", ",CONCATENATE("EMyReferenceType::",C22),",  ",QTFunc(N22),", ",QTFunc(Y22),", ",QTFunc(Z22),", ",IF(AA22&lt;&gt;"",CONCATENATE("{ ",AA22," }"),"{ }"),", ",QTFunc(AB22),", ",PaarListe(D22:M22,O22:X22)," )"),"nein")</f>
        <v xml:space="preserve">   .AddReference("Employees2ReasonDeparture", EMyReferenceType::range,  "ReasonDeparture", "separation because", "n : 1", { 2 }, "range value as domain for the reason for departure of the employee", { {8,1} } )</v>
      </c>
    </row>
    <row r="23" spans="1:29" x14ac:dyDescent="0.45">
      <c r="A23" t="s">
        <v>104</v>
      </c>
      <c r="B23" t="s">
        <v>965</v>
      </c>
      <c r="C23" t="s">
        <v>92</v>
      </c>
      <c r="D23" s="8">
        <v>9</v>
      </c>
      <c r="E23" s="8"/>
      <c r="F23" s="8"/>
      <c r="G23" s="8"/>
      <c r="H23" s="8"/>
      <c r="I23" s="8"/>
      <c r="J23" s="8"/>
      <c r="K23" s="8"/>
      <c r="L23" s="8"/>
      <c r="M23" s="8"/>
      <c r="N23" t="s">
        <v>109</v>
      </c>
      <c r="O23" s="8">
        <v>1</v>
      </c>
      <c r="P23" s="8"/>
      <c r="Q23" s="8"/>
      <c r="R23" s="8"/>
      <c r="S23" s="8"/>
      <c r="T23" s="8"/>
      <c r="U23" s="8"/>
      <c r="V23" s="8"/>
      <c r="W23" s="8"/>
      <c r="X23" s="8"/>
      <c r="Y23" t="s">
        <v>350</v>
      </c>
      <c r="Z23" t="s">
        <v>477</v>
      </c>
      <c r="AA23">
        <v>2</v>
      </c>
      <c r="AB23" t="s">
        <v>240</v>
      </c>
      <c r="AC23" s="5" t="str" cm="1">
        <f t="array" ref="AC23">IF(LängeListe(D23:M23)=LängeListe(O23:X23),CONCATENATE("   .AddReference(",QTFunc(B23),", ",CONCATENATE("EMyReferenceType::",C23),",  ",QTFunc(N23),", ",QTFunc(Y23),", ",QTFunc(Z23),", ",IF(AA23&lt;&gt;"",CONCATENATE("{ ",AA23," }"),"{ }"),", ",QTFunc(AB23),", ",PaarListe(D23:M23,O23:X23)," )"),"nein")</f>
        <v xml:space="preserve">   .AddReference("Employees2JobPositions", EMyReferenceType::range,  "JobPositions", "holds", "n : 1", { 2 }, "range value as domain for this attribute, possible jobpositions in company", { {9,1} } )</v>
      </c>
    </row>
    <row r="24" spans="1:29" x14ac:dyDescent="0.45">
      <c r="A24" t="s">
        <v>104</v>
      </c>
      <c r="B24" t="s">
        <v>966</v>
      </c>
      <c r="C24" t="s">
        <v>93</v>
      </c>
      <c r="D24" s="8">
        <v>12</v>
      </c>
      <c r="E24" s="8"/>
      <c r="F24" s="8"/>
      <c r="G24" s="8"/>
      <c r="H24" s="8"/>
      <c r="I24" s="8"/>
      <c r="J24" s="8"/>
      <c r="K24" s="8"/>
      <c r="L24" s="8"/>
      <c r="M24" s="8"/>
      <c r="N24" t="s">
        <v>103</v>
      </c>
      <c r="O24" s="8">
        <v>1</v>
      </c>
      <c r="P24" s="8"/>
      <c r="Q24" s="8"/>
      <c r="R24" s="8"/>
      <c r="S24" s="8"/>
      <c r="T24" s="8"/>
      <c r="U24" s="8"/>
      <c r="V24" s="8"/>
      <c r="W24" s="8"/>
      <c r="X24" s="8"/>
      <c r="Y24" t="s">
        <v>351</v>
      </c>
      <c r="Z24" t="s">
        <v>477</v>
      </c>
      <c r="AA24">
        <v>2</v>
      </c>
      <c r="AB24" t="s">
        <v>241</v>
      </c>
      <c r="AC24" s="5" t="str" cm="1">
        <f t="array" ref="AC24">IF(LängeListe(D24:M24)=LängeListe(O24:X24),CONCATENATE("   .AddReference(",QTFunc(B24),", ",CONCATENATE("EMyReferenceType::",C24),",  ",QTFunc(N24),", ",QTFunc(Y24),", ",QTFunc(Z24),", ",IF(AA24&lt;&gt;"",CONCATENATE("{ ",AA24," }"),"{ }"),", ",QTFunc(AB24),", ",PaarListe(D24:M24,O24:X24)," )"),"nein")</f>
        <v xml:space="preserve">   .AddReference("Employees2Department",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106</v>
      </c>
      <c r="B26" t="s">
        <v>967</v>
      </c>
      <c r="C26" t="s">
        <v>93</v>
      </c>
      <c r="D26" s="8">
        <v>5</v>
      </c>
      <c r="E26" s="8"/>
      <c r="F26" s="8"/>
      <c r="G26" s="8"/>
      <c r="H26" s="8"/>
      <c r="I26" s="8"/>
      <c r="J26" s="8"/>
      <c r="K26" s="8"/>
      <c r="L26" s="8"/>
      <c r="M26" s="8"/>
      <c r="N26" t="s">
        <v>105</v>
      </c>
      <c r="O26" s="8">
        <v>1</v>
      </c>
      <c r="P26" s="8"/>
      <c r="Q26" s="8"/>
      <c r="R26" s="8"/>
      <c r="S26" s="8"/>
      <c r="T26" s="8"/>
      <c r="U26" s="8"/>
      <c r="V26" s="8"/>
      <c r="W26" s="8"/>
      <c r="X26" s="8"/>
      <c r="Y26" t="s">
        <v>398</v>
      </c>
      <c r="Z26" t="s">
        <v>477</v>
      </c>
      <c r="AA26">
        <v>2</v>
      </c>
      <c r="AB26" t="s">
        <v>399</v>
      </c>
      <c r="AC26" s="5" t="str" cm="1">
        <f t="array" ref="AC26">IF(LängeListe(D26:M26)=LängeListe(O26:X26),CONCATENATE("   .AddReference(",QTFunc(B26),", ",CONCATENATE("EMyReferenceType::",C26),",  ",QTFunc(N26),", ",QTFunc(Y26),", ",QTFunc(Z26),", ",IF(AA26&lt;&gt;"",CONCATENATE("{ ",AA26," }"),"{ }"),", ",QTFunc(AB26),", ",PaarListe(D26:M26,O26:X26)," )"),"nein")</f>
        <v xml:space="preserve">   .AddReference("FormOfAddress2Type",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107</v>
      </c>
      <c r="B28" t="s">
        <v>968</v>
      </c>
      <c r="C28" t="s">
        <v>476</v>
      </c>
      <c r="D28" s="8">
        <v>1</v>
      </c>
      <c r="E28" s="8"/>
      <c r="F28" s="8"/>
      <c r="G28" s="8"/>
      <c r="H28" s="8"/>
      <c r="I28" s="8"/>
      <c r="J28" s="8"/>
      <c r="K28" s="8"/>
      <c r="L28" s="8"/>
      <c r="M28" s="8"/>
      <c r="N28" t="s">
        <v>110</v>
      </c>
      <c r="O28" s="8">
        <v>1</v>
      </c>
      <c r="P28" s="8"/>
      <c r="Q28" s="8"/>
      <c r="R28" s="8"/>
      <c r="S28" s="8"/>
      <c r="T28" s="8"/>
      <c r="U28" s="8"/>
      <c r="V28" s="8"/>
      <c r="W28" s="8"/>
      <c r="X28" s="8"/>
      <c r="Y28" t="s">
        <v>352</v>
      </c>
      <c r="Z28" t="s">
        <v>402</v>
      </c>
      <c r="AB28" t="s">
        <v>395</v>
      </c>
      <c r="AC28" s="5" t="str" cm="1">
        <f t="array" ref="AC28">IF(LängeListe(D28:M28)=LängeListe(O28:X28),CONCATENATE("   .AddReference(",QTFunc(B28),", ",CONCATENATE("EMyReferenceType::",C28),",  ",QTFunc(N28),", ",QTFunc(Y28),", ",QTFunc(Z28),", ",IF(AA28&lt;&gt;"",CONCATENATE("{ ",AA28," }"),"{ }"),", ",QTFunc(AB28),", ",PaarListe(D28:M28,O28:X28)," )"),"nein")</f>
        <v xml:space="preserve">   .AddReference("Internet2Person", EMyReferenceType::composition,  "Person", "owns", "1 : n", { }, "part of relationship from an internet connection to the person who own it", { {1,1} } )</v>
      </c>
    </row>
    <row r="29" spans="1:29" x14ac:dyDescent="0.45">
      <c r="A29" t="s">
        <v>107</v>
      </c>
      <c r="B29" t="s">
        <v>969</v>
      </c>
      <c r="C29" t="s">
        <v>92</v>
      </c>
      <c r="D29" s="8">
        <v>2</v>
      </c>
      <c r="E29" s="8"/>
      <c r="F29" s="8"/>
      <c r="G29" s="8"/>
      <c r="H29" s="8"/>
      <c r="I29" s="8"/>
      <c r="J29" s="8"/>
      <c r="K29" s="8"/>
      <c r="L29" s="8"/>
      <c r="M29" s="8"/>
      <c r="N29" t="s">
        <v>108</v>
      </c>
      <c r="O29" s="8">
        <v>1</v>
      </c>
      <c r="P29" s="8"/>
      <c r="Q29" s="8"/>
      <c r="R29" s="8"/>
      <c r="S29" s="8"/>
      <c r="T29" s="8"/>
      <c r="U29" s="8"/>
      <c r="V29" s="8"/>
      <c r="W29" s="8"/>
      <c r="X29" s="8"/>
      <c r="Y29" t="s">
        <v>348</v>
      </c>
      <c r="Z29" t="s">
        <v>477</v>
      </c>
      <c r="AA29">
        <v>2</v>
      </c>
      <c r="AB29" t="s">
        <v>396</v>
      </c>
      <c r="AC29" s="5" t="str" cm="1">
        <f t="array" ref="AC29">IF(LängeListe(D29:M29)=LängeListe(O29:X29),CONCATENATE("   .AddReference(",QTFunc(B29),", ",CONCATENATE("EMyReferenceType::",C29),",  ",QTFunc(N29),", ",QTFunc(Y29),", ",QTFunc(Z29),", ",IF(AA29&lt;&gt;"",CONCATENATE("{ ",AA29," }"),"{ }"),", ",QTFunc(AB29),", ",PaarListe(D29:M29,O29:X29)," )"),"nein")</f>
        <v xml:space="preserve">   .AddReference("Internet2Type",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109</v>
      </c>
      <c r="B31" t="s">
        <v>970</v>
      </c>
      <c r="C31" t="s">
        <v>92</v>
      </c>
      <c r="D31" s="8">
        <v>5</v>
      </c>
      <c r="E31" s="8"/>
      <c r="F31" s="8"/>
      <c r="G31" s="8"/>
      <c r="H31" s="8"/>
      <c r="I31" s="8"/>
      <c r="J31" s="8"/>
      <c r="K31" s="8"/>
      <c r="L31" s="8"/>
      <c r="M31" s="8"/>
      <c r="N31" t="s">
        <v>699</v>
      </c>
      <c r="O31" s="8">
        <v>1</v>
      </c>
      <c r="P31" s="8"/>
      <c r="Q31" s="8"/>
      <c r="R31" s="8"/>
      <c r="S31" s="8"/>
      <c r="T31" s="8"/>
      <c r="U31" s="8"/>
      <c r="V31" s="8"/>
      <c r="W31" s="8"/>
      <c r="X31" s="8"/>
      <c r="Y31" t="s">
        <v>792</v>
      </c>
      <c r="Z31" t="s">
        <v>477</v>
      </c>
      <c r="AA31">
        <v>2</v>
      </c>
      <c r="AB31" t="s">
        <v>793</v>
      </c>
      <c r="AC31" s="5" t="str" cm="1">
        <f t="array" ref="AC31">IF(LängeListe(D31:M31)=LängeListe(O31:X31),CONCATENATE("   .AddReference(",QTFunc(B31),", ",CONCATENATE("EMyReferenceType::",C31),",  ",QTFunc(N31),", ",QTFunc(Y31),", ",QTFunc(Z31),", ",IF(AA31&lt;&gt;"",CONCATENATE("{ ",AA31," }"),"{ }"),", ",QTFunc(AB31),", ",PaarListe(D31:M31,O31:X31)," )"),"nein")</f>
        <v xml:space="preserve">   .AddReference("JobPosition2SalaryType", EMyReferenceType::range,  "SalaryType", "is in this", "n : 1", { 2 }, "range value which descripe which kind of salary this JobPositions use", { {5,1}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110</v>
      </c>
      <c r="B33" t="s">
        <v>971</v>
      </c>
      <c r="C33" t="s">
        <v>92</v>
      </c>
      <c r="D33" s="8">
        <v>4</v>
      </c>
      <c r="E33" s="8"/>
      <c r="F33" s="8"/>
      <c r="G33" s="8"/>
      <c r="H33" s="8"/>
      <c r="I33" s="8"/>
      <c r="J33" s="8"/>
      <c r="K33" s="8"/>
      <c r="L33" s="8"/>
      <c r="M33" s="8"/>
      <c r="N33" t="s">
        <v>106</v>
      </c>
      <c r="O33" s="8">
        <v>1</v>
      </c>
      <c r="P33" s="8"/>
      <c r="Q33" s="8"/>
      <c r="R33" s="8"/>
      <c r="S33" s="8"/>
      <c r="T33" s="8"/>
      <c r="U33" s="8"/>
      <c r="V33" s="8"/>
      <c r="W33" s="8"/>
      <c r="X33" s="8"/>
      <c r="Y33" t="s">
        <v>348</v>
      </c>
      <c r="Z33" t="s">
        <v>477</v>
      </c>
      <c r="AA33">
        <v>2</v>
      </c>
      <c r="AB33" t="s">
        <v>393</v>
      </c>
      <c r="AC33" s="5" t="str" cm="1">
        <f t="array" ref="AC33">IF(LängeListe(D33:M33)=LängeListe(O33:X33),CONCATENATE("   .AddReference(",QTFunc(B33),", ",CONCATENATE("EMyReferenceType::",C33),",  ",QTFunc(N33),", ",QTFunc(Y33),", ",QTFunc(Z33),", ",IF(AA33&lt;&gt;"",CONCATENATE("{ ",AA33," }"),"{ }"),", ",QTFunc(AB33),", ",PaarListe(D33:M33,O33:X33)," )"),"nein")</f>
        <v xml:space="preserve">   .AddReference("Person2FormOfAddress", EMyReferenceType::range,  "FormOfAddress", "has values", "n : 1", { 2 }, "range value to extent the relationship of a person to a form of address", { {4,1} } )</v>
      </c>
    </row>
    <row r="34" spans="1:29" x14ac:dyDescent="0.45">
      <c r="A34" t="s">
        <v>110</v>
      </c>
      <c r="B34" t="s">
        <v>972</v>
      </c>
      <c r="C34" t="s">
        <v>92</v>
      </c>
      <c r="D34" s="8">
        <v>5</v>
      </c>
      <c r="E34" s="8"/>
      <c r="F34" s="8"/>
      <c r="G34" s="8"/>
      <c r="H34" s="8"/>
      <c r="I34" s="8"/>
      <c r="J34" s="8"/>
      <c r="K34" s="8"/>
      <c r="L34" s="8"/>
      <c r="M34" s="8"/>
      <c r="N34" t="s">
        <v>173</v>
      </c>
      <c r="O34" s="8">
        <v>1</v>
      </c>
      <c r="P34" s="8"/>
      <c r="Q34" s="8"/>
      <c r="R34" s="8"/>
      <c r="S34" s="8"/>
      <c r="T34" s="8"/>
      <c r="U34" s="8"/>
      <c r="V34" s="8"/>
      <c r="W34" s="8"/>
      <c r="X34" s="8"/>
      <c r="Y34" t="s">
        <v>348</v>
      </c>
      <c r="Z34" t="s">
        <v>477</v>
      </c>
      <c r="AA34">
        <v>2</v>
      </c>
      <c r="AB34" t="s">
        <v>394</v>
      </c>
      <c r="AC34" s="5" t="str" cm="1">
        <f t="array" ref="AC34">IF(LängeListe(D34:M34)=LängeListe(O34:X34),CONCATENATE("   .AddReference(",QTFunc(B34),", ",CONCATENATE("EMyReferenceType::",C34),",  ",QTFunc(N34),", ",QTFunc(Y34),", ",QTFunc(Z34),", ",IF(AA34&lt;&gt;"",CONCATENATE("{ ",AA34," }"),"{ }"),", ",QTFunc(AB34),", ",PaarListe(D34:M34,O34:X34)," )"),"nein")</f>
        <v xml:space="preserve">   .AddReference("Person2FamilyStatus",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111</v>
      </c>
      <c r="B36" t="s">
        <v>973</v>
      </c>
      <c r="C36" t="s">
        <v>476</v>
      </c>
      <c r="D36" s="8">
        <v>1</v>
      </c>
      <c r="E36" s="8"/>
      <c r="F36" s="8"/>
      <c r="G36" s="8"/>
      <c r="H36" s="8"/>
      <c r="I36" s="8"/>
      <c r="J36" s="8"/>
      <c r="K36" s="8"/>
      <c r="L36" s="8"/>
      <c r="M36" s="8"/>
      <c r="N36" t="s">
        <v>110</v>
      </c>
      <c r="O36" s="8">
        <v>1</v>
      </c>
      <c r="P36" s="8"/>
      <c r="Q36" s="8"/>
      <c r="R36" s="8"/>
      <c r="S36" s="8"/>
      <c r="T36" s="8"/>
      <c r="U36" s="8"/>
      <c r="V36" s="8"/>
      <c r="W36" s="8"/>
      <c r="X36" s="8"/>
      <c r="Y36" t="s">
        <v>352</v>
      </c>
      <c r="Z36" t="s">
        <v>402</v>
      </c>
      <c r="AA36">
        <v>2</v>
      </c>
      <c r="AB36" t="s">
        <v>389</v>
      </c>
      <c r="AC36" s="5" t="str" cm="1">
        <f t="array" ref="AC36">IF(LängeListe(D36:M36)=LängeListe(O36:X36),CONCATENATE("   .AddReference(",QTFunc(B36),", ",CONCATENATE("EMyReferenceType::",C36),",  ",QTFunc(N36),", ",QTFunc(Y36),", ",QTFunc(Z36),", ",IF(AA36&lt;&gt;"",CONCATENATE("{ ",AA36," }"),"{ }"),", ",QTFunc(AB36),", ",PaarListe(D36:M36,O36:X36)," )"),"nein")</f>
        <v xml:space="preserve">   .AddReference("Phone2Person", EMyReferenceType::composition,  "Person", "owns", "1 : n", { 2 }, "part of relationship from a phone number to the person who own it", { {1,1} } )</v>
      </c>
    </row>
    <row r="37" spans="1:29" x14ac:dyDescent="0.45">
      <c r="A37" t="s">
        <v>111</v>
      </c>
      <c r="B37" t="s">
        <v>974</v>
      </c>
      <c r="C37" t="s">
        <v>92</v>
      </c>
      <c r="D37" s="8">
        <v>2</v>
      </c>
      <c r="E37" s="8"/>
      <c r="F37" s="8"/>
      <c r="G37" s="8"/>
      <c r="H37" s="8"/>
      <c r="I37" s="8"/>
      <c r="J37" s="8"/>
      <c r="K37" s="8"/>
      <c r="L37" s="8"/>
      <c r="M37" s="8"/>
      <c r="N37" t="s">
        <v>141</v>
      </c>
      <c r="O37" s="8">
        <v>1</v>
      </c>
      <c r="P37" s="8"/>
      <c r="Q37" s="8"/>
      <c r="R37" s="8"/>
      <c r="S37" s="8"/>
      <c r="T37" s="8"/>
      <c r="U37" s="8"/>
      <c r="V37" s="8"/>
      <c r="W37" s="8"/>
      <c r="X37" s="8"/>
      <c r="Y37" t="s">
        <v>348</v>
      </c>
      <c r="Z37" t="s">
        <v>477</v>
      </c>
      <c r="AA37">
        <v>2</v>
      </c>
      <c r="AB37" t="s">
        <v>390</v>
      </c>
      <c r="AC37" s="5" t="str" cm="1">
        <f t="array" ref="AC37">IF(LängeListe(D37:M37)=LängeListe(O37:X37),CONCATENATE("   .AddReference(",QTFunc(B37),", ",CONCATENATE("EMyReferenceType::",C37),",  ",QTFunc(N37),", ",QTFunc(Y37),", ",QTFunc(Z37),", ",IF(AA37&lt;&gt;"",CONCATENATE("{ ",AA37," }"),"{ }"),", ",QTFunc(AB37),", ",PaarListe(D37:M37,O37:X37)," )"),"nein")</f>
        <v xml:space="preserve">   .AddReference("Phone2Type", EMyReferenceType::range,  "PhonesTypes", "has values", "n : 1", { 2 }, "range value to extent the relationship of a person to a phone number", { {2,1} } )</v>
      </c>
    </row>
    <row r="38" spans="1:29" x14ac:dyDescent="0.45">
      <c r="A38" t="s">
        <v>111</v>
      </c>
      <c r="B38" t="s">
        <v>975</v>
      </c>
      <c r="C38" t="s">
        <v>93</v>
      </c>
      <c r="D38" s="8">
        <v>5</v>
      </c>
      <c r="E38" s="8"/>
      <c r="F38" s="8"/>
      <c r="G38" s="8"/>
      <c r="H38" s="8"/>
      <c r="I38" s="8"/>
      <c r="J38" s="8"/>
      <c r="K38" s="8"/>
      <c r="L38" s="8"/>
      <c r="M38" s="8"/>
      <c r="N38" t="s">
        <v>102</v>
      </c>
      <c r="O38" s="8">
        <v>1</v>
      </c>
      <c r="P38" s="8"/>
      <c r="Q38" s="8"/>
      <c r="R38" s="8"/>
      <c r="S38" s="8"/>
      <c r="T38" s="8"/>
      <c r="U38" s="8"/>
      <c r="V38" s="8"/>
      <c r="W38" s="8"/>
      <c r="X38" s="8"/>
      <c r="Y38" t="s">
        <v>349</v>
      </c>
      <c r="Z38" t="s">
        <v>477</v>
      </c>
      <c r="AA38">
        <v>2</v>
      </c>
      <c r="AB38" t="s">
        <v>391</v>
      </c>
      <c r="AC38" s="5" t="str" cm="1">
        <f t="array" ref="AC38">IF(LängeListe(D38:M38)=LängeListe(O38:X38),CONCATENATE("   .AddReference(",QTFunc(B38),", ",CONCATENATE("EMyReferenceType::",C38),",  ",QTFunc(N38),", ",QTFunc(Y38),", ",QTFunc(Z38),", ",IF(AA38&lt;&gt;"",CONCATENATE("{ ",AA38," }"),"{ }"),", ",QTFunc(AB38),", ",PaarListe(D38:M38,O38:X38)," )"),"nein")</f>
        <v xml:space="preserve">   .AddReference("Phone2Countries",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699</v>
      </c>
      <c r="B40" t="s">
        <v>976</v>
      </c>
      <c r="C40" t="s">
        <v>92</v>
      </c>
      <c r="D40" s="8">
        <v>5</v>
      </c>
      <c r="E40" s="8"/>
      <c r="F40" s="8"/>
      <c r="G40" s="8"/>
      <c r="H40" s="8"/>
      <c r="I40" s="8"/>
      <c r="J40" s="8"/>
      <c r="K40" s="8"/>
      <c r="L40" s="8"/>
      <c r="M40" s="8"/>
      <c r="N40" t="s">
        <v>702</v>
      </c>
      <c r="O40" s="8">
        <v>1</v>
      </c>
      <c r="P40" s="8"/>
      <c r="Q40" s="8"/>
      <c r="R40" s="8"/>
      <c r="S40" s="8"/>
      <c r="T40" s="8"/>
      <c r="U40" s="8"/>
      <c r="V40" s="8"/>
      <c r="W40" s="8"/>
      <c r="X40" s="8"/>
      <c r="Y40" t="s">
        <v>348</v>
      </c>
      <c r="Z40" t="s">
        <v>477</v>
      </c>
      <c r="AA40">
        <v>2</v>
      </c>
      <c r="AB40" t="s">
        <v>760</v>
      </c>
      <c r="AC40" s="5" t="str" cm="1">
        <f t="array" ref="AC40">IF(LängeListe(D40:M40)=LängeListe(O40:X40),CONCATENATE("   .AddReference(",QTFunc(B40),", ",CONCATENATE("EMyReferenceType::",C40),",  ",QTFunc(N40),", ",QTFunc(Y40),", ",QTFunc(Z40),", ",IF(AA40&lt;&gt;"",CONCATENATE("{ ",AA40," }"),"{ }"),", ",QTFunc(AB40),", ",PaarListe(D40:M40,O40:X40)," )"),"nein")</f>
        <v xml:space="preserve">   .AddReference("SalaryType2SalaryBase",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553</v>
      </c>
      <c r="B42" t="s">
        <v>977</v>
      </c>
      <c r="C42" t="s">
        <v>93</v>
      </c>
      <c r="D42" s="8">
        <v>1</v>
      </c>
      <c r="E42" s="8"/>
      <c r="F42" s="8"/>
      <c r="G42" s="8"/>
      <c r="H42" s="8"/>
      <c r="I42" s="8"/>
      <c r="J42" s="8"/>
      <c r="K42" s="8"/>
      <c r="L42" s="8"/>
      <c r="M42" s="8"/>
      <c r="N42" t="s">
        <v>737</v>
      </c>
      <c r="O42" s="8">
        <v>1</v>
      </c>
      <c r="P42" s="8"/>
      <c r="Q42" s="8"/>
      <c r="R42" s="8"/>
      <c r="S42" s="8"/>
      <c r="T42" s="8"/>
      <c r="U42" s="8"/>
      <c r="V42" s="8"/>
      <c r="W42" s="8"/>
      <c r="X42" s="8"/>
      <c r="Y42" t="s">
        <v>764</v>
      </c>
      <c r="Z42" s="9" t="s">
        <v>802</v>
      </c>
      <c r="AB42" t="s">
        <v>765</v>
      </c>
      <c r="AC42" s="5" t="str" cm="1">
        <f t="array" ref="AC42">IF(LängeListe(D42:M42)=LängeListe(O42:X42),CONCATENATE("   .AddReference(",QTFunc(B42),", ",CONCATENATE("EMyReferenceType::",C42),",  ",QTFunc(N42),", ",QTFunc(Y42),", ",QTFunc(Z42),", ",IF(AA42&lt;&gt;"",CONCATENATE("{ ",AA42," }"),"{ }"),", ",QTFunc(AB42),", ",PaarListe(D42:M42,O42:X42)," )"),"nein")</f>
        <v xml:space="preserve">   .AddReference("WD_Holidays_Workdays",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640</v>
      </c>
      <c r="B44" t="s">
        <v>978</v>
      </c>
      <c r="C44" t="s">
        <v>476</v>
      </c>
      <c r="D44" s="8">
        <v>1</v>
      </c>
      <c r="E44" s="8"/>
      <c r="F44" s="8"/>
      <c r="G44" s="8"/>
      <c r="H44" s="8"/>
      <c r="I44" s="8"/>
      <c r="J44" s="8"/>
      <c r="K44" s="8"/>
      <c r="L44" s="8"/>
      <c r="M44" s="8"/>
      <c r="N44" t="s">
        <v>104</v>
      </c>
      <c r="O44" s="8">
        <v>1</v>
      </c>
      <c r="P44" s="8"/>
      <c r="Q44" s="8"/>
      <c r="R44" s="8"/>
      <c r="S44" s="8"/>
      <c r="T44" s="8"/>
      <c r="U44" s="8"/>
      <c r="V44" s="8"/>
      <c r="W44" s="8"/>
      <c r="X44" s="8"/>
      <c r="Y44" t="s">
        <v>681</v>
      </c>
      <c r="Z44" t="s">
        <v>402</v>
      </c>
      <c r="AB44" t="s">
        <v>682</v>
      </c>
      <c r="AC44" s="5" t="str" cm="1">
        <f t="array" ref="AC44">IF(LängeListe(D44:M44)=LängeListe(O44:X44),CONCATENATE("   .AddReference(",QTFunc(B44),", ",CONCATENATE("EMyReferenceType::",C44),",  ",QTFunc(N44),", ",QTFunc(Y44),", ",QTFunc(Z44),", ",IF(AA44&lt;&gt;"",CONCATENATE("{ ",AA44," }"),"{ }"),", ",QTFunc(AB44),", ",PaarListe(D44:M44,O44:X44)," )"),"nein")</f>
        <v xml:space="preserve">   .AddReference("NonWorking2Employee", EMyReferenceType::composition,  "Employees", "idled", "1 : n", { }, "part of relationship to idle times / times of non working", { {1,1} } )</v>
      </c>
    </row>
    <row r="45" spans="1:29" x14ac:dyDescent="0.45">
      <c r="A45" t="s">
        <v>640</v>
      </c>
      <c r="B45" t="s">
        <v>979</v>
      </c>
      <c r="C45" t="s">
        <v>93</v>
      </c>
      <c r="D45" s="8">
        <v>2</v>
      </c>
      <c r="E45" s="8"/>
      <c r="F45" s="8"/>
      <c r="G45" s="8"/>
      <c r="H45" s="8"/>
      <c r="I45" s="8"/>
      <c r="J45" s="8"/>
      <c r="K45" s="8"/>
      <c r="L45" s="8"/>
      <c r="M45" s="8"/>
      <c r="N45" t="s">
        <v>737</v>
      </c>
      <c r="O45" s="8">
        <v>1</v>
      </c>
      <c r="P45" s="8"/>
      <c r="Q45" s="8"/>
      <c r="R45" s="8"/>
      <c r="S45" s="8"/>
      <c r="T45" s="8"/>
      <c r="U45" s="8"/>
      <c r="V45" s="8"/>
      <c r="W45" s="8"/>
      <c r="X45" s="8"/>
      <c r="Y45" t="s">
        <v>784</v>
      </c>
      <c r="Z45" t="s">
        <v>477</v>
      </c>
      <c r="AB45" t="s">
        <v>785</v>
      </c>
      <c r="AC45" s="5" t="str" cm="1">
        <f t="array" ref="AC45">IF(LängeListe(D45:M45)=LängeListe(O45:X45),CONCATENATE("   .AddReference(",QTFunc(B45),", ",CONCATENATE("EMyReferenceType::",C45),",  ",QTFunc(N45),", ",QTFunc(Y45),", ",QTFunc(Z45),", ",IF(AA45&lt;&gt;"",CONCATENATE("{ ",AA45," }"),"{ }"),", ",QTFunc(AB45),", ",PaarListe(D45:M45,O45:X45)," )"),"nein")</f>
        <v xml:space="preserve">   .AddReference("NonWorking2Workday_Start", EMyReferenceType::assoziation,  "WD_Workdays", "is at", "n : 1", { }, "assoziation between the non-working time and the working days for the begin", { {2,1} } )</v>
      </c>
    </row>
    <row r="46" spans="1:29" x14ac:dyDescent="0.45">
      <c r="A46" t="s">
        <v>640</v>
      </c>
      <c r="B46" t="s">
        <v>980</v>
      </c>
      <c r="C46" t="s">
        <v>93</v>
      </c>
      <c r="D46" s="8">
        <v>3</v>
      </c>
      <c r="E46" s="8"/>
      <c r="F46" s="8"/>
      <c r="G46" s="8"/>
      <c r="H46" s="8"/>
      <c r="I46" s="8"/>
      <c r="J46" s="8"/>
      <c r="K46" s="8"/>
      <c r="L46" s="8"/>
      <c r="M46" s="8"/>
      <c r="N46" t="s">
        <v>737</v>
      </c>
      <c r="O46" s="8">
        <v>1</v>
      </c>
      <c r="P46" s="8"/>
      <c r="Q46" s="8"/>
      <c r="R46" s="8"/>
      <c r="S46" s="8"/>
      <c r="T46" s="8"/>
      <c r="U46" s="8"/>
      <c r="V46" s="8"/>
      <c r="W46" s="8"/>
      <c r="X46" s="8"/>
      <c r="Y46" t="s">
        <v>784</v>
      </c>
      <c r="Z46" t="s">
        <v>477</v>
      </c>
      <c r="AB46" t="s">
        <v>786</v>
      </c>
      <c r="AC46" s="5" t="str" cm="1">
        <f t="array" ref="AC46">IF(LängeListe(D46:M46)=LängeListe(O46:X46),CONCATENATE("   .AddReference(",QTFunc(B46),", ",CONCATENATE("EMyReferenceType::",C46),",  ",QTFunc(N46),", ",QTFunc(Y46),", ",QTFunc(Z46),", ",IF(AA46&lt;&gt;"",CONCATENATE("{ ",AA46," }"),"{ }"),", ",QTFunc(AB46),", ",PaarListe(D46:M46,O46:X46)," )"),"nein")</f>
        <v xml:space="preserve">   .AddReference("NonWorking2Workday_Finishing", EMyReferenceType::assoziation,  "WD_Workdays", "is at", "n : 1", { }, "assoziation between the non-working time and the working days for the end", { {3,1} } )</v>
      </c>
    </row>
    <row r="47" spans="1:29" x14ac:dyDescent="0.45">
      <c r="A47" t="s">
        <v>640</v>
      </c>
      <c r="B47" t="s">
        <v>981</v>
      </c>
      <c r="C47" t="s">
        <v>92</v>
      </c>
      <c r="D47" s="8">
        <v>4</v>
      </c>
      <c r="E47" s="8"/>
      <c r="F47" s="8"/>
      <c r="G47" s="8"/>
      <c r="H47" s="8"/>
      <c r="I47" s="8"/>
      <c r="J47" s="8"/>
      <c r="K47" s="8"/>
      <c r="L47" s="8"/>
      <c r="M47" s="8"/>
      <c r="N47" t="s">
        <v>646</v>
      </c>
      <c r="O47" s="8">
        <v>1</v>
      </c>
      <c r="P47" s="8"/>
      <c r="Q47" s="8"/>
      <c r="R47" s="8"/>
      <c r="S47" s="8"/>
      <c r="T47" s="8"/>
      <c r="U47" s="8"/>
      <c r="V47" s="8"/>
      <c r="W47" s="8"/>
      <c r="X47" s="8"/>
      <c r="Y47" t="s">
        <v>348</v>
      </c>
      <c r="Z47" t="s">
        <v>477</v>
      </c>
      <c r="AA47">
        <v>2</v>
      </c>
      <c r="AB47" t="s">
        <v>683</v>
      </c>
      <c r="AC47" s="5" t="str" cm="1">
        <f t="array" ref="AC47">IF(LängeListe(D47:M47)=LängeListe(O47:X47),CONCATENATE("   .AddReference(",QTFunc(B47),", ",CONCATENATE("EMyReferenceType::",C47),",  ",QTFunc(N47),", ",QTFunc(Y47),", ",QTFunc(Z47),", ",IF(AA47&lt;&gt;"",CONCATENATE("{ ",AA47," }"),"{ }"),", ",QTFunc(AB47),", ",PaarListe(D47:M47,O47:X47)," )"),"nein")</f>
        <v xml:space="preserve">   .AddReference("NonWorking2Reason",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737</v>
      </c>
      <c r="B49" t="s">
        <v>982</v>
      </c>
      <c r="C49" t="s">
        <v>92</v>
      </c>
      <c r="D49" s="8">
        <v>2</v>
      </c>
      <c r="E49" s="8"/>
      <c r="F49" s="8"/>
      <c r="G49" s="8"/>
      <c r="H49" s="8"/>
      <c r="I49" s="8"/>
      <c r="J49" s="8"/>
      <c r="K49" s="8"/>
      <c r="L49" s="8"/>
      <c r="M49" s="8"/>
      <c r="N49" t="s">
        <v>539</v>
      </c>
      <c r="O49" s="8">
        <v>1</v>
      </c>
      <c r="P49" s="8"/>
      <c r="Q49" s="8"/>
      <c r="R49" s="8"/>
      <c r="S49" s="8"/>
      <c r="T49" s="8"/>
      <c r="U49" s="8"/>
      <c r="V49" s="8"/>
      <c r="W49" s="8"/>
      <c r="X49" s="8"/>
      <c r="Y49" t="s">
        <v>348</v>
      </c>
      <c r="Z49" t="s">
        <v>477</v>
      </c>
      <c r="AA49">
        <v>2</v>
      </c>
      <c r="AB49" t="s">
        <v>761</v>
      </c>
      <c r="AC49" s="5" t="str" cm="1">
        <f t="array" ref="AC49">IF(LängeListe(D49:M49)=LängeListe(O49:X49),CONCATENATE("   .AddReference(",QTFunc(B49),", ",CONCATENATE("EMyReferenceType::",C49),",  ",QTFunc(N49),", ",QTFunc(Y49),", ",QTFunc(Z49),", ",IF(AA49&lt;&gt;"",CONCATENATE("{ ",AA49," }"),"{ }"),", ",QTFunc(AB49),", ",PaarListe(D49:M49,O49:X49)," )"),"nein")</f>
        <v xml:space="preserve">   .AddReference("WD_Workdays2WeekDay", EMyReferenceType::range,  "WD_Weekdays", "has values", "n : 1", { 2 }, "range value for the calendar weekday", { {2,1} } )</v>
      </c>
    </row>
    <row r="50" spans="1:29" x14ac:dyDescent="0.45">
      <c r="A50" t="s">
        <v>737</v>
      </c>
      <c r="B50" t="s">
        <v>983</v>
      </c>
      <c r="C50" t="s">
        <v>92</v>
      </c>
      <c r="D50" s="8">
        <v>5</v>
      </c>
      <c r="E50" s="8"/>
      <c r="F50" s="8"/>
      <c r="G50" s="8"/>
      <c r="H50" s="8"/>
      <c r="I50" s="8"/>
      <c r="J50" s="8"/>
      <c r="K50" s="8"/>
      <c r="L50" s="8"/>
      <c r="M50" s="8"/>
      <c r="N50" t="s">
        <v>540</v>
      </c>
      <c r="O50" s="8">
        <v>1</v>
      </c>
      <c r="P50" s="8"/>
      <c r="Q50" s="8"/>
      <c r="R50" s="8"/>
      <c r="S50" s="8"/>
      <c r="T50" s="8"/>
      <c r="U50" s="8"/>
      <c r="V50" s="8"/>
      <c r="W50" s="8"/>
      <c r="X50" s="8"/>
      <c r="Y50" t="s">
        <v>348</v>
      </c>
      <c r="Z50" t="s">
        <v>477</v>
      </c>
      <c r="AA50">
        <v>2</v>
      </c>
      <c r="AB50" t="s">
        <v>762</v>
      </c>
      <c r="AC50" s="5" t="str" cm="1">
        <f t="array" ref="AC50">IF(LängeListe(D50:M50)=LängeListe(O50:X50),CONCATENATE("   .AddReference(",QTFunc(B50),", ",CONCATENATE("EMyReferenceType::",C50),",  ",QTFunc(N50),", ",QTFunc(Y50),", ",QTFunc(Z50),", ",IF(AA50&lt;&gt;"",CONCATENATE("{ ",AA50," }"),"{ }"),", ",QTFunc(AB50),", ",PaarListe(D50:M50,O50:X50)," )"),"nein")</f>
        <v xml:space="preserve">   .AddReference("WD_Workdays2Month",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168</v>
      </c>
      <c r="B52" t="s">
        <v>984</v>
      </c>
      <c r="C52" t="s">
        <v>476</v>
      </c>
      <c r="D52" s="8">
        <v>1</v>
      </c>
      <c r="E52" s="8"/>
      <c r="F52" s="8"/>
      <c r="G52" s="8"/>
      <c r="H52" s="8"/>
      <c r="I52" s="8"/>
      <c r="J52" s="8"/>
      <c r="K52" s="8"/>
      <c r="L52" s="8"/>
      <c r="M52" s="8"/>
      <c r="N52" t="s">
        <v>104</v>
      </c>
      <c r="O52" s="8">
        <v>1</v>
      </c>
      <c r="P52" s="8"/>
      <c r="Q52" s="8"/>
      <c r="R52" s="8"/>
      <c r="S52" s="8"/>
      <c r="T52" s="8"/>
      <c r="U52" s="8"/>
      <c r="V52" s="8"/>
      <c r="W52" s="8"/>
      <c r="X52" s="8"/>
      <c r="Y52" t="s">
        <v>400</v>
      </c>
      <c r="Z52" t="s">
        <v>402</v>
      </c>
      <c r="AB52" t="s">
        <v>401</v>
      </c>
      <c r="AC52" s="5" t="str" cm="1">
        <f t="array" ref="AC52">IF(LängeListe(D52:M52)=LängeListe(O52:X52),CONCATENATE("   .AddReference(",QTFunc(B52),", ",CONCATENATE("EMyReferenceType::",C52),",  ",QTFunc(N52),", ",QTFunc(Y52),", ",QTFunc(Z52),", ",IF(AA52&lt;&gt;"",CONCATENATE("{ ",AA52," }"),"{ }"),", ",QTFunc(AB52),", ",PaarListe(D52:M52,O52:X52)," )"),"nein")</f>
        <v xml:space="preserve">   .AddReference("WorkTime2Employee", EMyReferenceType::composition,  "Employees", "worked", "1 : n", { }, "part of relationship of work times to the employees", { {1,1} } )</v>
      </c>
    </row>
    <row r="53" spans="1:29" x14ac:dyDescent="0.45">
      <c r="D53" s="8"/>
      <c r="E53" s="8"/>
      <c r="F53" s="8"/>
      <c r="G53" s="8"/>
      <c r="H53" s="8"/>
      <c r="I53" s="8"/>
      <c r="J53" s="8"/>
      <c r="K53" s="8"/>
      <c r="L53" s="8"/>
      <c r="M53" s="8"/>
      <c r="O53" s="8"/>
      <c r="P53" s="8"/>
      <c r="Q53" s="8"/>
      <c r="R53" s="8"/>
      <c r="S53" s="8"/>
      <c r="T53" s="8"/>
      <c r="U53" s="8"/>
      <c r="V53" s="8"/>
      <c r="W53" s="8"/>
      <c r="X53" s="8"/>
      <c r="AC53" s="5"/>
    </row>
    <row r="54" spans="1:29" ht="14.65" thickBot="1" x14ac:dyDescent="0.5">
      <c r="D54" s="8"/>
      <c r="E54" s="8"/>
      <c r="F54" s="8"/>
      <c r="G54" s="8"/>
      <c r="H54" s="8"/>
      <c r="I54" s="8"/>
      <c r="J54" s="8"/>
      <c r="K54" s="8"/>
      <c r="L54" s="8"/>
      <c r="M54" s="8"/>
      <c r="O54" s="8"/>
      <c r="P54" s="8"/>
      <c r="Q54" s="8"/>
      <c r="R54" s="8"/>
      <c r="S54" s="8"/>
      <c r="T54" s="8"/>
      <c r="U54" s="8"/>
      <c r="V54" s="8"/>
      <c r="W54" s="8"/>
      <c r="X54" s="8"/>
      <c r="AC54" s="5"/>
    </row>
    <row r="55" spans="1:29" s="14" customFormat="1" ht="14.65" thickTop="1" x14ac:dyDescent="0.45">
      <c r="D55" s="17"/>
      <c r="E55" s="17"/>
      <c r="F55" s="17"/>
      <c r="G55" s="17"/>
      <c r="H55" s="17"/>
      <c r="I55" s="17"/>
      <c r="J55" s="17"/>
      <c r="K55" s="17"/>
      <c r="L55" s="17"/>
      <c r="M55" s="17"/>
      <c r="O55" s="17"/>
      <c r="P55" s="17"/>
      <c r="Q55" s="17"/>
      <c r="R55" s="17"/>
      <c r="S55" s="17"/>
      <c r="T55" s="17"/>
      <c r="U55" s="17"/>
      <c r="V55" s="17"/>
      <c r="W55" s="17"/>
      <c r="X55" s="17"/>
      <c r="AC55" s="18"/>
    </row>
    <row r="56" spans="1:29" x14ac:dyDescent="0.45">
      <c r="A56" t="s">
        <v>884</v>
      </c>
      <c r="B56" t="s">
        <v>894</v>
      </c>
      <c r="C56" t="s">
        <v>91</v>
      </c>
      <c r="D56" s="8">
        <v>1</v>
      </c>
      <c r="E56" s="8"/>
      <c r="F56" s="8"/>
      <c r="G56" s="8"/>
      <c r="H56" s="8"/>
      <c r="I56" s="8"/>
      <c r="J56" s="8"/>
      <c r="K56" s="8"/>
      <c r="L56" s="8"/>
      <c r="M56" s="8"/>
      <c r="N56" t="s">
        <v>110</v>
      </c>
      <c r="O56" s="8">
        <v>1</v>
      </c>
      <c r="P56" s="8"/>
      <c r="Q56" s="8"/>
      <c r="R56" s="8"/>
      <c r="S56" s="8"/>
      <c r="T56" s="8"/>
      <c r="U56" s="8"/>
      <c r="V56" s="8"/>
      <c r="W56" s="8"/>
      <c r="X56" s="8"/>
      <c r="AA56">
        <v>9</v>
      </c>
      <c r="AB56" t="s">
        <v>900</v>
      </c>
      <c r="AC56" s="5" t="str" cm="1">
        <f t="array" ref="AC56">IF(LängeListe(D56:M56)=LängeListe(O56:X56),CONCATENATE("   .AddReference(",QTFunc(B56),", ",CONCATENATE("EMyReferenceType::",C56),",  ",QTFunc(N56),", ",QTFunc(Y56),", ",QTFunc(Z56),", ",IF(AA56&lt;&gt;"",CONCATENATE("{ ",AA56," }"),"{ }"),", ",QTFunc(AB56),", ",PaarListe(D56:M56,O56:X56)," )"),"nein")</f>
        <v xml:space="preserve">   .AddReference("refContacts2Person", EMyReferenceType::generalization,  "Person", "", "", { 9 }, "generalization of a contact to a person (is-a relationship)", { {1,1} } )</v>
      </c>
    </row>
    <row r="57" spans="1:29" x14ac:dyDescent="0.45">
      <c r="A57" t="s">
        <v>884</v>
      </c>
      <c r="B57" t="s">
        <v>895</v>
      </c>
      <c r="C57" t="s">
        <v>476</v>
      </c>
      <c r="D57" s="8">
        <v>2</v>
      </c>
      <c r="E57" s="8"/>
      <c r="F57" s="8"/>
      <c r="G57" s="8"/>
      <c r="H57" s="8"/>
      <c r="I57" s="8"/>
      <c r="J57" s="8"/>
      <c r="K57" s="8"/>
      <c r="L57" s="8"/>
      <c r="M57" s="8"/>
      <c r="N57" t="s">
        <v>825</v>
      </c>
      <c r="O57" s="8">
        <v>1</v>
      </c>
      <c r="P57" s="8"/>
      <c r="Q57" s="8"/>
      <c r="R57" s="8"/>
      <c r="S57" s="8"/>
      <c r="T57" s="8"/>
      <c r="U57" s="8"/>
      <c r="V57" s="8"/>
      <c r="W57" s="8"/>
      <c r="X57" s="8"/>
      <c r="Z57" t="s">
        <v>402</v>
      </c>
      <c r="AB57" t="s">
        <v>898</v>
      </c>
      <c r="AC57" s="5" t="str" cm="1">
        <f t="array" ref="AC57">IF(LängeListe(D57:M57)=LängeListe(O57:X57),CONCATENATE("   .AddReference(",QTFunc(B57),", ",CONCATENATE("EMyReferenceType::",C57),",  ",QTFunc(N57),", ",QTFunc(Y57),", ",QTFunc(Z57),", ",IF(AA57&lt;&gt;"",CONCATENATE("{ ",AA57," }"),"{ }"),", ",QTFunc(AB57),", ",PaarListe(D57:M57,O57:X57)," )"),"nein")</f>
        <v xml:space="preserve">   .AddReference("refContacts2Customer", EMyReferenceType::composition,  "Customers", "", "1 : n", { }, "part of relationship of the contact to a customer", { {2,1} } )</v>
      </c>
    </row>
    <row r="58" spans="1:29" x14ac:dyDescent="0.45">
      <c r="A58" t="s">
        <v>884</v>
      </c>
      <c r="B58" t="s">
        <v>896</v>
      </c>
      <c r="C58" t="s">
        <v>92</v>
      </c>
      <c r="D58" s="8">
        <v>3</v>
      </c>
      <c r="E58" s="8"/>
      <c r="F58" s="8"/>
      <c r="G58" s="8"/>
      <c r="H58" s="8"/>
      <c r="I58" s="8"/>
      <c r="J58" s="8"/>
      <c r="K58" s="8"/>
      <c r="L58" s="8"/>
      <c r="M58" s="8"/>
      <c r="N58" t="s">
        <v>857</v>
      </c>
      <c r="O58" s="8">
        <v>1</v>
      </c>
      <c r="P58" s="8"/>
      <c r="Q58" s="8"/>
      <c r="R58" s="8"/>
      <c r="S58" s="8"/>
      <c r="T58" s="8"/>
      <c r="U58" s="8"/>
      <c r="V58" s="8"/>
      <c r="W58" s="8"/>
      <c r="X58" s="8"/>
      <c r="Y58" t="s">
        <v>348</v>
      </c>
      <c r="Z58" s="9" t="s">
        <v>477</v>
      </c>
      <c r="AA58">
        <v>2</v>
      </c>
      <c r="AB58" t="s">
        <v>897</v>
      </c>
      <c r="AC58" s="5" t="str" cm="1">
        <f t="array" ref="AC58">IF(LängeListe(D58:M58)=LängeListe(O58:X58),CONCATENATE("   .AddReference(",QTFunc(B58),", ",CONCATENATE("EMyReferenceType::",C58),",  ",QTFunc(N58),", ",QTFunc(Y58),", ",QTFunc(Z58),", ",IF(AA58&lt;&gt;"",CONCATENATE("{ ",AA58," }"),"{ }"),", ",QTFunc(AB58),", ",PaarListe(D58:M58,O58:X58)," )"),"nein")</f>
        <v xml:space="preserve">   .AddReference("refContacts2Liaison", EMyReferenceType::range,  "CustLiaison", "has values", "n : 1", { 2 }, "range values as domain for the attribute CustLiaison", { {3,1} } )</v>
      </c>
    </row>
    <row r="59" spans="1:29" x14ac:dyDescent="0.45">
      <c r="D59" s="8"/>
      <c r="E59" s="8"/>
      <c r="F59" s="8"/>
      <c r="G59" s="8"/>
      <c r="H59" s="8"/>
      <c r="I59" s="8"/>
      <c r="J59" s="8"/>
      <c r="K59" s="8"/>
      <c r="L59" s="8"/>
      <c r="M59" s="8"/>
      <c r="O59" s="8"/>
      <c r="P59" s="8"/>
      <c r="Q59" s="8"/>
      <c r="R59" s="8"/>
      <c r="S59" s="8"/>
      <c r="T59" s="8"/>
      <c r="U59" s="8"/>
      <c r="V59" s="8"/>
      <c r="W59" s="8"/>
      <c r="X59" s="8"/>
      <c r="AC59" s="5"/>
    </row>
    <row r="60" spans="1:29" x14ac:dyDescent="0.45">
      <c r="A60" t="s">
        <v>825</v>
      </c>
      <c r="B60" t="s">
        <v>988</v>
      </c>
      <c r="C60" t="s">
        <v>91</v>
      </c>
      <c r="D60" s="8">
        <v>1</v>
      </c>
      <c r="E60" s="8"/>
      <c r="F60" s="8"/>
      <c r="G60" s="8"/>
      <c r="H60" s="8"/>
      <c r="I60" s="8"/>
      <c r="J60" s="8"/>
      <c r="K60" s="8"/>
      <c r="L60" s="8"/>
      <c r="M60" s="8"/>
      <c r="N60" t="s">
        <v>110</v>
      </c>
      <c r="O60" s="8">
        <v>1</v>
      </c>
      <c r="P60" s="8"/>
      <c r="Q60" s="8"/>
      <c r="R60" s="8"/>
      <c r="S60" s="8"/>
      <c r="T60" s="8"/>
      <c r="U60" s="8"/>
      <c r="V60" s="8"/>
      <c r="W60" s="8"/>
      <c r="X60" s="8"/>
      <c r="Y60" t="s">
        <v>345</v>
      </c>
      <c r="Z60" s="9" t="s">
        <v>478</v>
      </c>
      <c r="AA60">
        <v>9</v>
      </c>
      <c r="AB60" t="s">
        <v>899</v>
      </c>
      <c r="AC60" s="5" t="str" cm="1">
        <f t="array" ref="AC60">IF(LängeListe(D60:M60)=LängeListe(O60:X60),CONCATENATE("   .AddReference(",QTFunc(B60),", ",CONCATENATE("EMyReferenceType::",C60),",  ",QTFunc(N60),", ",QTFunc(Y60),", ",QTFunc(Z60),", ",IF(AA60&lt;&gt;"",CONCATENATE("{ ",AA60," }"),"{ }"),", ",QTFunc(AB60),", ",PaarListe(D60:M60,O60:X60)," )"),"nein")</f>
        <v xml:space="preserve">   .AddReference("Customers2Person", EMyReferenceType::generalization,  "Person", "is-a", "1 : 1", { 9 }, "generalization of a custumer to a person (is-a relationship)", { {1,1} } )</v>
      </c>
    </row>
    <row r="61" spans="1:29" x14ac:dyDescent="0.45">
      <c r="A61" t="s">
        <v>825</v>
      </c>
      <c r="B61" t="s">
        <v>987</v>
      </c>
      <c r="C61" t="s">
        <v>92</v>
      </c>
      <c r="D61" s="8">
        <v>3</v>
      </c>
      <c r="E61" s="8"/>
      <c r="F61" s="8"/>
      <c r="G61" s="8"/>
      <c r="H61" s="8"/>
      <c r="I61" s="8"/>
      <c r="J61" s="8"/>
      <c r="K61" s="8"/>
      <c r="L61" s="8"/>
      <c r="M61" s="8"/>
      <c r="N61" t="s">
        <v>826</v>
      </c>
      <c r="O61" s="8">
        <v>1</v>
      </c>
      <c r="P61" s="8"/>
      <c r="Q61" s="8"/>
      <c r="R61" s="8"/>
      <c r="S61" s="8"/>
      <c r="T61" s="8"/>
      <c r="U61" s="8"/>
      <c r="V61" s="8"/>
      <c r="W61" s="8"/>
      <c r="X61" s="8"/>
      <c r="Y61" t="s">
        <v>348</v>
      </c>
      <c r="Z61" s="9" t="s">
        <v>477</v>
      </c>
      <c r="AA61">
        <v>2</v>
      </c>
      <c r="AB61" t="s">
        <v>827</v>
      </c>
      <c r="AC61" s="5" t="str" cm="1">
        <f t="array" ref="AC61">IF(LängeListe(D61:M61)=LängeListe(O61:X61),CONCATENATE("   .AddReference(",QTFunc(B61),", ",CONCATENATE("EMyReferenceType::",C61),",  ",QTFunc(N61),", ",QTFunc(Y61),", ",QTFunc(Z61),", ",IF(AA61&lt;&gt;"",CONCATENATE("{ ",AA61," }"),"{ }"),", ",QTFunc(AB61),", ",PaarListe(D61:M61,O61:X61)," )"),"nein")</f>
        <v xml:space="preserve">   .AddReference("Customers2Classification", EMyReferenceType::range,  "CustClassification", "has values", "n : 1", { 2 }, "range values as domain for the attribute CustClassification", { {3,1} } )</v>
      </c>
    </row>
    <row r="62" spans="1:29" x14ac:dyDescent="0.45">
      <c r="A62" t="s">
        <v>825</v>
      </c>
      <c r="B62" t="s">
        <v>986</v>
      </c>
      <c r="C62" t="s">
        <v>93</v>
      </c>
      <c r="D62" s="8">
        <v>2</v>
      </c>
      <c r="E62" s="8"/>
      <c r="F62" s="8"/>
      <c r="G62" s="8"/>
      <c r="H62" s="8"/>
      <c r="I62" s="8"/>
      <c r="J62" s="8"/>
      <c r="K62" s="8"/>
      <c r="L62" s="8"/>
      <c r="M62" s="8"/>
      <c r="N62" t="s">
        <v>104</v>
      </c>
      <c r="O62" s="8">
        <v>1</v>
      </c>
      <c r="P62" s="8"/>
      <c r="Q62" s="8"/>
      <c r="R62" s="8"/>
      <c r="S62" s="8"/>
      <c r="T62" s="8"/>
      <c r="U62" s="8"/>
      <c r="V62" s="8"/>
      <c r="W62" s="8"/>
      <c r="X62" s="8"/>
      <c r="Y62" t="s">
        <v>351</v>
      </c>
      <c r="Z62" t="s">
        <v>477</v>
      </c>
      <c r="AA62">
        <v>2</v>
      </c>
      <c r="AB62" t="s">
        <v>828</v>
      </c>
      <c r="AC62" s="5" t="str" cm="1">
        <f t="array" ref="AC62">IF(LängeListe(D62:M62)=LängeListe(O62:X62),CONCATENATE("   .AddReference(",QTFunc(B62),", ",CONCATENATE("EMyReferenceType::",C62),",  ",QTFunc(N62),", ",QTFunc(Y62),", ",QTFunc(Z62),", ",IF(AA62&lt;&gt;"",CONCATENATE("{ ",AA62," }"),"{ }"),", ",QTFunc(AB62),", ",PaarListe(D62:M62,O62:X62)," )"),"nein")</f>
        <v xml:space="preserve">   .AddReference("Customers2Employees_SA", EMyReferenceType::assoziation,  "Employees", "works in", "n : 1", { 2 }, "assoziations between an customer to the the employee who act as service agent", { {2,1} } )</v>
      </c>
    </row>
    <row r="63" spans="1:29" x14ac:dyDescent="0.45">
      <c r="A63" t="s">
        <v>825</v>
      </c>
      <c r="B63" t="s">
        <v>985</v>
      </c>
      <c r="C63" t="s">
        <v>92</v>
      </c>
      <c r="D63" s="8">
        <v>4</v>
      </c>
      <c r="E63" s="8"/>
      <c r="F63" s="8"/>
      <c r="G63" s="8"/>
      <c r="H63" s="8"/>
      <c r="I63" s="8"/>
      <c r="J63" s="8"/>
      <c r="K63" s="8"/>
      <c r="L63" s="8"/>
      <c r="M63" s="8"/>
      <c r="N63" t="s">
        <v>901</v>
      </c>
      <c r="O63" s="8">
        <v>1</v>
      </c>
      <c r="P63" s="8"/>
      <c r="Q63" s="8"/>
      <c r="R63" s="8"/>
      <c r="S63" s="8"/>
      <c r="T63" s="8"/>
      <c r="U63" s="8"/>
      <c r="V63" s="8"/>
      <c r="W63" s="8"/>
      <c r="X63" s="8"/>
      <c r="Y63" t="s">
        <v>348</v>
      </c>
      <c r="Z63" s="19" t="s">
        <v>477</v>
      </c>
      <c r="AA63">
        <v>3</v>
      </c>
      <c r="AB63" t="s">
        <v>936</v>
      </c>
      <c r="AC63" s="5" t="str" cm="1">
        <f t="array" ref="AC63">IF(LängeListe(D63:M63)=LängeListe(O63:X63),CONCATENATE("   .AddReference(",QTFunc(B63),", ",CONCATENATE("EMyReferenceType::",C63),",  ",QTFunc(N63),", ",QTFunc(Y63),", ",QTFunc(Z63),", ",IF(AA63&lt;&gt;"",CONCATENATE("{ ",AA63," }"),"{ }"),", ",QTFunc(AB63),", ",PaarListe(D63:M63,O63:X63)," )"),"nein")</f>
        <v xml:space="preserve">   .AddReference("Customers2LegalForms", EMyReferenceType::range,  "CorporateForm", "has values", "n : 1", { 3 }, "range values as domain for the attribute LegalForms", { {4,1}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T31"/>
  <sheetViews>
    <sheetView tabSelected="1" topLeftCell="B1" zoomScale="115" zoomScaleNormal="115" workbookViewId="0">
      <selection activeCell="E8" sqref="E8"/>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25.33203125" customWidth="1"/>
    <col min="9" max="9" width="27.796875" customWidth="1"/>
    <col min="10" max="10" width="32.59765625" customWidth="1"/>
    <col min="11" max="11" width="6.33203125" customWidth="1"/>
    <col min="12" max="12" width="39.1328125" customWidth="1"/>
    <col min="13" max="13" width="255.59765625" bestFit="1" customWidth="1"/>
  </cols>
  <sheetData>
    <row r="1" spans="1:20" x14ac:dyDescent="0.45">
      <c r="N1" t="s">
        <v>59</v>
      </c>
    </row>
    <row r="2" spans="1:20" x14ac:dyDescent="0.45">
      <c r="A2" s="1" t="s">
        <v>33</v>
      </c>
      <c r="B2" s="1" t="s">
        <v>34</v>
      </c>
      <c r="C2" s="1" t="s">
        <v>35</v>
      </c>
      <c r="D2" s="1" t="s">
        <v>36</v>
      </c>
      <c r="E2" s="1" t="s">
        <v>37</v>
      </c>
      <c r="F2" s="1" t="s">
        <v>84</v>
      </c>
      <c r="G2" s="1" t="s">
        <v>160</v>
      </c>
      <c r="H2" s="1" t="s">
        <v>941</v>
      </c>
      <c r="I2" s="1" t="s">
        <v>942</v>
      </c>
      <c r="J2" s="1" t="s">
        <v>256</v>
      </c>
      <c r="K2" s="1"/>
      <c r="L2" s="1" t="s">
        <v>58</v>
      </c>
    </row>
    <row r="3" spans="1:20" x14ac:dyDescent="0.45">
      <c r="A3" t="s">
        <v>31</v>
      </c>
      <c r="B3" t="s">
        <v>68</v>
      </c>
      <c r="C3" t="s">
        <v>56</v>
      </c>
      <c r="D3" t="s">
        <v>56</v>
      </c>
      <c r="E3" t="s">
        <v>32</v>
      </c>
      <c r="G3" t="s">
        <v>60</v>
      </c>
      <c r="H3" t="s">
        <v>32</v>
      </c>
      <c r="J3" s="3"/>
      <c r="K3" t="s">
        <v>56</v>
      </c>
      <c r="L3" s="7" t="s">
        <v>357</v>
      </c>
      <c r="M3" s="5" t="str">
        <f>CONCATENATE("   ",$N$1,".AddDataType(""",A3,""", """,B3, """, ",C3,", ",D3, ", """,J3,""", """,E3,""", """,F3,""", """,G3,""", """,H3,""", """,I3,""", ",K3,", """,L3,"""",    " );")</f>
        <v xml:space="preserve">   dictionary.AddDataType("bigint", "BIGINT", false, false, "", "long long", "", "i", "long long", "", false, "BIGINT is largest integer data type for SQL Server . It uses 8 bytes of storage." );</v>
      </c>
      <c r="T3" s="3"/>
    </row>
    <row r="4" spans="1:20" x14ac:dyDescent="0.45">
      <c r="A4" t="s">
        <v>27</v>
      </c>
      <c r="B4" t="s">
        <v>358</v>
      </c>
      <c r="C4" t="s">
        <v>56</v>
      </c>
      <c r="D4" t="s">
        <v>56</v>
      </c>
      <c r="E4" t="s">
        <v>27</v>
      </c>
      <c r="G4" t="s">
        <v>61</v>
      </c>
      <c r="H4" t="s">
        <v>943</v>
      </c>
      <c r="J4" s="3" t="s">
        <v>261</v>
      </c>
      <c r="K4" t="s">
        <v>56</v>
      </c>
      <c r="L4" s="7" t="s">
        <v>359</v>
      </c>
      <c r="M4" s="5" t="str">
        <f t="shared" ref="M4:M14" si="0">CONCATENATE("   ",$N$1,".AddDataType(""",A4,""", """,B4, """, ",C4,", ",D4, ", """,J4,""", """,E4,""", """,F4,""", """,G4,""", """,H4,""", """,I4,""", ",K4,", """,L4,"""",    " );")</f>
        <v xml:space="preserve">   dictionary.AddDataType("bool", "TINYINT", false, false, "IN (0, 1)", "bool", "", "bo", "boolean", "", false, "boolean (true = 1, false = 2) in source will transformed to TINYINT. This is the smallest integer data type and only uses 1 byte of storage. this data type is an integer value from 0 to 255." );</v>
      </c>
    </row>
    <row r="5" spans="1:20" x14ac:dyDescent="0.45">
      <c r="A5" t="s">
        <v>24</v>
      </c>
      <c r="B5" t="s">
        <v>70</v>
      </c>
      <c r="C5" t="s">
        <v>57</v>
      </c>
      <c r="D5" t="s">
        <v>56</v>
      </c>
      <c r="E5" t="s">
        <v>26</v>
      </c>
      <c r="F5" t="s">
        <v>179</v>
      </c>
      <c r="G5" t="s">
        <v>63</v>
      </c>
      <c r="J5" s="3"/>
      <c r="K5" t="s">
        <v>57</v>
      </c>
      <c r="L5" s="7" t="s">
        <v>361</v>
      </c>
      <c r="M5" s="5" t="str">
        <f t="shared" si="0"/>
        <v xml:space="preserve">   dictionary.AddDataType("char", "CHAR", true, false, "", "std::string", "&lt;string&gt;", "c", "", "", true, "CHAR is a fixed-sized character data type and will transformed to a std::string. Use this type when values are consistent in length. The max  size is 8,000, storing up to 8,000 ASCII characters." );</v>
      </c>
      <c r="T5" s="3"/>
    </row>
    <row r="6" spans="1:20" x14ac:dyDescent="0.45">
      <c r="A6" t="s">
        <v>22</v>
      </c>
      <c r="B6" t="s">
        <v>71</v>
      </c>
      <c r="C6" t="s">
        <v>56</v>
      </c>
      <c r="D6" t="s">
        <v>56</v>
      </c>
      <c r="E6" t="s">
        <v>29</v>
      </c>
      <c r="F6" t="s">
        <v>178</v>
      </c>
      <c r="G6" t="s">
        <v>62</v>
      </c>
      <c r="H6" t="s">
        <v>944</v>
      </c>
      <c r="I6" t="s">
        <v>945</v>
      </c>
      <c r="J6" s="3"/>
      <c r="K6" t="s">
        <v>56</v>
      </c>
      <c r="L6" s="7" t="s">
        <v>362</v>
      </c>
      <c r="M6" s="5" t="str">
        <f t="shared" si="0"/>
        <v xml:space="preserve">   dictionary.AddDataType("date", "DATE", false, false, "", "std::chrono::year_month_day", "&lt;chrono&gt;", "da", "BasicModule::YearMonthDay", "Basic.idl", false, "date is the DATE data type which is specifies a date in SQL Server.  DATE supports dates from 0001-01-01 through 9999-12-31. Ist will transformed to a std::chrono::year_month_day which is supported from C++20. DATE supports dates from 0001-01-01 through 9999-12-31." );</v>
      </c>
    </row>
    <row r="7" spans="1:20" x14ac:dyDescent="0.45">
      <c r="A7" t="s">
        <v>30</v>
      </c>
      <c r="B7" t="s">
        <v>71</v>
      </c>
      <c r="C7" t="s">
        <v>56</v>
      </c>
      <c r="D7" t="s">
        <v>56</v>
      </c>
      <c r="E7" t="s">
        <v>1026</v>
      </c>
      <c r="F7" t="s">
        <v>178</v>
      </c>
      <c r="G7" t="s">
        <v>64</v>
      </c>
      <c r="H7" t="s">
        <v>946</v>
      </c>
      <c r="I7" t="s">
        <v>945</v>
      </c>
      <c r="J7" s="3"/>
      <c r="K7" t="s">
        <v>56</v>
      </c>
      <c r="L7" s="7" t="s">
        <v>360</v>
      </c>
      <c r="M7" s="5" t="str">
        <f t="shared" si="0"/>
        <v xml:space="preserve">   dictionary.AddDataType("datetime", "DATE", false, false, "", "std::chrono::system_clock::time_point", "&lt;chrono&gt;", "dt", "BasicModule::TimePoint", "Basic.idl",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row>
    <row r="8" spans="1:20" x14ac:dyDescent="0.45">
      <c r="A8" t="s">
        <v>25</v>
      </c>
      <c r="B8" t="s">
        <v>72</v>
      </c>
      <c r="C8" t="s">
        <v>57</v>
      </c>
      <c r="D8" t="s">
        <v>57</v>
      </c>
      <c r="E8" t="s">
        <v>21</v>
      </c>
      <c r="G8" t="s">
        <v>65</v>
      </c>
      <c r="H8" t="s">
        <v>21</v>
      </c>
      <c r="J8" s="3"/>
      <c r="K8" t="s">
        <v>57</v>
      </c>
      <c r="L8" s="7" t="s">
        <v>369</v>
      </c>
      <c r="M8" s="5" t="str">
        <f t="shared" si="0"/>
        <v xml:space="preserve">   dictionary.AddDataType("decimal", "DECIMAL", true, true, "", "double", "", "fl", "double", "",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row>
    <row r="9" spans="1:20" x14ac:dyDescent="0.45">
      <c r="A9" t="s">
        <v>21</v>
      </c>
      <c r="B9" t="s">
        <v>73</v>
      </c>
      <c r="C9" t="s">
        <v>56</v>
      </c>
      <c r="D9" t="s">
        <v>56</v>
      </c>
      <c r="E9" t="s">
        <v>21</v>
      </c>
      <c r="G9" t="s">
        <v>65</v>
      </c>
      <c r="H9" t="s">
        <v>21</v>
      </c>
      <c r="J9" s="3"/>
      <c r="K9" t="s">
        <v>57</v>
      </c>
      <c r="L9" s="7" t="s">
        <v>368</v>
      </c>
      <c r="M9" s="5" t="str">
        <f t="shared" si="0"/>
        <v xml:space="preserve">   dictionary.AddDataType("double", "FLOAT", false, false, "", "double", "", "fl", "double", "", true, "The FLOAT data type is an approximate number with floating point data equal to ieee coded values in programming (this means not all values can be represented exactly)." );</v>
      </c>
    </row>
    <row r="10" spans="1:20" x14ac:dyDescent="0.45">
      <c r="A10" t="s">
        <v>20</v>
      </c>
      <c r="B10" t="s">
        <v>74</v>
      </c>
      <c r="C10" t="s">
        <v>56</v>
      </c>
      <c r="D10" t="s">
        <v>56</v>
      </c>
      <c r="E10" t="s">
        <v>28</v>
      </c>
      <c r="G10" t="s">
        <v>60</v>
      </c>
      <c r="H10" t="s">
        <v>947</v>
      </c>
      <c r="J10" s="3"/>
      <c r="K10" t="s">
        <v>56</v>
      </c>
      <c r="L10" s="7" t="s">
        <v>363</v>
      </c>
      <c r="M10" s="5" t="str">
        <f t="shared" si="0"/>
        <v xml:space="preserve">   dictionary.AddDataType("integer", "INT", false, false, "", "int", "", "i", "long", "", false, "the INT data type is an the most used integer value type in SQL Server and  uses 4 bytes of storage.  it always stores positive and negative values. The type will translated to an int type of c++." );</v>
      </c>
      <c r="T10" s="3"/>
    </row>
    <row r="11" spans="1:20" x14ac:dyDescent="0.45">
      <c r="A11" t="s">
        <v>133</v>
      </c>
      <c r="B11" t="s">
        <v>69</v>
      </c>
      <c r="C11" t="s">
        <v>56</v>
      </c>
      <c r="D11" t="s">
        <v>56</v>
      </c>
      <c r="E11" t="s">
        <v>366</v>
      </c>
      <c r="G11" t="s">
        <v>60</v>
      </c>
      <c r="H11" t="s">
        <v>948</v>
      </c>
      <c r="J11" s="3"/>
      <c r="K11" t="s">
        <v>56</v>
      </c>
      <c r="L11" s="7" t="s">
        <v>367</v>
      </c>
      <c r="M11" s="5" t="str">
        <f t="shared" si="0"/>
        <v xml:space="preserve">   dictionary.AddDataType("smallint", "SMALLINT", false, false, "", "short int", "", "i", "short", "", false, "the SMALLINT data type is an integer value from -32,768 to 32,767 and uses 2 bytes of storage. In c++ is the short int type used to represent this data." );</v>
      </c>
      <c r="T11" s="3"/>
    </row>
    <row r="12" spans="1:20" x14ac:dyDescent="0.45">
      <c r="A12" t="s">
        <v>257</v>
      </c>
      <c r="B12" t="s">
        <v>74</v>
      </c>
      <c r="C12" t="s">
        <v>56</v>
      </c>
      <c r="D12" t="s">
        <v>56</v>
      </c>
      <c r="E12" t="s">
        <v>258</v>
      </c>
      <c r="G12" t="s">
        <v>259</v>
      </c>
      <c r="H12" t="s">
        <v>949</v>
      </c>
      <c r="J12" s="3" t="s">
        <v>260</v>
      </c>
      <c r="K12" t="s">
        <v>56</v>
      </c>
      <c r="L12" s="7" t="s">
        <v>363</v>
      </c>
      <c r="M12" s="5" t="str">
        <f t="shared" si="0"/>
        <v xml:space="preserve">   dictionary.AddDataType("unsigned", "INT", false, false, "&gt;= 0", "unsigned int", "", "u", "unsigned long", "", false, "the INT data type is an the most used integer value type in SQL Server and  uses 4 bytes of storage.  it always stores positive and negative values. The type will translated to an int type of c++." );</v>
      </c>
      <c r="T12" s="3"/>
    </row>
    <row r="13" spans="1:20" x14ac:dyDescent="0.45">
      <c r="A13" t="s">
        <v>19</v>
      </c>
      <c r="B13" t="s">
        <v>75</v>
      </c>
      <c r="C13" t="s">
        <v>57</v>
      </c>
      <c r="D13" t="s">
        <v>56</v>
      </c>
      <c r="E13" t="s">
        <v>26</v>
      </c>
      <c r="F13" t="s">
        <v>179</v>
      </c>
      <c r="G13" t="s">
        <v>66</v>
      </c>
      <c r="H13" t="s">
        <v>950</v>
      </c>
      <c r="J13" s="3"/>
      <c r="K13" t="s">
        <v>57</v>
      </c>
      <c r="L13" s="7" t="s">
        <v>365</v>
      </c>
      <c r="M13" s="5" t="str">
        <f t="shared" si="0"/>
        <v xml:space="preserve">   dictionary.AddDataType("varchar", "VARCHAR", true, false, "", "std::string", "&lt;string&gt;", "str", "string", "", true, "the VARCHAR data type stores variable-length character strings and is used when there is variability in the size of the data. The type may hold up to 8,000 ASCII characters of data. For c++ this datatype use std::string." );</v>
      </c>
      <c r="T13" s="3"/>
    </row>
    <row r="14" spans="1:20" x14ac:dyDescent="0.45">
      <c r="A14" t="s">
        <v>76</v>
      </c>
      <c r="B14" t="s">
        <v>77</v>
      </c>
      <c r="C14" t="s">
        <v>56</v>
      </c>
      <c r="D14" t="s">
        <v>56</v>
      </c>
      <c r="E14" t="s">
        <v>26</v>
      </c>
      <c r="F14" t="s">
        <v>179</v>
      </c>
      <c r="G14" t="s">
        <v>66</v>
      </c>
      <c r="H14" t="s">
        <v>950</v>
      </c>
      <c r="J14" s="3"/>
      <c r="K14" t="s">
        <v>57</v>
      </c>
      <c r="L14" s="7" t="s">
        <v>364</v>
      </c>
      <c r="M14" s="5" t="str">
        <f t="shared" si="0"/>
        <v xml:space="preserve">   dictionary.AddDataType("text", "VARCHAR(MAX)", false, false, "", "std::string", "&lt;string&gt;", "str", "string", "", true, "the VARCHAR(MAX) data type stores variable-length character strings and is used to store very large, i.e. max length, character data. It can hold mostly as much as 2GB of ASCII character data. For c++ this datatype use std::string." );</v>
      </c>
      <c r="T14" s="3"/>
    </row>
    <row r="18" spans="1:1" x14ac:dyDescent="0.45">
      <c r="A18" s="1" t="s">
        <v>85</v>
      </c>
    </row>
    <row r="19" spans="1:1" x14ac:dyDescent="0.45">
      <c r="A19" t="s">
        <v>89</v>
      </c>
    </row>
    <row r="20" spans="1:1" x14ac:dyDescent="0.45">
      <c r="A20" t="s">
        <v>180</v>
      </c>
    </row>
    <row r="21" spans="1:1" x14ac:dyDescent="0.45">
      <c r="A21" t="s">
        <v>86</v>
      </c>
    </row>
    <row r="22" spans="1:1" x14ac:dyDescent="0.45">
      <c r="A22" t="s">
        <v>87</v>
      </c>
    </row>
    <row r="23" spans="1:1" x14ac:dyDescent="0.45">
      <c r="A23" t="s">
        <v>88</v>
      </c>
    </row>
    <row r="25" spans="1:1" x14ac:dyDescent="0.45">
      <c r="A25" s="1" t="s">
        <v>90</v>
      </c>
    </row>
    <row r="26" spans="1:1" x14ac:dyDescent="0.45">
      <c r="A26" t="s">
        <v>89</v>
      </c>
    </row>
    <row r="27" spans="1:1" x14ac:dyDescent="0.45">
      <c r="A27" t="s">
        <v>91</v>
      </c>
    </row>
    <row r="28" spans="1:1" x14ac:dyDescent="0.45">
      <c r="A28" t="s">
        <v>92</v>
      </c>
    </row>
    <row r="29" spans="1:1" x14ac:dyDescent="0.45">
      <c r="A29" t="s">
        <v>93</v>
      </c>
    </row>
    <row r="30" spans="1:1" x14ac:dyDescent="0.45">
      <c r="A30" t="s">
        <v>94</v>
      </c>
    </row>
    <row r="31" spans="1:1" x14ac:dyDescent="0.45">
      <c r="A31" t="s">
        <v>476</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98"/>
  <sheetViews>
    <sheetView topLeftCell="M73" zoomScale="115" zoomScaleNormal="115" workbookViewId="0">
      <selection activeCell="M85" sqref="M8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99</v>
      </c>
      <c r="B2" s="1" t="s">
        <v>132</v>
      </c>
      <c r="C2" s="1" t="s">
        <v>127</v>
      </c>
      <c r="D2" s="1" t="s">
        <v>128</v>
      </c>
      <c r="E2" s="1" t="s">
        <v>129</v>
      </c>
      <c r="F2" s="1" t="s">
        <v>131</v>
      </c>
      <c r="M2" s="5" t="str" cm="1">
        <f t="array" ref="M2">CONCATENATE("   .AddRangeValue(""INSERT INTO ",A2," ",Liste((B2:L2)), " VALUES\n""")</f>
        <v xml:space="preserve">   .AddRangeValue("INSERT INTO AddressTypes (ID, Denotation, Abbreviation, Description, UrgentValue) VALUES\n"</v>
      </c>
    </row>
    <row r="3" spans="1:13" x14ac:dyDescent="0.45">
      <c r="A3" t="s">
        <v>99</v>
      </c>
      <c r="B3">
        <v>1</v>
      </c>
      <c r="C3" t="s">
        <v>264</v>
      </c>
      <c r="D3" s="3" t="s">
        <v>268</v>
      </c>
      <c r="E3" s="3" t="s">
        <v>269</v>
      </c>
      <c r="F3">
        <v>1</v>
      </c>
      <c r="M3" s="5" t="str" cm="1">
        <f t="array" ref="M3">CONCATENATE("                  ""    ",Liste(B3:L3),IF(M4&lt;&gt;"",", \n""",""")"))</f>
        <v xml:space="preserve">                  "    (1, 'Hauptadresse', 'HA', 'Hauptadresse für die Anwendung', 1), \n"</v>
      </c>
    </row>
    <row r="4" spans="1:13" x14ac:dyDescent="0.45">
      <c r="A4" t="s">
        <v>99</v>
      </c>
      <c r="B4">
        <v>2</v>
      </c>
      <c r="C4" s="3" t="s">
        <v>266</v>
      </c>
      <c r="D4" s="3" t="s">
        <v>271</v>
      </c>
      <c r="E4" s="3" t="s">
        <v>270</v>
      </c>
      <c r="F4">
        <v>0</v>
      </c>
      <c r="M4" s="5" t="str" cm="1">
        <f t="array" ref="M4">CONCATENATE("                  ""    ",Liste(B4:L4),IF(M5&lt;&gt;"",", \n""",""")"))</f>
        <v xml:space="preserve">                  "    (2, 'Rechnungsadresse', 'RA', 'Rechnungsadresse für die Anwendung', 0), \n"</v>
      </c>
    </row>
    <row r="5" spans="1:13" x14ac:dyDescent="0.45">
      <c r="A5" t="s">
        <v>99</v>
      </c>
      <c r="B5">
        <v>3</v>
      </c>
      <c r="C5" s="3" t="s">
        <v>265</v>
      </c>
      <c r="D5" s="3" t="s">
        <v>272</v>
      </c>
      <c r="E5" s="3" t="s">
        <v>274</v>
      </c>
      <c r="F5">
        <v>0</v>
      </c>
      <c r="M5" s="5" t="str" cm="1">
        <f t="array" ref="M5">CONCATENATE("                  ""    ",Liste(B5:L5),IF(M6&lt;&gt;"",", \n""",""")"))</f>
        <v xml:space="preserve">                  "    (3, 'Lieferadresse', 'LA', 'Lieferadresse für die Trainingsanwendung', 0), \n"</v>
      </c>
    </row>
    <row r="6" spans="1:13" x14ac:dyDescent="0.45">
      <c r="A6" t="s">
        <v>99</v>
      </c>
      <c r="B6">
        <v>4</v>
      </c>
      <c r="C6" s="3" t="s">
        <v>267</v>
      </c>
      <c r="D6" s="3" t="s">
        <v>273</v>
      </c>
      <c r="E6" s="3" t="s">
        <v>275</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101</v>
      </c>
      <c r="B8" s="1" t="s">
        <v>132</v>
      </c>
      <c r="C8" s="1" t="s">
        <v>127</v>
      </c>
      <c r="D8" s="1" t="s">
        <v>128</v>
      </c>
      <c r="E8" s="1" t="s">
        <v>129</v>
      </c>
      <c r="F8" s="1" t="s">
        <v>131</v>
      </c>
      <c r="M8" s="5" t="str" cm="1">
        <f t="array" ref="M8">CONCATENATE("   .AddRangeValue(""INSERT INTO ",A8," ",Liste((B8:L8)), " VALUES\n""")</f>
        <v xml:space="preserve">   .AddRangeValue("INSERT INTO BankingTypes (ID, Denotation, Abbreviation, Description, UrgentValue) VALUES\n"</v>
      </c>
    </row>
    <row r="9" spans="1:13" x14ac:dyDescent="0.45">
      <c r="A9" t="s">
        <v>101</v>
      </c>
      <c r="B9">
        <v>1</v>
      </c>
      <c r="C9" s="3" t="s">
        <v>287</v>
      </c>
      <c r="D9" s="3" t="s">
        <v>288</v>
      </c>
      <c r="E9" s="3" t="s">
        <v>289</v>
      </c>
      <c r="F9">
        <v>1</v>
      </c>
      <c r="M9" s="5" t="str" cm="1">
        <f t="array" ref="M9">CONCATENATE("                  ""    ",Liste(B9:L9),IF(M10&lt;&gt;"",", \n""",""")"))</f>
        <v xml:space="preserve">                  "    (1, 'Hauptkonto', 'HK', 'Hauptkonto für die Personen in der Anwendung', 1)")</v>
      </c>
    </row>
    <row r="10" spans="1:13" x14ac:dyDescent="0.45">
      <c r="M10" s="5"/>
    </row>
    <row r="11" spans="1:13" x14ac:dyDescent="0.45">
      <c r="A11" t="s">
        <v>173</v>
      </c>
      <c r="B11" s="1" t="s">
        <v>132</v>
      </c>
      <c r="C11" s="1" t="s">
        <v>127</v>
      </c>
      <c r="D11" s="1" t="s">
        <v>128</v>
      </c>
      <c r="E11" s="1" t="s">
        <v>129</v>
      </c>
      <c r="F11" s="13" t="s">
        <v>175</v>
      </c>
      <c r="G11" s="13" t="s">
        <v>176</v>
      </c>
      <c r="H11" s="13" t="s">
        <v>131</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173</v>
      </c>
      <c r="B12">
        <v>0</v>
      </c>
      <c r="C12" s="11" t="s">
        <v>326</v>
      </c>
      <c r="D12" s="11" t="s">
        <v>577</v>
      </c>
      <c r="E12" s="11" t="s">
        <v>593</v>
      </c>
      <c r="F12" s="12">
        <v>0</v>
      </c>
      <c r="G12" s="11">
        <v>0</v>
      </c>
      <c r="H12" s="12">
        <v>1</v>
      </c>
      <c r="M12" s="5" t="str" cm="1">
        <f t="array" ref="M12">CONCATENATE("                  ""    ",Liste(B12:L12),IF(M13&lt;&gt;"",", \n""",""")"))</f>
        <v xml:space="preserve">                  "    (0, 'unbekannt', 'kA', 'unbekannt oder keine Angabe', 0, 0, 1), \n"</v>
      </c>
    </row>
    <row r="13" spans="1:13" x14ac:dyDescent="0.45">
      <c r="A13" t="s">
        <v>173</v>
      </c>
      <c r="B13">
        <v>1</v>
      </c>
      <c r="C13" s="11" t="s">
        <v>578</v>
      </c>
      <c r="D13" s="11" t="s">
        <v>579</v>
      </c>
      <c r="E13" s="11" t="s">
        <v>580</v>
      </c>
      <c r="F13" s="12">
        <v>0</v>
      </c>
      <c r="G13" s="11">
        <v>0</v>
      </c>
      <c r="H13" s="12">
        <v>1</v>
      </c>
      <c r="M13" s="5" t="str" cm="1">
        <f t="array" ref="M13">CONCATENATE("                  ""    ",Liste(B13:L13),IF(M14&lt;&gt;"",", \n""",""")"))</f>
        <v xml:space="preserve">                  "    (1, 'ledig', 'ldg', 'ledige Person', 0, 0, 1), \n"</v>
      </c>
    </row>
    <row r="14" spans="1:13" x14ac:dyDescent="0.45">
      <c r="A14" t="s">
        <v>173</v>
      </c>
      <c r="B14">
        <v>2</v>
      </c>
      <c r="C14" s="11" t="s">
        <v>581</v>
      </c>
      <c r="D14" s="11" t="s">
        <v>582</v>
      </c>
      <c r="E14" s="11" t="s">
        <v>583</v>
      </c>
      <c r="F14" s="12">
        <v>1</v>
      </c>
      <c r="G14" s="11">
        <v>1</v>
      </c>
      <c r="H14" s="12">
        <v>1</v>
      </c>
      <c r="M14" s="5" t="str" cm="1">
        <f t="array" ref="M14">CONCATENATE("                  ""    ",Liste(B14:L14),IF(M15&lt;&gt;"",", \n""",""")"))</f>
        <v xml:space="preserve">                  "    (2, 'verheiratet', 'verh', 'verheiratete Person', 1, 1, 1), \n"</v>
      </c>
    </row>
    <row r="15" spans="1:13" x14ac:dyDescent="0.45">
      <c r="A15" t="s">
        <v>173</v>
      </c>
      <c r="B15">
        <v>3</v>
      </c>
      <c r="C15" s="11" t="s">
        <v>584</v>
      </c>
      <c r="D15" s="11" t="s">
        <v>585</v>
      </c>
      <c r="E15" s="11" t="s">
        <v>586</v>
      </c>
      <c r="F15" s="12">
        <v>0</v>
      </c>
      <c r="G15" s="11">
        <v>1</v>
      </c>
      <c r="H15" s="12">
        <v>1</v>
      </c>
      <c r="M15" s="5" t="str" cm="1">
        <f t="array" ref="M15">CONCATENATE("                  ""    ",Liste(B15:L15),IF(M16&lt;&gt;"",", \n""",""")"))</f>
        <v xml:space="preserve">                  "    (3, 'geschieden', 'gesch', 'geschiedene Person', 0, 1, 1), \n"</v>
      </c>
    </row>
    <row r="16" spans="1:13" x14ac:dyDescent="0.45">
      <c r="A16" t="s">
        <v>173</v>
      </c>
      <c r="B16">
        <v>4</v>
      </c>
      <c r="C16" s="11" t="s">
        <v>587</v>
      </c>
      <c r="D16" s="11" t="s">
        <v>588</v>
      </c>
      <c r="E16" s="11" t="s">
        <v>589</v>
      </c>
      <c r="F16" s="12">
        <v>0</v>
      </c>
      <c r="G16" s="11">
        <v>1</v>
      </c>
      <c r="H16" s="12">
        <v>1</v>
      </c>
      <c r="M16" s="5" t="str" cm="1">
        <f t="array" ref="M16">CONCATENATE("                  ""    ",Liste(B16:L16),IF(M17&lt;&gt;"",", \n""",""")"))</f>
        <v xml:space="preserve">                  "    (4, 'verwitwert', 'verw', 'verwitwerte Person', 0, 1, 1), \n"</v>
      </c>
    </row>
    <row r="17" spans="1:13" x14ac:dyDescent="0.45">
      <c r="A17" t="s">
        <v>173</v>
      </c>
      <c r="B17">
        <v>5</v>
      </c>
      <c r="C17" s="11" t="s">
        <v>590</v>
      </c>
      <c r="D17" s="11" t="s">
        <v>591</v>
      </c>
      <c r="E17" s="11" t="s">
        <v>592</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105</v>
      </c>
      <c r="B19" t="s">
        <v>132</v>
      </c>
      <c r="C19" s="1" t="s">
        <v>127</v>
      </c>
      <c r="D19" s="1" t="s">
        <v>128</v>
      </c>
      <c r="E19" s="1" t="s">
        <v>129</v>
      </c>
      <c r="F19" s="1" t="s">
        <v>131</v>
      </c>
      <c r="M19" s="5" t="str" cm="1">
        <f t="array" ref="M19">CONCATENATE("   .AddRangeValue(""INSERT INTO ",A19," ",Liste((B19:L19)), " VALUES\n""")</f>
        <v xml:space="preserve">   .AddRangeValue("INSERT INTO FamilyTypes (ID, Denotation, Abbreviation, Description, UrgentValue) VALUES\n"</v>
      </c>
    </row>
    <row r="20" spans="1:13" x14ac:dyDescent="0.45">
      <c r="A20" t="s">
        <v>105</v>
      </c>
      <c r="B20">
        <v>1</v>
      </c>
      <c r="C20" s="3" t="s">
        <v>304</v>
      </c>
      <c r="D20" s="3" t="s">
        <v>442</v>
      </c>
      <c r="E20" s="3" t="s">
        <v>447</v>
      </c>
      <c r="F20">
        <v>1</v>
      </c>
      <c r="M20" s="5" t="str" cm="1">
        <f t="array" ref="M20">CONCATENATE("                  ""    ",Liste(B20:L20),IF(M21&lt;&gt;"",", \n""",""")"))</f>
        <v xml:space="preserve">                  "    (1, 'Mann', 'M', 'Person mit männlichem Geschlecht', 1), \n"</v>
      </c>
    </row>
    <row r="21" spans="1:13" x14ac:dyDescent="0.45">
      <c r="A21" t="s">
        <v>105</v>
      </c>
      <c r="B21">
        <v>2</v>
      </c>
      <c r="C21" s="3" t="s">
        <v>495</v>
      </c>
      <c r="D21" s="3" t="s">
        <v>441</v>
      </c>
      <c r="E21" s="3" t="s">
        <v>448</v>
      </c>
      <c r="F21">
        <v>1</v>
      </c>
      <c r="M21" s="5" t="str" cm="1">
        <f t="array" ref="M21">CONCATENATE("                  ""    ",Liste(B21:L21),IF(M22&lt;&gt;"",", \n""",""")"))</f>
        <v xml:space="preserve">                  "    (2, 'Frau', 'F', 'Person mit weiblichen Geschlecht', 1), \n"</v>
      </c>
    </row>
    <row r="22" spans="1:13" x14ac:dyDescent="0.45">
      <c r="A22" t="s">
        <v>105</v>
      </c>
      <c r="B22">
        <v>3</v>
      </c>
      <c r="C22" s="3" t="s">
        <v>305</v>
      </c>
      <c r="D22" s="3" t="s">
        <v>446</v>
      </c>
      <c r="E22" s="3" t="s">
        <v>449</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105</v>
      </c>
      <c r="B23">
        <v>4</v>
      </c>
      <c r="C23" s="3" t="s">
        <v>480</v>
      </c>
      <c r="D23" s="3" t="s">
        <v>445</v>
      </c>
      <c r="E23" s="3" t="s">
        <v>450</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105</v>
      </c>
      <c r="B24">
        <v>5</v>
      </c>
      <c r="C24" s="3" t="s">
        <v>306</v>
      </c>
      <c r="D24" s="3" t="s">
        <v>444</v>
      </c>
      <c r="E24" s="3" t="s">
        <v>451</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105</v>
      </c>
      <c r="B25">
        <v>6</v>
      </c>
      <c r="C25" s="3" t="s">
        <v>307</v>
      </c>
      <c r="D25" s="3" t="s">
        <v>443</v>
      </c>
      <c r="E25" s="3" t="s">
        <v>453</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105</v>
      </c>
      <c r="B26">
        <v>7</v>
      </c>
      <c r="C26" s="3" t="s">
        <v>454</v>
      </c>
      <c r="D26" s="3" t="s">
        <v>455</v>
      </c>
      <c r="E26" s="3" t="s">
        <v>456</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105</v>
      </c>
      <c r="B27">
        <v>8</v>
      </c>
      <c r="C27" s="3" t="s">
        <v>308</v>
      </c>
      <c r="D27" s="3" t="s">
        <v>337</v>
      </c>
      <c r="E27" s="3" t="s">
        <v>452</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106</v>
      </c>
      <c r="B29" t="s">
        <v>132</v>
      </c>
      <c r="C29" t="s">
        <v>127</v>
      </c>
      <c r="D29" t="s">
        <v>128</v>
      </c>
      <c r="E29" t="s">
        <v>129</v>
      </c>
      <c r="F29" t="s">
        <v>157</v>
      </c>
      <c r="G29" t="s">
        <v>158</v>
      </c>
      <c r="H29" t="s">
        <v>159</v>
      </c>
      <c r="I29" t="s">
        <v>131</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106</v>
      </c>
      <c r="B30" s="12">
        <v>1</v>
      </c>
      <c r="C30" s="11" t="s">
        <v>594</v>
      </c>
      <c r="D30" s="11" t="s">
        <v>595</v>
      </c>
      <c r="E30" s="11" t="s">
        <v>596</v>
      </c>
      <c r="F30" s="12">
        <v>1</v>
      </c>
      <c r="G30" s="11" t="s">
        <v>600</v>
      </c>
      <c r="H30" s="11" t="s">
        <v>601</v>
      </c>
      <c r="I30" s="12">
        <v>1</v>
      </c>
      <c r="M30" s="5" t="str" cm="1">
        <f t="array" ref="M30">CONCATENATE("                  ""    ",Liste(B30:L30),IF(M31&lt;&gt;"",", \n""",""")"))</f>
        <v xml:space="preserve">                  "    (1, 'Herr', 'Hr', 'Anredesteuerung für Herr', 1, 'Sehr geehrter Herr', 'Mit freundlichen Grüßen', 1), \n"</v>
      </c>
    </row>
    <row r="31" spans="1:13" x14ac:dyDescent="0.45">
      <c r="A31" t="s">
        <v>106</v>
      </c>
      <c r="B31" s="12">
        <v>2</v>
      </c>
      <c r="C31" s="11" t="s">
        <v>495</v>
      </c>
      <c r="D31" s="11" t="s">
        <v>513</v>
      </c>
      <c r="E31" s="11" t="s">
        <v>597</v>
      </c>
      <c r="F31" s="12">
        <v>2</v>
      </c>
      <c r="G31" s="11" t="s">
        <v>602</v>
      </c>
      <c r="H31" s="11" t="s">
        <v>601</v>
      </c>
      <c r="I31" s="12">
        <v>1</v>
      </c>
      <c r="M31" s="5" t="str" cm="1">
        <f t="array" ref="M31">CONCATENATE("                  ""    ",Liste(B31:L31),IF(M32&lt;&gt;"",", \n""",""")"))</f>
        <v xml:space="preserve">                  "    (2, 'Frau', 'Fr', 'Anredesteuerung für Frauen', 2, 'Sehr geehrte Frau', 'Mit freundlichen Grüßen', 1), \n"</v>
      </c>
    </row>
    <row r="32" spans="1:13" x14ac:dyDescent="0.45">
      <c r="A32" t="s">
        <v>106</v>
      </c>
      <c r="B32" s="12">
        <v>3</v>
      </c>
      <c r="C32" s="11" t="s">
        <v>306</v>
      </c>
      <c r="D32" s="11" t="s">
        <v>598</v>
      </c>
      <c r="E32" s="11" t="s">
        <v>599</v>
      </c>
      <c r="F32" s="12">
        <v>3</v>
      </c>
      <c r="G32" s="11" t="s">
        <v>603</v>
      </c>
      <c r="H32" s="11" t="s">
        <v>601</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108</v>
      </c>
      <c r="B34" t="s">
        <v>132</v>
      </c>
      <c r="C34" t="s">
        <v>127</v>
      </c>
      <c r="D34" t="s">
        <v>128</v>
      </c>
      <c r="E34" t="s">
        <v>129</v>
      </c>
      <c r="F34" t="s">
        <v>160</v>
      </c>
      <c r="G34" t="s">
        <v>131</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108</v>
      </c>
      <c r="B35">
        <v>1</v>
      </c>
      <c r="C35" s="3" t="s">
        <v>290</v>
      </c>
      <c r="D35" s="3" t="s">
        <v>293</v>
      </c>
      <c r="E35" s="3" t="s">
        <v>296</v>
      </c>
      <c r="F35" s="3" t="s">
        <v>300</v>
      </c>
      <c r="G35">
        <v>1</v>
      </c>
      <c r="M35" s="5" t="str" cm="1">
        <f t="array" ref="M35">CONCATENATE("                  ""    ",Liste(B35:L35),IF(M36&lt;&gt;"",", \n""",""")"))</f>
        <v xml:space="preserve">                  "    (1, 'Internet', 'HTTP', 'Die Homepage einer Person', 'http://', 1), \n"</v>
      </c>
    </row>
    <row r="36" spans="1:13" x14ac:dyDescent="0.45">
      <c r="A36" t="s">
        <v>108</v>
      </c>
      <c r="B36">
        <v>2</v>
      </c>
      <c r="C36" s="3" t="s">
        <v>291</v>
      </c>
      <c r="D36" s="3" t="s">
        <v>294</v>
      </c>
      <c r="E36" s="3" t="s">
        <v>297</v>
      </c>
      <c r="F36" s="3" t="s">
        <v>301</v>
      </c>
      <c r="G36">
        <v>1</v>
      </c>
      <c r="M36" s="5" t="str" cm="1">
        <f t="array" ref="M36">CONCATENATE("                  ""    ",Liste(B36:L36),IF(M37&lt;&gt;"",", \n""",""")"))</f>
        <v xml:space="preserve">                  "    (2, 'Email', 'Mail', 'Email- Adresse einer Person', 'mailto:', 1), \n"</v>
      </c>
    </row>
    <row r="37" spans="1:13" x14ac:dyDescent="0.45">
      <c r="A37" t="s">
        <v>108</v>
      </c>
      <c r="B37">
        <v>3</v>
      </c>
      <c r="C37" s="3" t="s">
        <v>292</v>
      </c>
      <c r="D37" s="3" t="s">
        <v>292</v>
      </c>
      <c r="E37" s="3" t="s">
        <v>298</v>
      </c>
      <c r="F37" s="3" t="s">
        <v>302</v>
      </c>
      <c r="G37">
        <v>1</v>
      </c>
      <c r="M37" s="5" t="str" cm="1">
        <f t="array" ref="M37">CONCATENATE("                  ""    ",Liste(B37:L37),IF(M38&lt;&gt;"",", \n""",""")"))</f>
        <v xml:space="preserve">                  "    (3, 'Skype', 'Skype', 'Skype- Name einer Person', 'skype:', 1), \n"</v>
      </c>
    </row>
    <row r="38" spans="1:13" x14ac:dyDescent="0.45">
      <c r="A38" t="s">
        <v>108</v>
      </c>
      <c r="B38">
        <v>4</v>
      </c>
      <c r="C38" s="3" t="s">
        <v>279</v>
      </c>
      <c r="D38" s="3" t="s">
        <v>295</v>
      </c>
      <c r="E38" s="3" t="s">
        <v>299</v>
      </c>
      <c r="F38" s="3" t="s">
        <v>303</v>
      </c>
      <c r="G38">
        <v>1</v>
      </c>
      <c r="M38" s="5" t="str" cm="1">
        <f t="array" ref="M38">CONCATENATE("                  ""    ",Liste(B38:L38),IF(M39&lt;&gt;"",", \n""",""")"))</f>
        <v xml:space="preserve">                  "    (4, 'Telefon', 'VoIP', 'VoIP- Nummer einer Person', 'phone:', 1)")</v>
      </c>
    </row>
    <row r="39" spans="1:13" x14ac:dyDescent="0.45">
      <c r="M39" s="5"/>
    </row>
    <row r="40" spans="1:13" x14ac:dyDescent="0.45">
      <c r="A40" t="s">
        <v>276</v>
      </c>
      <c r="B40" t="s">
        <v>132</v>
      </c>
      <c r="C40" t="s">
        <v>127</v>
      </c>
      <c r="D40" t="s">
        <v>128</v>
      </c>
      <c r="E40" t="s">
        <v>129</v>
      </c>
      <c r="F40" t="s">
        <v>131</v>
      </c>
      <c r="M40" s="5" t="str" cm="1">
        <f t="array" ref="M40">CONCATENATE("   .AddRangeValue(""INSERT INTO ",A40," ",Liste((B40:L40)), " VALUES\n""")</f>
        <v xml:space="preserve">   .AddRangeValue("INSERT INTO PhoneTypes (ID, Denotation, Abbreviation, Description, UrgentValue) VALUES\n"</v>
      </c>
    </row>
    <row r="41" spans="1:13" x14ac:dyDescent="0.45">
      <c r="A41" t="s">
        <v>276</v>
      </c>
      <c r="B41">
        <v>1</v>
      </c>
      <c r="C41" s="3" t="s">
        <v>279</v>
      </c>
      <c r="D41" s="3" t="s">
        <v>280</v>
      </c>
      <c r="E41" s="3" t="s">
        <v>284</v>
      </c>
      <c r="F41">
        <v>1</v>
      </c>
      <c r="M41" s="5" t="str" cm="1">
        <f t="array" ref="M41">CONCATENATE("                  ""    ",Liste(B41:L41),IF(M42&lt;&gt;"",", \n""",""")"))</f>
        <v xml:space="preserve">                  "    (1, 'Telefon', 'Tel', 'Telefonnummer zu einer Person', 1), \n"</v>
      </c>
    </row>
    <row r="42" spans="1:13" x14ac:dyDescent="0.45">
      <c r="A42" t="s">
        <v>276</v>
      </c>
      <c r="B42">
        <v>2</v>
      </c>
      <c r="C42" s="3" t="s">
        <v>281</v>
      </c>
      <c r="D42" s="3" t="s">
        <v>281</v>
      </c>
      <c r="E42" s="3" t="s">
        <v>285</v>
      </c>
      <c r="F42">
        <v>1</v>
      </c>
      <c r="M42" s="5" t="str" cm="1">
        <f t="array" ref="M42">CONCATENATE("                  ""    ",Liste(B42:L42),IF(M43&lt;&gt;"",", \n""",""")"))</f>
        <v xml:space="preserve">                  "    (2, 'Fax', 'Fax', 'Faxnummer zu einer Person', 1), \n"</v>
      </c>
    </row>
    <row r="43" spans="1:13" x14ac:dyDescent="0.45">
      <c r="A43" t="s">
        <v>276</v>
      </c>
      <c r="B43">
        <v>3</v>
      </c>
      <c r="C43" s="3" t="s">
        <v>282</v>
      </c>
      <c r="D43" s="3" t="s">
        <v>283</v>
      </c>
      <c r="E43" s="3" t="s">
        <v>286</v>
      </c>
      <c r="F43">
        <v>1</v>
      </c>
      <c r="M43" s="5" t="str" cm="1">
        <f t="array" ref="M43">CONCATENATE("                  ""    ",Liste(B43:L43),IF(M44&lt;&gt;"",", \n""",""")"))</f>
        <v xml:space="preserve">                  "    (3, 'Mobil', 'Mbl', 'Mobiltelefonnummer zu einer Person', 1)")</v>
      </c>
    </row>
    <row r="44" spans="1:13" x14ac:dyDescent="0.45">
      <c r="M44" s="5"/>
    </row>
    <row r="45" spans="1:13" x14ac:dyDescent="0.45">
      <c r="A45" t="s">
        <v>604</v>
      </c>
      <c r="B45" t="s">
        <v>132</v>
      </c>
      <c r="C45" t="s">
        <v>127</v>
      </c>
      <c r="D45" t="s">
        <v>128</v>
      </c>
      <c r="E45" t="s">
        <v>129</v>
      </c>
      <c r="F45" t="s">
        <v>131</v>
      </c>
      <c r="M45" s="5" t="str" cm="1">
        <f t="array" ref="M45">CONCATENATE("   .AddRangeValue(""INSERT INTO ",A45," ",Liste((B45:L45)), " VALUES\n""")</f>
        <v xml:space="preserve">   .AddRangeValue("INSERT INTO ReasonDeparture (ID, Denotation, Abbreviation, Description, UrgentValue) VALUES\n"</v>
      </c>
    </row>
    <row r="46" spans="1:13" x14ac:dyDescent="0.45">
      <c r="A46" t="s">
        <v>604</v>
      </c>
      <c r="B46">
        <v>1</v>
      </c>
      <c r="C46" s="11" t="s">
        <v>656</v>
      </c>
      <c r="D46" s="11" t="s">
        <v>618</v>
      </c>
      <c r="E46" s="11" t="s">
        <v>625</v>
      </c>
      <c r="F46">
        <v>1</v>
      </c>
      <c r="M46" s="5" t="str" cm="1">
        <f t="array" ref="M46">CONCATENATE("                  ""    ",Liste(B46:L46),IF(M47&lt;&gt;"",", \n""",""")"))</f>
        <v xml:space="preserve">                  "    (1, 'Kündigung', 'Kü', 'Die Person hat freiwillig beschlossen, das Unternehmen zu verlassen (Resignation).', 1), \n"</v>
      </c>
    </row>
    <row r="47" spans="1:13" x14ac:dyDescent="0.45">
      <c r="A47" t="s">
        <v>604</v>
      </c>
      <c r="B47">
        <v>2</v>
      </c>
      <c r="C47" s="11" t="s">
        <v>657</v>
      </c>
      <c r="D47" s="11" t="s">
        <v>620</v>
      </c>
      <c r="E47" s="11" t="s">
        <v>622</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604</v>
      </c>
      <c r="B48">
        <v>3</v>
      </c>
      <c r="C48" s="11" t="s">
        <v>658</v>
      </c>
      <c r="D48" s="11" t="s">
        <v>619</v>
      </c>
      <c r="E48" s="11" t="s">
        <v>623</v>
      </c>
      <c r="F48">
        <v>1</v>
      </c>
      <c r="M48" s="5" t="str" cm="1">
        <f t="array" ref="M48">CONCATENATE("                  ""    ",Liste(B48:L48),IF(M49&lt;&gt;"",", \n""",""")"))</f>
        <v xml:space="preserve">                  "    (3, 'Entlassung', 'En', 'Das Unternehmen hat das Arbeitsverhältnis mit der Person beendet (Dismissal )', 1), \n"</v>
      </c>
    </row>
    <row r="49" spans="1:13" x14ac:dyDescent="0.45">
      <c r="A49" t="s">
        <v>604</v>
      </c>
      <c r="B49">
        <v>4</v>
      </c>
      <c r="C49" s="11" t="s">
        <v>659</v>
      </c>
      <c r="D49" s="11" t="s">
        <v>621</v>
      </c>
      <c r="E49" s="11" t="s">
        <v>624</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646</v>
      </c>
      <c r="B51" t="s">
        <v>132</v>
      </c>
      <c r="C51" t="s">
        <v>127</v>
      </c>
      <c r="D51" t="s">
        <v>128</v>
      </c>
      <c r="E51" t="s">
        <v>129</v>
      </c>
      <c r="F51" t="s">
        <v>131</v>
      </c>
      <c r="M51" s="5" t="str" cm="1">
        <f t="array" ref="M51">CONCATENATE("   .AddRangeValue(""INSERT INTO ",A51," ",Liste((B51:L51)), " VALUES\n""")</f>
        <v xml:space="preserve">   .AddRangeValue("INSERT INTO ReasonNonWorking (ID, Denotation, Abbreviation, Description, UrgentValue) VALUES\n"</v>
      </c>
    </row>
    <row r="52" spans="1:13" x14ac:dyDescent="0.45">
      <c r="A52" t="s">
        <v>646</v>
      </c>
      <c r="B52">
        <v>1</v>
      </c>
      <c r="C52" s="11" t="s">
        <v>660</v>
      </c>
      <c r="D52" s="11" t="s">
        <v>663</v>
      </c>
      <c r="E52" s="11" t="s">
        <v>667</v>
      </c>
      <c r="F52">
        <v>1</v>
      </c>
      <c r="M52" s="5" t="str" cm="1">
        <f t="array" ref="M52">CONCATENATE("                  ""    ",Liste(B52:L52),IF(M53&lt;&gt;"",", \n""",""")"))</f>
        <v xml:space="preserve">                  "    (1, 'Urlaub', 'U', 'Die Person hat regulären Urlaub (inklusive eventuelle Tage Resturlaub', 1), \n"</v>
      </c>
    </row>
    <row r="53" spans="1:13" x14ac:dyDescent="0.45">
      <c r="A53" t="s">
        <v>646</v>
      </c>
      <c r="B53">
        <v>2</v>
      </c>
      <c r="C53" s="11" t="s">
        <v>661</v>
      </c>
      <c r="D53" s="11" t="s">
        <v>665</v>
      </c>
      <c r="E53" s="11" t="s">
        <v>668</v>
      </c>
      <c r="F53">
        <v>1</v>
      </c>
      <c r="M53" s="5" t="str" cm="1">
        <f t="array" ref="M53">CONCATENATE("                  ""    ",Liste(B53:L53),IF(M54&lt;&gt;"",", \n""",""")"))</f>
        <v xml:space="preserve">                  "    (2, 'Sonderurlaub', 'SU', 'Die Person hat Sonderurlaub', 1), \n"</v>
      </c>
    </row>
    <row r="54" spans="1:13" x14ac:dyDescent="0.45">
      <c r="A54" t="s">
        <v>646</v>
      </c>
      <c r="B54">
        <v>3</v>
      </c>
      <c r="C54" s="11" t="s">
        <v>670</v>
      </c>
      <c r="D54" s="11" t="s">
        <v>664</v>
      </c>
      <c r="E54" s="11" t="s">
        <v>669</v>
      </c>
      <c r="F54">
        <v>1</v>
      </c>
      <c r="M54" s="5" t="str" cm="1">
        <f t="array" ref="M54">CONCATENATE("                  ""    ",Liste(B54:L54),IF(M55&lt;&gt;"",", \n""",""")"))</f>
        <v xml:space="preserve">                  "    (3, 'Krankheit bezahlt', 'K', 'Die Person ist krankgeschrieben', 1), \n"</v>
      </c>
    </row>
    <row r="55" spans="1:13" x14ac:dyDescent="0.45">
      <c r="A55" t="s">
        <v>646</v>
      </c>
      <c r="B55">
        <v>4</v>
      </c>
      <c r="C55" s="11" t="s">
        <v>671</v>
      </c>
      <c r="D55" s="11" t="s">
        <v>672</v>
      </c>
      <c r="E55" s="11" t="s">
        <v>673</v>
      </c>
      <c r="F55">
        <v>1</v>
      </c>
      <c r="M55" s="5" t="str" cm="1">
        <f t="array" ref="M55">CONCATENATE("                  ""    ",Liste(B55:L55),IF(M56&lt;&gt;"",", \n""",""")"))</f>
        <v xml:space="preserve">                  "    (4, 'Krankheit unbezahlt', 'KU', 'Die Person ist krankgeschrieben, aber die Krankenkasse zahlt.', 1), \n"</v>
      </c>
    </row>
    <row r="56" spans="1:13" x14ac:dyDescent="0.45">
      <c r="A56" t="s">
        <v>646</v>
      </c>
      <c r="B56">
        <v>5</v>
      </c>
      <c r="C56" s="11" t="s">
        <v>662</v>
      </c>
      <c r="D56" s="11" t="s">
        <v>666</v>
      </c>
      <c r="E56" s="11" t="s">
        <v>674</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702</v>
      </c>
      <c r="B58" t="s">
        <v>132</v>
      </c>
      <c r="C58" t="s">
        <v>127</v>
      </c>
      <c r="D58" t="s">
        <v>128</v>
      </c>
      <c r="E58" t="s">
        <v>129</v>
      </c>
      <c r="F58" t="s">
        <v>131</v>
      </c>
      <c r="M58" s="5" t="str" cm="1">
        <f t="array" ref="M58">CONCATENATE("   .AddRangeValue(""INSERT INTO ",A58," ",Liste((B58:L58)), " VALUES\n""")</f>
        <v xml:space="preserve">   .AddRangeValue("INSERT INTO SalaryBase (ID, Denotation, Abbreviation, Description, UrgentValue) VALUES\n"</v>
      </c>
    </row>
    <row r="59" spans="1:13" x14ac:dyDescent="0.45">
      <c r="A59" t="s">
        <v>702</v>
      </c>
      <c r="B59">
        <v>0</v>
      </c>
      <c r="C59" s="11" t="s">
        <v>712</v>
      </c>
      <c r="D59" s="11" t="s">
        <v>775</v>
      </c>
      <c r="E59" s="11" t="s">
        <v>716</v>
      </c>
      <c r="F59">
        <v>1</v>
      </c>
      <c r="M59" s="5" t="str" cm="1">
        <f t="array" ref="M59">CONCATENATE("                  ""    ",Liste(B59:L59),IF(M60&lt;&gt;"",", \n""",""")"))</f>
        <v xml:space="preserve">                  "    (0, 'ohne', 'f', 'Die Angabe des Gehalts wird ignoriert oder einmalig gezahlt. Kostenloses Praktikum oder Probezeit.', 1), \n"</v>
      </c>
    </row>
    <row r="60" spans="1:13" x14ac:dyDescent="0.45">
      <c r="A60" t="s">
        <v>702</v>
      </c>
      <c r="B60">
        <v>1</v>
      </c>
      <c r="C60" s="11" t="s">
        <v>713</v>
      </c>
      <c r="D60" s="11" t="s">
        <v>776</v>
      </c>
      <c r="E60" s="11" t="s">
        <v>717</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702</v>
      </c>
      <c r="B61">
        <v>2</v>
      </c>
      <c r="C61" s="11" t="s">
        <v>714</v>
      </c>
      <c r="D61" s="11" t="s">
        <v>777</v>
      </c>
      <c r="E61" s="11" t="s">
        <v>718</v>
      </c>
      <c r="F61">
        <v>1</v>
      </c>
      <c r="M61" s="5" t="str" cm="1">
        <f t="array" ref="M61">CONCATENATE("                  ""    ",Liste(B61:L61),IF(M62&lt;&gt;"",", \n""",""")"))</f>
        <v xml:space="preserve">                  "    (2, 'täglich', 'd', 'Die Angabe des Gehalts erfolgt auf Tagesbasis. Dieses wird oft für Honorare verwendet.', 1), \n"</v>
      </c>
    </row>
    <row r="62" spans="1:13" x14ac:dyDescent="0.45">
      <c r="A62" t="s">
        <v>702</v>
      </c>
      <c r="B62">
        <v>3</v>
      </c>
      <c r="C62" s="11" t="s">
        <v>715</v>
      </c>
      <c r="D62" s="11" t="s">
        <v>778</v>
      </c>
      <c r="E62" s="11" t="s">
        <v>719</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278</v>
      </c>
      <c r="B64" t="s">
        <v>132</v>
      </c>
      <c r="C64" t="s">
        <v>127</v>
      </c>
      <c r="D64" t="s">
        <v>128</v>
      </c>
      <c r="E64" t="s">
        <v>129</v>
      </c>
      <c r="F64" t="s">
        <v>175</v>
      </c>
      <c r="G64" t="s">
        <v>131</v>
      </c>
      <c r="M64" s="5" t="str" cm="1">
        <f t="array" ref="M64">CONCATENATE("   .AddRangeValue(""INSERT INTO ",A64," ",Liste((B64:L64)), " VALUES\n""")</f>
        <v xml:space="preserve">   .AddRangeValue("INSERT INTO TaxClasses (ID, Denotation, Abbreviation, Description, Coupled, UrgentValue) VALUES\n"</v>
      </c>
    </row>
    <row r="65" spans="1:13" x14ac:dyDescent="0.45">
      <c r="A65" t="s">
        <v>278</v>
      </c>
      <c r="B65">
        <v>1</v>
      </c>
      <c r="C65" s="3" t="s">
        <v>320</v>
      </c>
      <c r="D65" s="3" t="s">
        <v>314</v>
      </c>
      <c r="E65" s="3" t="s">
        <v>464</v>
      </c>
      <c r="F65">
        <v>0</v>
      </c>
      <c r="G65">
        <v>1</v>
      </c>
      <c r="M65" s="5" t="str" cm="1">
        <f t="array" ref="M65">CONCATENATE("                  ""    ",Liste(B65:L65),IF(M66&lt;&gt;"",", \n""",""")"))</f>
        <v xml:space="preserve">                  "    (1, 'Steuerklasse 1', 'I', 'Dies ist die Standardsteuerklasse für alleinstehende Personen ohne Kinder.', 0, 1), \n"</v>
      </c>
    </row>
    <row r="66" spans="1:13" x14ac:dyDescent="0.45">
      <c r="A66" t="s">
        <v>278</v>
      </c>
      <c r="B66">
        <v>2</v>
      </c>
      <c r="C66" s="3" t="s">
        <v>321</v>
      </c>
      <c r="D66" s="3" t="s">
        <v>315</v>
      </c>
      <c r="E66" s="3" t="s">
        <v>331</v>
      </c>
      <c r="F66">
        <v>0</v>
      </c>
      <c r="G66">
        <v>1</v>
      </c>
      <c r="M66" s="5" t="str" cm="1">
        <f t="array" ref="M66">CONCATENATE("                  ""    ",Liste(B66:L66),IF(M67&lt;&gt;"",", \n""",""")"))</f>
        <v xml:space="preserve">                  "    (2, 'Steuerklasse 2', 'II', 'Diese Steuerklasse ist für Alleinerziehende mit mindestens einem Kind gedacht.', 0, 1), \n"</v>
      </c>
    </row>
    <row r="67" spans="1:13" x14ac:dyDescent="0.45">
      <c r="A67" t="s">
        <v>278</v>
      </c>
      <c r="B67">
        <v>3</v>
      </c>
      <c r="C67" s="3" t="s">
        <v>322</v>
      </c>
      <c r="D67" s="3" t="s">
        <v>316</v>
      </c>
      <c r="E67" s="3" t="s">
        <v>332</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278</v>
      </c>
      <c r="B68">
        <v>4</v>
      </c>
      <c r="C68" s="3" t="s">
        <v>323</v>
      </c>
      <c r="D68" s="3" t="s">
        <v>317</v>
      </c>
      <c r="E68" s="3" t="s">
        <v>333</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278</v>
      </c>
      <c r="B69">
        <v>5</v>
      </c>
      <c r="C69" s="3" t="s">
        <v>324</v>
      </c>
      <c r="D69" s="3" t="s">
        <v>318</v>
      </c>
      <c r="E69" s="3" t="s">
        <v>334</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278</v>
      </c>
      <c r="B70">
        <v>6</v>
      </c>
      <c r="C70" s="3" t="s">
        <v>330</v>
      </c>
      <c r="D70" s="3" t="s">
        <v>319</v>
      </c>
      <c r="E70" s="3" t="s">
        <v>336</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278</v>
      </c>
      <c r="B71">
        <v>7</v>
      </c>
      <c r="C71" s="3" t="s">
        <v>325</v>
      </c>
      <c r="D71" s="3" t="s">
        <v>328</v>
      </c>
      <c r="E71" s="3" t="s">
        <v>329</v>
      </c>
      <c r="F71">
        <v>0</v>
      </c>
      <c r="G71">
        <v>1</v>
      </c>
      <c r="M71" s="5" t="str" cm="1">
        <f t="array" ref="M71">CONCATENATE("                  ""    ",Liste(B71:L71),IF(M72&lt;&gt;"",", \n""",""")"))</f>
        <v xml:space="preserve">                  "    (7, 'Ausland', 'A', 'Person wohnt im Ausland, Steuer individuell bestimmen ', 0, 1), \n"</v>
      </c>
    </row>
    <row r="72" spans="1:13" x14ac:dyDescent="0.45">
      <c r="A72" t="s">
        <v>278</v>
      </c>
      <c r="B72">
        <v>8</v>
      </c>
      <c r="C72" s="3" t="s">
        <v>326</v>
      </c>
      <c r="D72" s="3" t="s">
        <v>327</v>
      </c>
      <c r="E72" s="3" t="s">
        <v>335</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ht="14.65" thickBot="1" x14ac:dyDescent="0.5">
      <c r="M74" s="5"/>
    </row>
    <row r="75" spans="1:13" s="14" customFormat="1" ht="14.65" thickTop="1" x14ac:dyDescent="0.45">
      <c r="M75" s="18"/>
    </row>
    <row r="76" spans="1:13" x14ac:dyDescent="0.45">
      <c r="A76" t="s">
        <v>826</v>
      </c>
      <c r="B76" t="s">
        <v>132</v>
      </c>
      <c r="C76" t="s">
        <v>127</v>
      </c>
      <c r="D76" t="s">
        <v>128</v>
      </c>
      <c r="E76" t="s">
        <v>129</v>
      </c>
      <c r="F76" t="s">
        <v>131</v>
      </c>
      <c r="M76" s="5" t="str" cm="1">
        <f t="array" ref="M76">CONCATENATE("   .AddRangeValue(""INSERT INTO ",A76," ",Liste((B76:L76)), " VALUES\n""")</f>
        <v xml:space="preserve">   .AddRangeValue("INSERT INTO CustClassification (ID, Denotation, Abbreviation, Description, UrgentValue) VALUES\n"</v>
      </c>
    </row>
    <row r="77" spans="1:13" x14ac:dyDescent="0.45">
      <c r="B77">
        <v>1</v>
      </c>
      <c r="C77" s="3" t="s">
        <v>838</v>
      </c>
      <c r="D77" s="3" t="s">
        <v>843</v>
      </c>
      <c r="E77" s="3" t="s">
        <v>848</v>
      </c>
      <c r="F77">
        <v>1</v>
      </c>
      <c r="M77" s="5" t="str" cm="1">
        <f t="array" ref="M77">CONCATENATE("                  ""    ",Liste(B77:L77),IF(M78&lt;&gt;"",", \n""",""")"))</f>
        <v xml:space="preserve">                  "    (1, 'Neukunde', 'Neu', 'Ein Kunde, der gerade erst begonnen hat, Geschäfte mit dem Unternehmen zu tätigen und möglicherweise noch nicht viel Erfahrung mit den Produkten oder Dienstleistungen des Unternehmens hat.', 1), \n"</v>
      </c>
    </row>
    <row r="78" spans="1:13" x14ac:dyDescent="0.45">
      <c r="B78">
        <v>2</v>
      </c>
      <c r="C78" s="3" t="s">
        <v>839</v>
      </c>
      <c r="D78" s="3" t="s">
        <v>844</v>
      </c>
      <c r="E78" s="3" t="s">
        <v>849</v>
      </c>
      <c r="F78">
        <v>1</v>
      </c>
      <c r="M78" s="5" t="str" cm="1">
        <f t="array" ref="M78">CONCATENATE("                  ""    ",Liste(B78:L78),IF(M79&lt;&gt;"",", \n""",""")"))</f>
        <v xml:space="preserve">                  "    (2, 'VIP-Kunde', 'VIP', 'Ein Kunde, der aufgrund seines langjährigen Engagements, seines hohen Umsatzes oder seiner anderen besonderen Merkmale einen VIP-Status im Unternehmen hat.', 1), \n"</v>
      </c>
    </row>
    <row r="79" spans="1:13" x14ac:dyDescent="0.45">
      <c r="B79">
        <v>3</v>
      </c>
      <c r="C79" s="3" t="s">
        <v>840</v>
      </c>
      <c r="D79" s="3" t="s">
        <v>845</v>
      </c>
      <c r="E79" s="3" t="s">
        <v>850</v>
      </c>
      <c r="F79">
        <v>1</v>
      </c>
      <c r="M79" s="5" t="str" cm="1">
        <f t="array" ref="M79">CONCATENATE("                  ""    ",Liste(B79:L79),IF(M80&lt;&gt;"",", \n""",""")"))</f>
        <v xml:space="preserve">                  "    (3, 'Gelegenheitskunde', 'GK', 'Ein Kunde, der nur gelegentlich Geschäfte mit dem Unternehmen tätigt und keine regelmäßigen oder wiederkehrenden Käufe macht.', 1), \n"</v>
      </c>
    </row>
    <row r="80" spans="1:13" x14ac:dyDescent="0.45">
      <c r="B80">
        <v>4</v>
      </c>
      <c r="C80" s="3" t="s">
        <v>841</v>
      </c>
      <c r="D80" s="3" t="s">
        <v>847</v>
      </c>
      <c r="E80" s="3" t="s">
        <v>851</v>
      </c>
      <c r="F80">
        <v>1</v>
      </c>
      <c r="M80" s="5" t="str" cm="1">
        <f t="array" ref="M80">CONCATENATE("                  ""    ",Liste(B80:L80),IF(M81&lt;&gt;"",", \n""",""")"))</f>
        <v xml:space="preserve">                  "    (4, 'Geschäftskunde', 'B2B', 'Ein Kunde, der ein anderes Unternehmen oder eine Organisation vertritt und Produkte oder Dienstleistungen für geschäftliche Zwecke erwirbt. Diese Kunden haben oft spezifische Anforderungen und erwarten eine professionelle Betreuung.', 1), \n"</v>
      </c>
    </row>
    <row r="81" spans="1:13" x14ac:dyDescent="0.45">
      <c r="B81">
        <v>5</v>
      </c>
      <c r="C81" s="3" t="s">
        <v>842</v>
      </c>
      <c r="D81" s="3" t="s">
        <v>846</v>
      </c>
      <c r="E81" s="3" t="s">
        <v>852</v>
      </c>
      <c r="F81">
        <v>1</v>
      </c>
      <c r="M81" s="5" t="str" cm="1">
        <f t="array" ref="M81">CONCATENATE("                  ""    ",Liste(B81:L81),IF(M82&lt;&gt;"",", \n""",""")"))</f>
        <v xml:space="preserve">                  "    (5, 'Privatkunde', 'B2C', 'Ein Kunde, der als Einzelperson Produkte oder Dienstleistungen für den persönlichen Gebrauch erwirbt. Diese Kunden können eine Vielzahl von Bedürfnissen haben und erwarten oft eine persönliche und freundliche Betreuung.', 1)")</v>
      </c>
    </row>
    <row r="83" spans="1:13" x14ac:dyDescent="0.45">
      <c r="A83" t="s">
        <v>857</v>
      </c>
      <c r="B83" t="s">
        <v>132</v>
      </c>
      <c r="C83" t="s">
        <v>127</v>
      </c>
      <c r="D83" t="s">
        <v>128</v>
      </c>
      <c r="E83" t="s">
        <v>129</v>
      </c>
      <c r="F83" t="s">
        <v>131</v>
      </c>
      <c r="M83" s="5" t="str" cm="1">
        <f t="array" ref="M83">CONCATENATE("   .AddRangeValue(""INSERT INTO ",A83," ",Liste((B83:L83)), " VALUES\n""")</f>
        <v xml:space="preserve">   .AddRangeValue("INSERT INTO CustLiaison (ID, Denotation, Abbreviation, Description, UrgentValue) VALUES\n"</v>
      </c>
    </row>
    <row r="84" spans="1:13" x14ac:dyDescent="0.45">
      <c r="B84">
        <v>1</v>
      </c>
      <c r="C84" s="3" t="s">
        <v>882</v>
      </c>
      <c r="D84" s="3" t="s">
        <v>883</v>
      </c>
      <c r="E84" s="3" t="s">
        <v>881</v>
      </c>
      <c r="F84">
        <v>1</v>
      </c>
      <c r="M84" s="5" t="str" cm="1">
        <f t="array" ref="M84">CONCATENATE("                  ""    ",Liste(B84:L84),IF(M85&lt;&gt;"",", \n""",""")"))</f>
        <v xml:space="preserve">                  "    (1, 'Geschäftsführer/in', 'GV', 'Der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 1), \n"</v>
      </c>
    </row>
    <row r="85" spans="1:13" x14ac:dyDescent="0.45">
      <c r="B85">
        <v>2</v>
      </c>
      <c r="C85" s="3" t="s">
        <v>876</v>
      </c>
      <c r="D85" s="3" t="s">
        <v>869</v>
      </c>
      <c r="E85" s="3" t="s">
        <v>877</v>
      </c>
      <c r="F85">
        <v>1</v>
      </c>
      <c r="M85" s="5" t="str" cm="1">
        <f t="array" ref="M85">CONCATENATE("                  ""    ",Liste(B85:L85),IF(M86&lt;&gt;"",", \n""",""")"))</f>
        <v xml:space="preserve">                  "    (2, 'Projektmanager/in', 'Projekt', 'Der Projektleiter ist die zentrale Kontaktperson beim Kunden während eines Projekts. Sie sind verantwortlich für die Planung, Organisation und Überwachung des Projekts sowie für die Koordination aller internen und externen Aktivitäten.', 1), \n"</v>
      </c>
    </row>
    <row r="86" spans="1:13" x14ac:dyDescent="0.45">
      <c r="B86">
        <v>3</v>
      </c>
      <c r="C86" s="3" t="s">
        <v>875</v>
      </c>
      <c r="D86" s="3" t="s">
        <v>871</v>
      </c>
      <c r="E86" s="3" t="s">
        <v>878</v>
      </c>
      <c r="F86">
        <v>1</v>
      </c>
      <c r="M86" s="5" t="str" cm="1">
        <f t="array" ref="M86">CONCATENATE("                  ""    ",Liste(B86:L86),IF(M87&lt;&gt;"",", \n""",""")"))</f>
        <v xml:space="preserve">                  "    (3, 'Technische/r Berater/in', 'Technik', 'Der technische Ansprechpartner ist eine Person beim Kunden, die als direkter Kontaktpunkt für technische Fragen, Unterstützung und Problemlösungen fungiert.', 1), \n"</v>
      </c>
    </row>
    <row r="87" spans="1:13" x14ac:dyDescent="0.45">
      <c r="B87">
        <v>4</v>
      </c>
      <c r="C87" s="3" t="s">
        <v>874</v>
      </c>
      <c r="D87" s="3" t="s">
        <v>870</v>
      </c>
      <c r="E87" s="3" t="s">
        <v>879</v>
      </c>
      <c r="F87">
        <v>1</v>
      </c>
      <c r="M87" s="5" t="str" cm="1">
        <f t="array" ref="M87">CONCATENATE("                  ""    ",Liste(B87:L87),IF(M88&lt;&gt;"",", \n""",""")"))</f>
        <v xml:space="preserve">                  "    (4, 'Kaufmännische/r Berater/in', 'Finanzen', 'Der kaufmännische Ansprechpartner ist für alle kaufmännischen Belange beim Kunden zuständig. Er ist verantwortlich für die Verwaltung von Verträgen, Preisgestaltung, Budgetierung und anderen finanziellen Fragen.', 1), \n"</v>
      </c>
    </row>
    <row r="88" spans="1:13" x14ac:dyDescent="0.45">
      <c r="B88">
        <v>5</v>
      </c>
      <c r="C88" s="3" t="s">
        <v>873</v>
      </c>
      <c r="D88" s="3" t="s">
        <v>872</v>
      </c>
      <c r="E88" s="3" t="s">
        <v>880</v>
      </c>
      <c r="F88">
        <v>1</v>
      </c>
      <c r="M88" s="5" t="str" cm="1">
        <f t="array" ref="M88">CONCATENATE("                  ""    ",Liste(B88:L88),IF(M89&lt;&gt;"",", \n""",""")"))</f>
        <v xml:space="preserve">                  "    (5, 'Vertragsmanager/in', 'Vertrag', 'Der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 1)")</v>
      </c>
    </row>
    <row r="90" spans="1:13" x14ac:dyDescent="0.45">
      <c r="A90" t="s">
        <v>901</v>
      </c>
      <c r="B90" t="s">
        <v>132</v>
      </c>
      <c r="C90" t="s">
        <v>127</v>
      </c>
      <c r="D90" t="s">
        <v>128</v>
      </c>
      <c r="E90" t="s">
        <v>129</v>
      </c>
      <c r="F90" t="s">
        <v>922</v>
      </c>
      <c r="G90" t="s">
        <v>131</v>
      </c>
      <c r="M90" s="5" t="str" cm="1">
        <f t="array" ref="M90">CONCATENATE("   .AddRangeValue(""INSERT INTO ",A90," ",Liste((B90:L90)), " VALUES\n""")</f>
        <v xml:space="preserve">   .AddRangeValue("INSERT INTO CorporateForm (ID, Denotation, Abbreviation, Description, IsLegalEntrity, UrgentValue) VALUES\n"</v>
      </c>
    </row>
    <row r="91" spans="1:13" x14ac:dyDescent="0.45">
      <c r="B91">
        <v>1</v>
      </c>
      <c r="C91" s="3" t="s">
        <v>903</v>
      </c>
      <c r="D91" s="3" t="s">
        <v>939</v>
      </c>
      <c r="E91" s="3" t="s">
        <v>902</v>
      </c>
      <c r="F91">
        <v>1</v>
      </c>
      <c r="G91">
        <v>1</v>
      </c>
      <c r="M91" s="5" t="str" cm="1">
        <f t="array" ref="M91">CONCATENATE("                  ""    ",Liste(B91:L91),IF(M92&lt;&gt;"",", \n""",""")"))</f>
        <v xml:space="preserve">                  "    (1, 'Gesellschaft mit beschränkter Haftung', 'GmbH', 'Eine GmbH ist eine Kapitalgesellschaft, bei der die Haftung der Gesellschafter auf ihre Einlagen beschränkt ist.', 1, 1), \n"</v>
      </c>
    </row>
    <row r="92" spans="1:13" x14ac:dyDescent="0.45">
      <c r="B92">
        <v>2</v>
      </c>
      <c r="C92" s="3" t="s">
        <v>905</v>
      </c>
      <c r="D92" s="3" t="s">
        <v>904</v>
      </c>
      <c r="E92" s="3" t="s">
        <v>906</v>
      </c>
      <c r="F92">
        <v>1</v>
      </c>
      <c r="G92">
        <v>1</v>
      </c>
      <c r="M92" s="5" t="str" cm="1">
        <f t="array" ref="M92">CONCATENATE("                  ""    ",Liste(B92:L92),IF(M93&lt;&gt;"",", \n""",""")"))</f>
        <v xml:space="preserve">                  "    (2, 'Aktiengesellschaft', 'AG', 'Eine AG ist eine Kapitalgesellschaft, deren Grundkapital in Aktien zerlegt ist und deren Eigentümer (Aktionäre) beschränkt haften.', 1, 1), \n"</v>
      </c>
    </row>
    <row r="93" spans="1:13" x14ac:dyDescent="0.45">
      <c r="B93">
        <v>3</v>
      </c>
      <c r="C93" s="3" t="s">
        <v>907</v>
      </c>
      <c r="D93" s="3" t="s">
        <v>908</v>
      </c>
      <c r="E93" s="3" t="s">
        <v>909</v>
      </c>
      <c r="F93">
        <v>1</v>
      </c>
      <c r="G93">
        <v>1</v>
      </c>
      <c r="M93" s="5" t="str" cm="1">
        <f t="array" ref="M93">CONCATENATE("                  ""    ",Liste(B93:L93),IF(M94&lt;&gt;"",", \n""",""")"))</f>
        <v xml:space="preserve">                  "    (3, 'Unternehmergesellschaft (haftungsbeschränkt)', 'UG', 'Eine UG ist eine haftungsbeschränkte Kapitalgesellschaft, die eine niedrigere Mindesteinlage erfordert als eine GmbH. Sie kann in eine GmbH umgewandelt werden.', 1, 1), \n"</v>
      </c>
    </row>
    <row r="94" spans="1:13" x14ac:dyDescent="0.45">
      <c r="B94">
        <v>4</v>
      </c>
      <c r="C94" s="3" t="s">
        <v>910</v>
      </c>
      <c r="D94" s="3" t="s">
        <v>911</v>
      </c>
      <c r="E94" s="3" t="s">
        <v>912</v>
      </c>
      <c r="F94">
        <v>1</v>
      </c>
      <c r="G94">
        <v>1</v>
      </c>
      <c r="M94" s="5" t="str" cm="1">
        <f t="array" ref="M94">CONCATENATE("                  ""    ",Liste(B94:L94),IF(M95&lt;&gt;"",", \n""",""")"))</f>
        <v xml:space="preserve">                  "    (4, 'Offene Handelsgesellschaft', 'OHG', 'Eine OHG ist eine Personengesellschaft, bei der alle Gesellschafter unbeschränkt und persönlich für die Verbindlichkeiten der Gesellschaft haften.', 1, 1), \n"</v>
      </c>
    </row>
    <row r="95" spans="1:13" x14ac:dyDescent="0.45">
      <c r="B95">
        <v>5</v>
      </c>
      <c r="C95" s="3" t="s">
        <v>913</v>
      </c>
      <c r="D95" s="3" t="s">
        <v>914</v>
      </c>
      <c r="E95" s="3" t="s">
        <v>915</v>
      </c>
      <c r="F95">
        <v>1</v>
      </c>
      <c r="G95">
        <v>1</v>
      </c>
      <c r="M95" s="5" t="str" cm="1">
        <f t="array" ref="M95">CONCATENATE("                  ""    ",Liste(B95:L95),IF(M96&lt;&gt;"",", \n""",""")"))</f>
        <v xml:space="preserve">                  "    (5, 'Kommanditgesellschaft', 'KG', 'Eine KG ist eine Personengesellschaft, bei der es neben den unbeschränkt haftenden Gesellschaftern (Komplementären) auch beschränkt haftende Gesellschafter gibt.', 1, 1), \n"</v>
      </c>
    </row>
    <row r="96" spans="1:13" x14ac:dyDescent="0.45">
      <c r="B96">
        <v>6</v>
      </c>
      <c r="C96" s="3" t="s">
        <v>917</v>
      </c>
      <c r="D96" s="3" t="s">
        <v>916</v>
      </c>
      <c r="E96" s="3" t="s">
        <v>918</v>
      </c>
      <c r="F96">
        <v>0</v>
      </c>
      <c r="G96">
        <v>1</v>
      </c>
      <c r="M96" s="5" t="str" cm="1">
        <f t="array" ref="M96">CONCATENATE("                  ""    ",Liste(B96:L96),IF(M97&lt;&gt;"",", \n""",""")"))</f>
        <v xml:space="preserve">                  "    (6, 'Einzelkaufmann', 'e.K.', 'Ein e.K. ist eine Einzelunternehmung, bei der der Unternehmer allein und unbeschränkt für alle Verbindlichkeiten haftet.', 0, 1), \n"</v>
      </c>
    </row>
    <row r="97" spans="2:13" x14ac:dyDescent="0.45">
      <c r="B97">
        <v>7</v>
      </c>
      <c r="C97" s="3" t="s">
        <v>920</v>
      </c>
      <c r="D97" s="3" t="s">
        <v>919</v>
      </c>
      <c r="E97" s="3" t="s">
        <v>921</v>
      </c>
      <c r="F97">
        <v>0</v>
      </c>
      <c r="G97">
        <v>1</v>
      </c>
      <c r="M97" s="5" t="str" cm="1">
        <f t="array" ref="M97">CONCATENATE("                  ""    ",Liste(B97:L97),IF(M98&lt;&gt;"",", \n""",""")"))</f>
        <v xml:space="preserve">                  "    (7, 'Ges. mit beschr. Haftung &amp; Compagnie Kommanditges.', 'GmbH &amp; Co. KG', 'Eine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 0, 1), \n"</v>
      </c>
    </row>
    <row r="98" spans="2:13" x14ac:dyDescent="0.45">
      <c r="B98">
        <v>8</v>
      </c>
      <c r="C98" s="3" t="s">
        <v>937</v>
      </c>
      <c r="D98" s="3" t="s">
        <v>938</v>
      </c>
      <c r="E98" s="3" t="s">
        <v>940</v>
      </c>
      <c r="F98">
        <v>0</v>
      </c>
      <c r="G98">
        <v>1</v>
      </c>
      <c r="M98" s="5" t="str" cm="1">
        <f t="array" ref="M98">CONCATENATE("                  ""    ",Liste(B98:L98),IF(M99&lt;&gt;"",", \n""",""")"))</f>
        <v xml:space="preserve">                  "    (8, 'Gesellschaft bürgerlichen Rechts', 'GbR', 'Eine GbR ist eine Personengesellschaft, bei der mindestens zwei natürliche oder juristische Personen gemeinsam ein bestimmtes Ziel verfolgen und gemeinsam handeln.', 0, 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102</v>
      </c>
      <c r="B2" t="s">
        <v>471</v>
      </c>
      <c r="D2" s="5" t="s">
        <v>475</v>
      </c>
      <c r="F2" s="5" t="str">
        <f>CONCATENATE("   .",B2,"(""",D2,IF(D3&lt;&gt;"","\n""",""")"))</f>
        <v xml:space="preserve">   .AddPostConditions("CREATE FUNCTION [dbo].[Country_Dialing] (@id AS INTEGER) RETURNS VARCHAR(10)\n"</v>
      </c>
    </row>
    <row r="3" spans="1:6" x14ac:dyDescent="0.45">
      <c r="A3" t="s">
        <v>102</v>
      </c>
      <c r="B3" t="s">
        <v>471</v>
      </c>
      <c r="D3" s="5" t="s">
        <v>469</v>
      </c>
      <c r="F3" s="5" t="str">
        <f t="shared" ref="F3:F9" si="0">CONCATENATE(REPT(" ",LEN(B3)+5),"""",D3,IF(F4&lt;&gt;"","\n""",""")"))</f>
        <v xml:space="preserve">                      "BEGIN\n"</v>
      </c>
    </row>
    <row r="4" spans="1:6" x14ac:dyDescent="0.45">
      <c r="A4" t="s">
        <v>102</v>
      </c>
      <c r="B4" t="s">
        <v>471</v>
      </c>
      <c r="D4" s="5" t="s">
        <v>465</v>
      </c>
      <c r="F4" s="5" t="str">
        <f t="shared" si="0"/>
        <v xml:space="preserve">                      "   DECLARE @retval VARCHAR(10);\n"</v>
      </c>
    </row>
    <row r="5" spans="1:6" x14ac:dyDescent="0.45">
      <c r="A5" t="s">
        <v>102</v>
      </c>
      <c r="B5" t="s">
        <v>471</v>
      </c>
      <c r="D5" s="5" t="s">
        <v>466</v>
      </c>
      <c r="F5" s="5" t="str">
        <f t="shared" si="0"/>
        <v xml:space="preserve">                      "   SELECT @retval = CountryDialing\n"</v>
      </c>
    </row>
    <row r="6" spans="1:6" x14ac:dyDescent="0.45">
      <c r="A6" t="s">
        <v>102</v>
      </c>
      <c r="B6" t="s">
        <v>471</v>
      </c>
      <c r="D6" s="5" t="s">
        <v>467</v>
      </c>
      <c r="F6" s="5" t="str">
        <f t="shared" si="0"/>
        <v xml:space="preserve">                      "   FROM dbo.Countries\n"</v>
      </c>
    </row>
    <row r="7" spans="1:6" x14ac:dyDescent="0.45">
      <c r="A7" t="s">
        <v>102</v>
      </c>
      <c r="B7" t="s">
        <v>471</v>
      </c>
      <c r="D7" s="5" t="s">
        <v>468</v>
      </c>
      <c r="F7" s="5" t="str">
        <f t="shared" si="0"/>
        <v xml:space="preserve">                      "   WHERE ID = @id;\n"</v>
      </c>
    </row>
    <row r="8" spans="1:6" x14ac:dyDescent="0.45">
      <c r="A8" t="s">
        <v>102</v>
      </c>
      <c r="B8" t="s">
        <v>471</v>
      </c>
      <c r="D8" s="5" t="s">
        <v>470</v>
      </c>
      <c r="F8" s="5" t="str">
        <f t="shared" si="0"/>
        <v xml:space="preserve">                      "   RETURN @retval;\n"</v>
      </c>
    </row>
    <row r="9" spans="1:6" x14ac:dyDescent="0.45">
      <c r="A9" t="s">
        <v>102</v>
      </c>
      <c r="B9" t="s">
        <v>471</v>
      </c>
      <c r="D9" s="5" t="s">
        <v>472</v>
      </c>
      <c r="F9" s="5" t="str">
        <f t="shared" si="0"/>
        <v xml:space="preserve">                      "END")</v>
      </c>
    </row>
    <row r="10" spans="1:6" x14ac:dyDescent="0.45">
      <c r="A10" t="s">
        <v>102</v>
      </c>
      <c r="B10" t="s">
        <v>471</v>
      </c>
    </row>
    <row r="12" spans="1:6" x14ac:dyDescent="0.45">
      <c r="A12" t="s">
        <v>102</v>
      </c>
      <c r="B12" t="s">
        <v>473</v>
      </c>
      <c r="D12" s="5" t="s">
        <v>474</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59</v>
      </c>
    </row>
    <row r="2" spans="1:16" x14ac:dyDescent="0.45">
      <c r="A2" t="s">
        <v>23</v>
      </c>
      <c r="B2">
        <v>0</v>
      </c>
      <c r="C2" t="s">
        <v>78</v>
      </c>
      <c r="D2" t="s">
        <v>79</v>
      </c>
      <c r="E2" t="s">
        <v>165</v>
      </c>
      <c r="H2" t="s">
        <v>166</v>
      </c>
      <c r="I2" t="s">
        <v>167</v>
      </c>
      <c r="O2" t="s">
        <v>54</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38</v>
      </c>
      <c r="E3" t="s">
        <v>20</v>
      </c>
      <c r="F3">
        <v>0</v>
      </c>
      <c r="G3">
        <v>0</v>
      </c>
      <c r="H3" t="s">
        <v>56</v>
      </c>
      <c r="I3" t="s">
        <v>56</v>
      </c>
      <c r="O3" t="s">
        <v>55</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39</v>
      </c>
      <c r="E4" t="s">
        <v>20</v>
      </c>
      <c r="F4">
        <v>0</v>
      </c>
      <c r="G4">
        <v>0</v>
      </c>
      <c r="H4" t="s">
        <v>56</v>
      </c>
      <c r="I4" t="s">
        <v>56</v>
      </c>
      <c r="N4">
        <v>11</v>
      </c>
      <c r="P4" s="2" t="str">
        <f t="shared" si="0"/>
        <v xml:space="preserve">      .AddAttribute(  2, "District_ID", "Bezirk_ID", "integer", 0, 0, false, false, "", "", "")</v>
      </c>
    </row>
    <row r="5" spans="1:16" x14ac:dyDescent="0.45">
      <c r="A5" t="s">
        <v>23</v>
      </c>
      <c r="B5">
        <v>3</v>
      </c>
      <c r="C5" t="s">
        <v>2</v>
      </c>
      <c r="D5" t="s">
        <v>40</v>
      </c>
      <c r="E5" t="s">
        <v>20</v>
      </c>
      <c r="F5">
        <v>0</v>
      </c>
      <c r="G5">
        <v>0</v>
      </c>
      <c r="H5" t="s">
        <v>56</v>
      </c>
      <c r="I5" t="s">
        <v>56</v>
      </c>
      <c r="N5">
        <v>13</v>
      </c>
      <c r="P5" s="2" t="str">
        <f t="shared" si="0"/>
        <v xml:space="preserve">      .AddAttribute(  3, "Neighborhood_ID", "Ortsteil_ID", "integer", 0, 0, false, false, "", "", "")</v>
      </c>
    </row>
    <row r="6" spans="1:16" x14ac:dyDescent="0.45">
      <c r="A6" t="s">
        <v>23</v>
      </c>
      <c r="B6">
        <v>4</v>
      </c>
      <c r="C6" t="s">
        <v>3</v>
      </c>
      <c r="D6" t="s">
        <v>41</v>
      </c>
      <c r="E6" t="s">
        <v>20</v>
      </c>
      <c r="F6">
        <v>0</v>
      </c>
      <c r="G6">
        <v>0</v>
      </c>
      <c r="H6" t="s">
        <v>56</v>
      </c>
      <c r="I6" t="s">
        <v>56</v>
      </c>
      <c r="N6">
        <v>7</v>
      </c>
      <c r="P6" s="2" t="str">
        <f t="shared" si="0"/>
        <v xml:space="preserve">      .AddAttribute(  4, "Street_ID", "Strasse_ID", "integer", 0, 0, false, false, "", "", "")</v>
      </c>
    </row>
    <row r="7" spans="1:16" x14ac:dyDescent="0.45">
      <c r="A7" t="s">
        <v>23</v>
      </c>
      <c r="B7">
        <v>5</v>
      </c>
      <c r="C7" t="s">
        <v>4</v>
      </c>
      <c r="D7" t="s">
        <v>42</v>
      </c>
      <c r="E7" t="s">
        <v>19</v>
      </c>
      <c r="F7">
        <v>75</v>
      </c>
      <c r="G7">
        <v>0</v>
      </c>
      <c r="H7" t="s">
        <v>56</v>
      </c>
      <c r="I7" t="s">
        <v>56</v>
      </c>
      <c r="N7">
        <v>22</v>
      </c>
      <c r="P7" s="2" t="str">
        <f t="shared" si="0"/>
        <v xml:space="preserve">      .AddAttribute(  5, "State", "Land", "varchar", 75, 0, false, false, "", "", "")</v>
      </c>
    </row>
    <row r="8" spans="1:16" x14ac:dyDescent="0.45">
      <c r="A8" t="s">
        <v>23</v>
      </c>
      <c r="B8">
        <v>6</v>
      </c>
      <c r="C8" t="s">
        <v>5</v>
      </c>
      <c r="D8" t="s">
        <v>43</v>
      </c>
      <c r="E8" t="s">
        <v>19</v>
      </c>
      <c r="F8">
        <v>75</v>
      </c>
      <c r="G8">
        <v>0</v>
      </c>
      <c r="H8" t="s">
        <v>56</v>
      </c>
      <c r="I8" t="s">
        <v>56</v>
      </c>
      <c r="N8">
        <v>22</v>
      </c>
      <c r="P8" s="2" t="str">
        <f t="shared" si="0"/>
        <v xml:space="preserve">      .AddAttribute(  6, "City", "Stadt", "varchar", 75, 0, false, false, "", "", "")</v>
      </c>
    </row>
    <row r="9" spans="1:16" x14ac:dyDescent="0.45">
      <c r="A9" t="s">
        <v>23</v>
      </c>
      <c r="B9">
        <v>7</v>
      </c>
      <c r="C9" t="s">
        <v>6</v>
      </c>
      <c r="D9" t="s">
        <v>44</v>
      </c>
      <c r="E9" t="s">
        <v>19</v>
      </c>
      <c r="F9">
        <v>75</v>
      </c>
      <c r="G9">
        <v>0</v>
      </c>
      <c r="H9" t="s">
        <v>56</v>
      </c>
      <c r="I9" t="s">
        <v>56</v>
      </c>
      <c r="N9">
        <v>10</v>
      </c>
      <c r="P9" s="2" t="str">
        <f t="shared" si="0"/>
        <v xml:space="preserve">      .AddAttribute(  7, "District", "Bezirk", "varchar", 75, 0, false, false, "", "", "")</v>
      </c>
    </row>
    <row r="10" spans="1:16" x14ac:dyDescent="0.45">
      <c r="A10" t="s">
        <v>23</v>
      </c>
      <c r="B10">
        <v>8</v>
      </c>
      <c r="C10" t="s">
        <v>7</v>
      </c>
      <c r="D10" t="s">
        <v>45</v>
      </c>
      <c r="E10" t="s">
        <v>19</v>
      </c>
      <c r="F10">
        <v>75</v>
      </c>
      <c r="G10">
        <v>0</v>
      </c>
      <c r="H10" t="s">
        <v>56</v>
      </c>
      <c r="I10" t="s">
        <v>56</v>
      </c>
      <c r="N10">
        <v>12</v>
      </c>
      <c r="P10" s="2" t="str">
        <f t="shared" si="0"/>
        <v xml:space="preserve">      .AddAttribute(  8, "Neighborhood", "Ortsteil", "varchar", 75, 0, false, false, "", "", "")</v>
      </c>
    </row>
    <row r="11" spans="1:16" x14ac:dyDescent="0.45">
      <c r="A11" t="s">
        <v>23</v>
      </c>
      <c r="B11">
        <v>9</v>
      </c>
      <c r="C11" t="s">
        <v>8</v>
      </c>
      <c r="D11" t="s">
        <v>46</v>
      </c>
      <c r="E11" t="s">
        <v>19</v>
      </c>
      <c r="F11">
        <v>75</v>
      </c>
      <c r="G11">
        <v>0</v>
      </c>
      <c r="H11" t="s">
        <v>56</v>
      </c>
      <c r="I11" t="s">
        <v>56</v>
      </c>
      <c r="N11">
        <v>8</v>
      </c>
      <c r="P11" s="2" t="str">
        <f t="shared" si="0"/>
        <v xml:space="preserve">      .AddAttribute(  9, "Street", "Strasse", "varchar", 75, 0, false, false, "", "", "")</v>
      </c>
    </row>
    <row r="12" spans="1:16" x14ac:dyDescent="0.45">
      <c r="A12" t="s">
        <v>23</v>
      </c>
      <c r="B12">
        <v>10</v>
      </c>
      <c r="C12" t="s">
        <v>9</v>
      </c>
      <c r="D12" t="s">
        <v>47</v>
      </c>
      <c r="E12" t="s">
        <v>19</v>
      </c>
      <c r="F12">
        <v>5</v>
      </c>
      <c r="G12">
        <v>0</v>
      </c>
      <c r="H12" t="s">
        <v>56</v>
      </c>
      <c r="I12" t="s">
        <v>56</v>
      </c>
      <c r="N12">
        <v>9</v>
      </c>
      <c r="P12" s="2" t="str">
        <f t="shared" si="0"/>
        <v xml:space="preserve">      .AddAttribute( 10, "Postal_Code", "PLZ", "varchar", 5, 0, false, false, "", "", "")</v>
      </c>
    </row>
    <row r="13" spans="1:16" x14ac:dyDescent="0.45">
      <c r="A13" t="s">
        <v>23</v>
      </c>
      <c r="B13">
        <v>11</v>
      </c>
      <c r="C13" t="s">
        <v>10</v>
      </c>
      <c r="D13" t="s">
        <v>48</v>
      </c>
      <c r="E13" t="s">
        <v>20</v>
      </c>
      <c r="F13">
        <v>0</v>
      </c>
      <c r="G13">
        <v>0</v>
      </c>
      <c r="H13" t="s">
        <v>56</v>
      </c>
      <c r="I13" t="s">
        <v>56</v>
      </c>
      <c r="N13">
        <v>5</v>
      </c>
      <c r="P13" s="2" t="str">
        <f t="shared" si="0"/>
        <v xml:space="preserve">      .AddAttribute( 11, "House_Number", "HNR", "integer", 0, 0, false, false, "", "", "")</v>
      </c>
    </row>
    <row r="14" spans="1:16" x14ac:dyDescent="0.45">
      <c r="A14" t="s">
        <v>23</v>
      </c>
      <c r="B14">
        <v>12</v>
      </c>
      <c r="C14" t="s">
        <v>11</v>
      </c>
      <c r="D14" t="s">
        <v>49</v>
      </c>
      <c r="E14" t="s">
        <v>19</v>
      </c>
      <c r="F14">
        <v>5</v>
      </c>
      <c r="G14">
        <v>0</v>
      </c>
      <c r="H14" t="s">
        <v>56</v>
      </c>
      <c r="I14" t="s">
        <v>56</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56</v>
      </c>
      <c r="I15" t="s">
        <v>56</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56</v>
      </c>
      <c r="I16" t="s">
        <v>56</v>
      </c>
      <c r="N16">
        <v>2</v>
      </c>
      <c r="P16" s="2" t="str">
        <f t="shared" si="0"/>
        <v xml:space="preserve">      .AddAttribute( 14, "Longitude", "Longitude", "double", 0, 0, false, false, "", "", "")</v>
      </c>
    </row>
    <row r="17" spans="1:16" x14ac:dyDescent="0.45">
      <c r="A17" t="s">
        <v>23</v>
      </c>
      <c r="B17">
        <v>15</v>
      </c>
      <c r="C17" t="s">
        <v>14</v>
      </c>
      <c r="D17" t="s">
        <v>52</v>
      </c>
      <c r="E17" t="s">
        <v>22</v>
      </c>
      <c r="F17">
        <v>0</v>
      </c>
      <c r="G17">
        <v>0</v>
      </c>
      <c r="H17" t="s">
        <v>56</v>
      </c>
      <c r="I17" t="s">
        <v>56</v>
      </c>
      <c r="N17">
        <v>17</v>
      </c>
      <c r="P17" s="2" t="str">
        <f t="shared" si="0"/>
        <v xml:space="preserve">      .AddAttribute( 15, "Address_Date", "Adr_Datum", "date", 0, 0, false, false, "", "", "")</v>
      </c>
    </row>
    <row r="18" spans="1:16" x14ac:dyDescent="0.45">
      <c r="A18" t="s">
        <v>23</v>
      </c>
      <c r="B18">
        <v>16</v>
      </c>
      <c r="C18" t="s">
        <v>15</v>
      </c>
      <c r="D18" t="s">
        <v>53</v>
      </c>
      <c r="E18" t="s">
        <v>22</v>
      </c>
      <c r="F18">
        <v>0</v>
      </c>
      <c r="G18">
        <v>0</v>
      </c>
      <c r="H18" t="s">
        <v>56</v>
      </c>
      <c r="I18" t="s">
        <v>56</v>
      </c>
      <c r="N18">
        <v>18</v>
      </c>
      <c r="P18" s="2" t="str">
        <f t="shared" si="0"/>
        <v xml:space="preserve">      .AddAttribute( 16, "Street_Date", "Strasse_Datum", "date", 0, 0, false, false, "", "", "")</v>
      </c>
    </row>
    <row r="19" spans="1:16" x14ac:dyDescent="0.45">
      <c r="A19" t="s">
        <v>23</v>
      </c>
      <c r="B19">
        <v>17</v>
      </c>
      <c r="C19" t="s">
        <v>16</v>
      </c>
      <c r="D19" t="s">
        <v>50</v>
      </c>
      <c r="E19" t="s">
        <v>19</v>
      </c>
      <c r="F19">
        <v>100</v>
      </c>
      <c r="G19">
        <v>0</v>
      </c>
      <c r="H19" t="s">
        <v>56</v>
      </c>
      <c r="I19" t="s">
        <v>56</v>
      </c>
      <c r="N19">
        <v>19</v>
      </c>
      <c r="P19" s="2" t="str">
        <f t="shared" si="0"/>
        <v xml:space="preserve">      .AddAttribute( 17, "Quality", "Qualitaet", "varchar", 100, 0, false, false, "", "", "")</v>
      </c>
    </row>
    <row r="20" spans="1:16" x14ac:dyDescent="0.45">
      <c r="A20" t="s">
        <v>23</v>
      </c>
      <c r="B20">
        <v>18</v>
      </c>
      <c r="C20" t="s">
        <v>17</v>
      </c>
      <c r="D20" t="s">
        <v>51</v>
      </c>
      <c r="E20" t="s">
        <v>19</v>
      </c>
      <c r="F20">
        <v>100</v>
      </c>
      <c r="G20">
        <v>0</v>
      </c>
      <c r="H20" t="s">
        <v>56</v>
      </c>
      <c r="I20" t="s">
        <v>56</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56</v>
      </c>
      <c r="I21" t="s">
        <v>56</v>
      </c>
      <c r="N21">
        <v>21</v>
      </c>
      <c r="P21" s="2" t="str">
        <f t="shared" si="0"/>
        <v xml:space="preserve">      .AddAttribute( 19, "HKO_ID", "HKO_ID", "varchar", 20, 0, false, false, "", "", "")</v>
      </c>
    </row>
    <row r="22" spans="1:16" x14ac:dyDescent="0.45">
      <c r="P22" s="2" t="s">
        <v>67</v>
      </c>
    </row>
    <row r="24" spans="1:16" x14ac:dyDescent="0.45">
      <c r="K24" t="s">
        <v>256</v>
      </c>
      <c r="L24" t="s">
        <v>181</v>
      </c>
      <c r="M24" t="s">
        <v>429</v>
      </c>
    </row>
    <row r="25" spans="1:16" x14ac:dyDescent="0.45">
      <c r="A25" t="s">
        <v>98</v>
      </c>
      <c r="B25">
        <v>0</v>
      </c>
      <c r="C25" t="s">
        <v>112</v>
      </c>
      <c r="D25" t="s">
        <v>416</v>
      </c>
      <c r="E25" t="s">
        <v>165</v>
      </c>
      <c r="H25" t="s">
        <v>166</v>
      </c>
      <c r="I25" t="s">
        <v>167</v>
      </c>
      <c r="K25" s="2"/>
      <c r="L25" s="2"/>
      <c r="M25" s="2"/>
      <c r="O25" s="4" t="s">
        <v>188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98</v>
      </c>
      <c r="B26">
        <v>1</v>
      </c>
      <c r="C26" t="s">
        <v>132</v>
      </c>
      <c r="D26" t="s">
        <v>132</v>
      </c>
      <c r="E26" t="s">
        <v>20</v>
      </c>
      <c r="F26">
        <v>0</v>
      </c>
      <c r="G26">
        <v>0</v>
      </c>
      <c r="H26" t="s">
        <v>57</v>
      </c>
      <c r="I26" t="s">
        <v>57</v>
      </c>
      <c r="J26" t="s">
        <v>56</v>
      </c>
      <c r="K26" s="2"/>
      <c r="L26" s="2"/>
      <c r="M26" s="2"/>
      <c r="O26" s="4" t="s">
        <v>242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98</v>
      </c>
      <c r="B27">
        <v>2</v>
      </c>
      <c r="C27" t="s">
        <v>134</v>
      </c>
      <c r="D27" t="s">
        <v>134</v>
      </c>
      <c r="E27" t="s">
        <v>20</v>
      </c>
      <c r="F27">
        <v>0</v>
      </c>
      <c r="G27">
        <v>0</v>
      </c>
      <c r="H27" t="s">
        <v>57</v>
      </c>
      <c r="I27" t="s">
        <v>57</v>
      </c>
      <c r="J27" t="s">
        <v>57</v>
      </c>
      <c r="K27" s="2"/>
      <c r="L27" s="2"/>
      <c r="M27" s="2"/>
      <c r="O27" s="4" t="s">
        <v>189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98</v>
      </c>
      <c r="B28">
        <v>3</v>
      </c>
      <c r="C28" t="s">
        <v>136</v>
      </c>
      <c r="D28" t="s">
        <v>136</v>
      </c>
      <c r="E28" t="s">
        <v>19</v>
      </c>
      <c r="F28">
        <v>10</v>
      </c>
      <c r="G28">
        <v>0</v>
      </c>
      <c r="H28" t="s">
        <v>57</v>
      </c>
      <c r="I28" t="s">
        <v>56</v>
      </c>
      <c r="J28" t="s">
        <v>56</v>
      </c>
      <c r="K28" s="2"/>
      <c r="L28" s="2"/>
      <c r="M28" s="2"/>
      <c r="O28" s="4" t="s">
        <v>182</v>
      </c>
      <c r="P28" s="2" t="str">
        <f t="shared" si="1"/>
        <v xml:space="preserve">      .AddAttribute(  3, "Zipcode", "Zipcode", "varchar", 10, 0, true, false, "", "", "Zip code for the address")</v>
      </c>
    </row>
    <row r="29" spans="1:16" x14ac:dyDescent="0.45">
      <c r="A29" t="s">
        <v>98</v>
      </c>
      <c r="B29">
        <v>4</v>
      </c>
      <c r="C29" t="s">
        <v>5</v>
      </c>
      <c r="D29" t="s">
        <v>5</v>
      </c>
      <c r="E29" t="s">
        <v>19</v>
      </c>
      <c r="F29">
        <v>50</v>
      </c>
      <c r="G29">
        <v>0</v>
      </c>
      <c r="H29" t="s">
        <v>57</v>
      </c>
      <c r="I29" t="s">
        <v>56</v>
      </c>
      <c r="J29" t="s">
        <v>56</v>
      </c>
      <c r="K29" s="2"/>
      <c r="L29" s="2"/>
      <c r="M29" s="2"/>
      <c r="O29" s="4" t="s">
        <v>187</v>
      </c>
      <c r="P29" s="2" t="str">
        <f t="shared" si="1"/>
        <v xml:space="preserve">      .AddAttribute(  4, "City", "City", "varchar", 50, 0, true, false, "", "", "name of the city/county (possibly with district) for this address")</v>
      </c>
    </row>
    <row r="30" spans="1:16" x14ac:dyDescent="0.45">
      <c r="A30" t="s">
        <v>98</v>
      </c>
      <c r="B30">
        <v>5</v>
      </c>
      <c r="C30" t="s">
        <v>8</v>
      </c>
      <c r="D30" t="s">
        <v>8</v>
      </c>
      <c r="E30" t="s">
        <v>19</v>
      </c>
      <c r="F30">
        <v>50</v>
      </c>
      <c r="G30">
        <v>0</v>
      </c>
      <c r="H30" t="s">
        <v>57</v>
      </c>
      <c r="I30" t="s">
        <v>56</v>
      </c>
      <c r="J30" t="s">
        <v>56</v>
      </c>
      <c r="K30" s="2"/>
      <c r="L30" s="2"/>
      <c r="M30" s="2"/>
      <c r="O30" s="4" t="s">
        <v>186</v>
      </c>
      <c r="P30" s="2" t="str">
        <f t="shared" si="1"/>
        <v xml:space="preserve">      .AddAttribute(  5, "Street", "Street", "varchar", 50, 0, true, false, "", "", "name of the street belonging to this address")</v>
      </c>
    </row>
    <row r="31" spans="1:16" x14ac:dyDescent="0.45">
      <c r="A31" t="s">
        <v>98</v>
      </c>
      <c r="B31">
        <v>6</v>
      </c>
      <c r="C31" t="s">
        <v>135</v>
      </c>
      <c r="D31" t="s">
        <v>135</v>
      </c>
      <c r="E31" t="s">
        <v>19</v>
      </c>
      <c r="F31">
        <v>10</v>
      </c>
      <c r="G31">
        <v>0</v>
      </c>
      <c r="H31" t="s">
        <v>56</v>
      </c>
      <c r="I31" t="s">
        <v>56</v>
      </c>
      <c r="J31" t="s">
        <v>56</v>
      </c>
      <c r="K31" s="2"/>
      <c r="L31" s="2"/>
      <c r="M31" s="2"/>
      <c r="O31" s="4" t="s">
        <v>190</v>
      </c>
      <c r="P31" s="2" t="str">
        <f t="shared" si="1"/>
        <v xml:space="preserve">      .AddAttribute(  6, "StreetNumber", "StreetNumber", "varchar", 10, 0, false, false, "", "", "house number with addition for this address")</v>
      </c>
    </row>
    <row r="32" spans="1:16" x14ac:dyDescent="0.45">
      <c r="A32" t="s">
        <v>98</v>
      </c>
      <c r="B32">
        <v>7</v>
      </c>
      <c r="C32" t="s">
        <v>137</v>
      </c>
      <c r="D32" t="s">
        <v>137</v>
      </c>
      <c r="E32" t="s">
        <v>20</v>
      </c>
      <c r="F32">
        <v>0</v>
      </c>
      <c r="G32">
        <v>0</v>
      </c>
      <c r="H32" t="s">
        <v>57</v>
      </c>
      <c r="I32" t="s">
        <v>56</v>
      </c>
      <c r="J32" t="s">
        <v>56</v>
      </c>
      <c r="K32" s="2"/>
      <c r="L32" s="2"/>
      <c r="M32" s="2"/>
      <c r="O32" s="4" t="s">
        <v>184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99</v>
      </c>
      <c r="B34">
        <v>0</v>
      </c>
      <c r="C34" t="s">
        <v>113</v>
      </c>
      <c r="D34" t="s">
        <v>415</v>
      </c>
      <c r="E34" t="s">
        <v>165</v>
      </c>
      <c r="H34" t="s">
        <v>166</v>
      </c>
      <c r="I34" t="s">
        <v>167</v>
      </c>
      <c r="K34" s="2"/>
      <c r="L34" s="2"/>
      <c r="M34" s="2"/>
      <c r="O34" s="4" t="s">
        <v>185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99</v>
      </c>
      <c r="B35">
        <v>1</v>
      </c>
      <c r="C35" t="s">
        <v>132</v>
      </c>
      <c r="D35" t="s">
        <v>132</v>
      </c>
      <c r="E35" t="s">
        <v>20</v>
      </c>
      <c r="F35">
        <v>0</v>
      </c>
      <c r="G35">
        <v>0</v>
      </c>
      <c r="H35" t="s">
        <v>57</v>
      </c>
      <c r="I35" t="s">
        <v>57</v>
      </c>
      <c r="J35" t="s">
        <v>56</v>
      </c>
      <c r="K35" s="2"/>
      <c r="L35" s="2"/>
      <c r="M35" s="2"/>
      <c r="O35" s="4" t="s">
        <v>206</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99</v>
      </c>
      <c r="B36">
        <v>2</v>
      </c>
      <c r="C36" t="s">
        <v>127</v>
      </c>
      <c r="D36" t="s">
        <v>127</v>
      </c>
      <c r="E36" t="s">
        <v>19</v>
      </c>
      <c r="F36">
        <v>50</v>
      </c>
      <c r="G36">
        <v>0</v>
      </c>
      <c r="H36" t="s">
        <v>57</v>
      </c>
      <c r="I36" t="s">
        <v>56</v>
      </c>
      <c r="J36" t="s">
        <v>57</v>
      </c>
      <c r="K36" s="2"/>
      <c r="L36" s="2"/>
      <c r="M36" s="2"/>
      <c r="O36" s="4" t="s">
        <v>191</v>
      </c>
      <c r="P36" s="2" t="str">
        <f t="shared" si="2"/>
        <v xml:space="preserve">      .AddAttribute(  2, "Denotation", "Denotation", "varchar", 50, 0, true, false, "", "", "unique description of an entry in the domain, display in selections, comboboxes, … (key canditate)")</v>
      </c>
    </row>
    <row r="37" spans="1:16" x14ac:dyDescent="0.45">
      <c r="A37" t="s">
        <v>99</v>
      </c>
      <c r="B37">
        <v>3</v>
      </c>
      <c r="C37" t="s">
        <v>128</v>
      </c>
      <c r="D37" t="s">
        <v>128</v>
      </c>
      <c r="E37" t="s">
        <v>19</v>
      </c>
      <c r="F37">
        <v>10</v>
      </c>
      <c r="G37">
        <v>0</v>
      </c>
      <c r="H37" t="s">
        <v>56</v>
      </c>
      <c r="I37" t="s">
        <v>56</v>
      </c>
      <c r="J37" t="s">
        <v>56</v>
      </c>
      <c r="K37" s="2"/>
      <c r="L37" s="2"/>
      <c r="M37" s="2"/>
      <c r="O37" s="4" t="s">
        <v>192</v>
      </c>
      <c r="P37" s="2" t="str">
        <f t="shared" si="2"/>
        <v xml:space="preserve">      .AddAttribute(  3, "Abbreviation", "Abbreviation", "varchar", 10, 0, false, false, "", "", "non-representative abbreviation that can be used for a short advertisement for this address")</v>
      </c>
    </row>
    <row r="38" spans="1:16" x14ac:dyDescent="0.45">
      <c r="A38" t="s">
        <v>99</v>
      </c>
      <c r="B38">
        <v>4</v>
      </c>
      <c r="C38" t="s">
        <v>129</v>
      </c>
      <c r="D38" t="s">
        <v>129</v>
      </c>
      <c r="E38" t="s">
        <v>76</v>
      </c>
      <c r="F38">
        <v>0</v>
      </c>
      <c r="G38">
        <v>0</v>
      </c>
      <c r="H38" t="s">
        <v>56</v>
      </c>
      <c r="I38" t="s">
        <v>56</v>
      </c>
      <c r="J38" t="s">
        <v>56</v>
      </c>
      <c r="K38" s="2"/>
      <c r="L38" s="2"/>
      <c r="M38" s="2"/>
      <c r="O38" s="4" t="s">
        <v>193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99</v>
      </c>
      <c r="B39">
        <v>5</v>
      </c>
      <c r="C39" t="s">
        <v>130</v>
      </c>
      <c r="D39" t="s">
        <v>130</v>
      </c>
      <c r="E39" t="s">
        <v>76</v>
      </c>
      <c r="F39">
        <v>0</v>
      </c>
      <c r="G39">
        <v>0</v>
      </c>
      <c r="H39" t="s">
        <v>56</v>
      </c>
      <c r="I39" t="s">
        <v>56</v>
      </c>
      <c r="J39" t="s">
        <v>56</v>
      </c>
      <c r="K39" s="2"/>
      <c r="L39" s="2"/>
      <c r="M39" s="2"/>
      <c r="O39" s="4" t="s">
        <v>194</v>
      </c>
      <c r="P39" s="2" t="str">
        <f t="shared" si="2"/>
        <v xml:space="preserve">      .AddAttribute(  5, "Notes", "Notes", "text", 0, 0, false, false, "", "", "notes, with additional / free information for this AddressType, not used in application")</v>
      </c>
    </row>
    <row r="40" spans="1:16" x14ac:dyDescent="0.45">
      <c r="A40" t="s">
        <v>99</v>
      </c>
      <c r="B40">
        <v>6</v>
      </c>
      <c r="C40" t="s">
        <v>131</v>
      </c>
      <c r="D40" t="s">
        <v>131</v>
      </c>
      <c r="E40" t="s">
        <v>27</v>
      </c>
      <c r="F40">
        <v>0</v>
      </c>
      <c r="G40">
        <v>0</v>
      </c>
      <c r="H40" t="s">
        <v>56</v>
      </c>
      <c r="I40" t="s">
        <v>56</v>
      </c>
      <c r="J40" t="s">
        <v>56</v>
      </c>
      <c r="K40" s="2"/>
      <c r="L40" s="2"/>
      <c r="M40" s="2"/>
      <c r="O40" s="4" t="s">
        <v>207</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100</v>
      </c>
      <c r="B42">
        <v>0</v>
      </c>
      <c r="C42" t="s">
        <v>114</v>
      </c>
      <c r="D42" t="s">
        <v>413</v>
      </c>
      <c r="E42" t="s">
        <v>165</v>
      </c>
      <c r="H42" t="s">
        <v>166</v>
      </c>
      <c r="I42" t="s">
        <v>167</v>
      </c>
      <c r="K42" s="2"/>
      <c r="L42" s="2"/>
      <c r="M42" s="2"/>
      <c r="O42" s="4" t="s">
        <v>198</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100</v>
      </c>
      <c r="B43">
        <v>1</v>
      </c>
      <c r="C43" t="s">
        <v>132</v>
      </c>
      <c r="D43" t="s">
        <v>132</v>
      </c>
      <c r="E43" t="s">
        <v>20</v>
      </c>
      <c r="F43">
        <v>0</v>
      </c>
      <c r="G43">
        <v>0</v>
      </c>
      <c r="H43" t="s">
        <v>57</v>
      </c>
      <c r="I43" t="s">
        <v>57</v>
      </c>
      <c r="J43" t="s">
        <v>56</v>
      </c>
      <c r="K43" s="2"/>
      <c r="L43" s="2"/>
      <c r="M43" s="2"/>
      <c r="O43" s="4" t="s">
        <v>243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100</v>
      </c>
      <c r="B44">
        <v>2</v>
      </c>
      <c r="C44" t="s">
        <v>142</v>
      </c>
      <c r="D44" t="s">
        <v>142</v>
      </c>
      <c r="E44" t="s">
        <v>20</v>
      </c>
      <c r="F44">
        <v>0</v>
      </c>
      <c r="G44">
        <v>0</v>
      </c>
      <c r="H44" t="s">
        <v>57</v>
      </c>
      <c r="I44" t="s">
        <v>57</v>
      </c>
      <c r="J44" t="s">
        <v>56</v>
      </c>
      <c r="K44" s="2"/>
      <c r="L44" s="2"/>
      <c r="M44" s="2"/>
      <c r="O44" s="4" t="s">
        <v>199</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100</v>
      </c>
      <c r="B45">
        <v>3</v>
      </c>
      <c r="C45" t="s">
        <v>143</v>
      </c>
      <c r="D45" t="s">
        <v>143</v>
      </c>
      <c r="E45" t="s">
        <v>19</v>
      </c>
      <c r="F45">
        <v>50</v>
      </c>
      <c r="G45">
        <v>0</v>
      </c>
      <c r="H45" t="s">
        <v>56</v>
      </c>
      <c r="I45" t="s">
        <v>56</v>
      </c>
      <c r="J45" t="s">
        <v>56</v>
      </c>
      <c r="K45" s="2"/>
      <c r="L45" s="2"/>
      <c r="M45" s="2"/>
      <c r="O45" s="4" t="s">
        <v>200</v>
      </c>
      <c r="P45" s="2" t="str">
        <f t="shared" si="3"/>
        <v xml:space="preserve">      .AddAttribute(  3, "BankName", "BankName", "varchar", 50, 0, false, false, "", "", "name of the bank that manages this account (not necessarily required)")</v>
      </c>
    </row>
    <row r="46" spans="1:16" x14ac:dyDescent="0.45">
      <c r="A46" t="s">
        <v>100</v>
      </c>
      <c r="B46">
        <v>4</v>
      </c>
      <c r="C46" t="s">
        <v>144</v>
      </c>
      <c r="D46" t="s">
        <v>144</v>
      </c>
      <c r="E46" t="s">
        <v>19</v>
      </c>
      <c r="F46">
        <v>33</v>
      </c>
      <c r="G46">
        <v>0</v>
      </c>
      <c r="H46" t="s">
        <v>57</v>
      </c>
      <c r="I46" t="s">
        <v>56</v>
      </c>
      <c r="J46" t="s">
        <v>56</v>
      </c>
      <c r="K46" s="2"/>
      <c r="L46" s="2"/>
      <c r="M46" s="2"/>
      <c r="O46" s="4" t="s">
        <v>201</v>
      </c>
      <c r="P46" s="2" t="str">
        <f t="shared" si="3"/>
        <v xml:space="preserve">      .AddAttribute(  4, "IBAN", "IBAN", "varchar", 33, 0, true, false, "", "", "IBAN number (account identification) for this bank account (required)")</v>
      </c>
    </row>
    <row r="47" spans="1:16" x14ac:dyDescent="0.45">
      <c r="A47" t="s">
        <v>100</v>
      </c>
      <c r="B47">
        <v>5</v>
      </c>
      <c r="C47" t="s">
        <v>145</v>
      </c>
      <c r="D47" t="s">
        <v>145</v>
      </c>
      <c r="E47" t="s">
        <v>19</v>
      </c>
      <c r="F47">
        <v>12</v>
      </c>
      <c r="G47">
        <v>0</v>
      </c>
      <c r="H47" t="s">
        <v>56</v>
      </c>
      <c r="I47" t="s">
        <v>56</v>
      </c>
      <c r="J47" t="s">
        <v>56</v>
      </c>
      <c r="K47" s="2"/>
      <c r="L47" s="2"/>
      <c r="M47" s="2"/>
      <c r="O47" s="4" t="s">
        <v>202</v>
      </c>
      <c r="P47" s="2" t="str">
        <f t="shared" si="3"/>
        <v xml:space="preserve">      .AddAttribute(  5, "BIC", "BIC", "varchar", 12, 0, false, false, "", "", "BIC number of the bank that manages this account (not necessarily required for transactions inside europe)")</v>
      </c>
    </row>
    <row r="48" spans="1:16" x14ac:dyDescent="0.45">
      <c r="A48" t="s">
        <v>100</v>
      </c>
      <c r="B48">
        <v>6</v>
      </c>
      <c r="C48" t="s">
        <v>146</v>
      </c>
      <c r="D48" t="s">
        <v>146</v>
      </c>
      <c r="E48" t="s">
        <v>19</v>
      </c>
      <c r="F48">
        <v>27</v>
      </c>
      <c r="G48">
        <v>0</v>
      </c>
      <c r="H48" t="s">
        <v>56</v>
      </c>
      <c r="I48" t="s">
        <v>56</v>
      </c>
      <c r="J48" t="s">
        <v>56</v>
      </c>
      <c r="K48" s="2"/>
      <c r="L48" s="2"/>
      <c r="M48" s="2"/>
      <c r="O48" s="4" t="s">
        <v>203</v>
      </c>
      <c r="P48" s="2" t="str">
        <f t="shared" si="3"/>
        <v xml:space="preserve">      .AddAttribute(  6, "BankOwner", "BankOwner", "varchar", 27, 0, false, false, "", "", "optionally the name of the owner of the bank details, if this differs from the assigned person")</v>
      </c>
    </row>
    <row r="49" spans="1:16" x14ac:dyDescent="0.45">
      <c r="A49" t="s">
        <v>100</v>
      </c>
      <c r="B49">
        <v>7</v>
      </c>
      <c r="C49" t="s">
        <v>137</v>
      </c>
      <c r="D49" t="s">
        <v>137</v>
      </c>
      <c r="E49" t="s">
        <v>20</v>
      </c>
      <c r="F49">
        <v>0</v>
      </c>
      <c r="G49">
        <v>0</v>
      </c>
      <c r="H49" t="s">
        <v>56</v>
      </c>
      <c r="I49" t="s">
        <v>56</v>
      </c>
      <c r="J49" t="s">
        <v>56</v>
      </c>
      <c r="K49" s="2"/>
      <c r="L49" s="2"/>
      <c r="M49" s="2"/>
      <c r="O49" s="4" t="s">
        <v>197</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101</v>
      </c>
      <c r="B51">
        <v>0</v>
      </c>
      <c r="C51" t="s">
        <v>115</v>
      </c>
      <c r="D51" t="s">
        <v>414</v>
      </c>
      <c r="E51" t="s">
        <v>165</v>
      </c>
      <c r="H51" t="s">
        <v>166</v>
      </c>
      <c r="I51" t="s">
        <v>167</v>
      </c>
      <c r="K51" s="2"/>
      <c r="L51" s="2"/>
      <c r="M51" s="2"/>
      <c r="O51" s="4" t="s">
        <v>204</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101</v>
      </c>
      <c r="B52">
        <v>1</v>
      </c>
      <c r="C52" t="s">
        <v>132</v>
      </c>
      <c r="D52" t="s">
        <v>132</v>
      </c>
      <c r="E52" t="s">
        <v>20</v>
      </c>
      <c r="F52">
        <v>0</v>
      </c>
      <c r="G52">
        <v>0</v>
      </c>
      <c r="H52" t="s">
        <v>57</v>
      </c>
      <c r="I52" t="s">
        <v>57</v>
      </c>
      <c r="J52" t="s">
        <v>56</v>
      </c>
      <c r="K52" s="2"/>
      <c r="L52" s="2"/>
      <c r="M52" s="2"/>
      <c r="O52" s="4" t="s">
        <v>205</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101</v>
      </c>
      <c r="B53">
        <v>2</v>
      </c>
      <c r="C53" t="s">
        <v>127</v>
      </c>
      <c r="D53" t="s">
        <v>127</v>
      </c>
      <c r="E53" t="s">
        <v>19</v>
      </c>
      <c r="F53">
        <v>50</v>
      </c>
      <c r="G53">
        <v>0</v>
      </c>
      <c r="H53" t="s">
        <v>57</v>
      </c>
      <c r="I53" t="s">
        <v>56</v>
      </c>
      <c r="J53" t="s">
        <v>57</v>
      </c>
      <c r="K53" s="2"/>
      <c r="L53" s="2"/>
      <c r="M53" s="2"/>
      <c r="O53" s="4" t="s">
        <v>212</v>
      </c>
      <c r="P53" s="2" t="str">
        <f t="shared" si="4"/>
        <v xml:space="preserve">      .AddAttribute(  2, "Denotation", "Denotation", "varchar", 50, 0, true, false, "", "", "unique description of an banking type entity in the domain, used in selections, comboboxes, … (key canditate)")</v>
      </c>
    </row>
    <row r="54" spans="1:16" x14ac:dyDescent="0.45">
      <c r="A54" t="s">
        <v>101</v>
      </c>
      <c r="B54">
        <v>3</v>
      </c>
      <c r="C54" t="s">
        <v>128</v>
      </c>
      <c r="D54" t="s">
        <v>128</v>
      </c>
      <c r="E54" t="s">
        <v>19</v>
      </c>
      <c r="F54">
        <v>10</v>
      </c>
      <c r="G54">
        <v>0</v>
      </c>
      <c r="H54" t="s">
        <v>56</v>
      </c>
      <c r="I54" t="s">
        <v>56</v>
      </c>
      <c r="J54" t="s">
        <v>56</v>
      </c>
      <c r="K54" s="2"/>
      <c r="L54" s="2"/>
      <c r="M54" s="2"/>
      <c r="O54" s="4" t="s">
        <v>211</v>
      </c>
      <c r="P54" s="2" t="str">
        <f t="shared" si="4"/>
        <v xml:space="preserve">      .AddAttribute(  3, "Abbreviation", "Abbreviation", "varchar", 10, 0, false, false, "", "", "non-representative abbreviation that can be used for a short advertisement for this banking type")</v>
      </c>
    </row>
    <row r="55" spans="1:16" x14ac:dyDescent="0.45">
      <c r="A55" t="s">
        <v>101</v>
      </c>
      <c r="B55">
        <v>4</v>
      </c>
      <c r="C55" t="s">
        <v>129</v>
      </c>
      <c r="D55" t="s">
        <v>129</v>
      </c>
      <c r="E55" t="s">
        <v>76</v>
      </c>
      <c r="F55">
        <v>0</v>
      </c>
      <c r="G55">
        <v>0</v>
      </c>
      <c r="H55" t="s">
        <v>56</v>
      </c>
      <c r="I55" t="s">
        <v>56</v>
      </c>
      <c r="J55" t="s">
        <v>56</v>
      </c>
      <c r="K55" s="2"/>
      <c r="L55" s="2"/>
      <c r="M55" s="2"/>
      <c r="O55" s="4" t="s">
        <v>210</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101</v>
      </c>
      <c r="B56">
        <v>5</v>
      </c>
      <c r="C56" t="s">
        <v>130</v>
      </c>
      <c r="D56" t="s">
        <v>130</v>
      </c>
      <c r="E56" t="s">
        <v>76</v>
      </c>
      <c r="F56">
        <v>0</v>
      </c>
      <c r="G56">
        <v>0</v>
      </c>
      <c r="H56" t="s">
        <v>56</v>
      </c>
      <c r="I56" t="s">
        <v>56</v>
      </c>
      <c r="J56" t="s">
        <v>56</v>
      </c>
      <c r="K56" s="2"/>
      <c r="L56" s="2"/>
      <c r="M56" s="2"/>
      <c r="O56" s="4" t="s">
        <v>209</v>
      </c>
      <c r="P56" s="2" t="str">
        <f t="shared" si="4"/>
        <v xml:space="preserve">      .AddAttribute(  5, "Notes", "Notes", "text", 0, 0, false, false, "", "", "notes, with additional / free information for this type of banking, not used in application")</v>
      </c>
    </row>
    <row r="57" spans="1:16" x14ac:dyDescent="0.45">
      <c r="A57" t="s">
        <v>101</v>
      </c>
      <c r="B57">
        <v>6</v>
      </c>
      <c r="C57" t="s">
        <v>131</v>
      </c>
      <c r="D57" t="s">
        <v>131</v>
      </c>
      <c r="E57" t="s">
        <v>27</v>
      </c>
      <c r="F57">
        <v>0</v>
      </c>
      <c r="G57">
        <v>0</v>
      </c>
      <c r="H57" t="s">
        <v>56</v>
      </c>
      <c r="I57" t="s">
        <v>56</v>
      </c>
      <c r="J57" t="s">
        <v>56</v>
      </c>
      <c r="K57" s="2"/>
      <c r="L57" s="2"/>
      <c r="M57" s="2"/>
      <c r="O57" s="4" t="s">
        <v>208</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102</v>
      </c>
      <c r="B59">
        <v>0</v>
      </c>
      <c r="C59" t="s">
        <v>116</v>
      </c>
      <c r="D59" t="s">
        <v>412</v>
      </c>
      <c r="E59" t="s">
        <v>165</v>
      </c>
      <c r="H59" t="s">
        <v>166</v>
      </c>
      <c r="I59" t="s">
        <v>167</v>
      </c>
      <c r="K59" s="2"/>
      <c r="L59" s="2"/>
      <c r="M59" s="2"/>
      <c r="O59" s="4" t="s">
        <v>370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102</v>
      </c>
      <c r="B60">
        <v>1</v>
      </c>
      <c r="C60" t="s">
        <v>132</v>
      </c>
      <c r="D60" t="s">
        <v>132</v>
      </c>
      <c r="E60" t="s">
        <v>20</v>
      </c>
      <c r="F60">
        <v>0</v>
      </c>
      <c r="G60">
        <v>0</v>
      </c>
      <c r="H60" t="s">
        <v>57</v>
      </c>
      <c r="I60" t="s">
        <v>57</v>
      </c>
      <c r="J60" t="s">
        <v>56</v>
      </c>
      <c r="K60" s="2"/>
      <c r="L60" s="2"/>
      <c r="M60" s="2"/>
      <c r="O60" s="4" t="s">
        <v>371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102</v>
      </c>
      <c r="B61">
        <v>2</v>
      </c>
      <c r="C61" t="s">
        <v>127</v>
      </c>
      <c r="D61" t="s">
        <v>127</v>
      </c>
      <c r="E61" t="s">
        <v>19</v>
      </c>
      <c r="F61">
        <v>50</v>
      </c>
      <c r="G61">
        <v>0</v>
      </c>
      <c r="H61" t="s">
        <v>57</v>
      </c>
      <c r="I61" t="s">
        <v>56</v>
      </c>
      <c r="J61" t="s">
        <v>57</v>
      </c>
      <c r="K61" s="2"/>
      <c r="L61" s="2"/>
      <c r="M61" s="2"/>
      <c r="O61" s="4" t="s">
        <v>372</v>
      </c>
      <c r="P61" s="2" t="str">
        <f t="shared" si="5"/>
        <v xml:space="preserve">      .AddAttribute(  2, "Denotation", "Denotation", "varchar", 50, 0, true, false, "", "", "unique, official designation of the country, key candidate")</v>
      </c>
    </row>
    <row r="62" spans="1:16" x14ac:dyDescent="0.45">
      <c r="A62" t="s">
        <v>102</v>
      </c>
      <c r="B62">
        <v>3</v>
      </c>
      <c r="C62" t="s">
        <v>128</v>
      </c>
      <c r="D62" t="s">
        <v>128</v>
      </c>
      <c r="E62" t="s">
        <v>19</v>
      </c>
      <c r="F62">
        <v>10</v>
      </c>
      <c r="G62">
        <v>0</v>
      </c>
      <c r="H62" t="s">
        <v>56</v>
      </c>
      <c r="I62" t="s">
        <v>56</v>
      </c>
      <c r="J62" t="s">
        <v>56</v>
      </c>
      <c r="K62" s="2"/>
      <c r="L62" s="2"/>
      <c r="M62" s="2"/>
      <c r="O62" s="4" t="s">
        <v>373</v>
      </c>
      <c r="P62" s="2" t="str">
        <f t="shared" si="5"/>
        <v xml:space="preserve">      .AddAttribute(  3, "Abbreviation", "Abbreviation", "varchar", 10, 0, false, false, "", "", "abbreviation of the country for the program")</v>
      </c>
    </row>
    <row r="63" spans="1:16" x14ac:dyDescent="0.45">
      <c r="A63" t="s">
        <v>102</v>
      </c>
      <c r="B63">
        <v>4</v>
      </c>
      <c r="C63" t="s">
        <v>129</v>
      </c>
      <c r="D63" t="s">
        <v>129</v>
      </c>
      <c r="E63" t="s">
        <v>76</v>
      </c>
      <c r="F63">
        <v>0</v>
      </c>
      <c r="G63">
        <v>0</v>
      </c>
      <c r="H63" t="s">
        <v>56</v>
      </c>
      <c r="I63" t="s">
        <v>56</v>
      </c>
      <c r="J63" t="s">
        <v>56</v>
      </c>
      <c r="K63" s="2"/>
      <c r="L63" s="2"/>
      <c r="M63" s="2"/>
      <c r="O63" s="4" t="s">
        <v>375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102</v>
      </c>
      <c r="B64">
        <v>5</v>
      </c>
      <c r="C64" t="s">
        <v>147</v>
      </c>
      <c r="D64" t="s">
        <v>147</v>
      </c>
      <c r="E64" t="s">
        <v>19</v>
      </c>
      <c r="F64">
        <v>10</v>
      </c>
      <c r="G64">
        <v>0</v>
      </c>
      <c r="H64" t="s">
        <v>56</v>
      </c>
      <c r="I64" t="s">
        <v>56</v>
      </c>
      <c r="J64" t="s">
        <v>56</v>
      </c>
      <c r="K64" s="2"/>
      <c r="L64" s="2"/>
      <c r="M64" s="2"/>
      <c r="O64" s="4" t="s">
        <v>376</v>
      </c>
      <c r="P64" s="2" t="str">
        <f t="shared" si="5"/>
        <v xml:space="preserve">      .AddAttribute(  5, "CountryDialing", "CountryDialing", "varchar", 10, 0, false, false, "", "", "international country code for telephone for this country (not unique)")</v>
      </c>
    </row>
    <row r="65" spans="1:16" x14ac:dyDescent="0.45">
      <c r="A65" t="s">
        <v>102</v>
      </c>
      <c r="B65">
        <v>6</v>
      </c>
      <c r="C65" t="s">
        <v>148</v>
      </c>
      <c r="D65" t="s">
        <v>148</v>
      </c>
      <c r="E65" t="s">
        <v>19</v>
      </c>
      <c r="F65">
        <v>5</v>
      </c>
      <c r="G65">
        <v>0</v>
      </c>
      <c r="H65" t="s">
        <v>56</v>
      </c>
      <c r="I65" t="s">
        <v>56</v>
      </c>
      <c r="J65" t="s">
        <v>56</v>
      </c>
      <c r="K65" s="2"/>
      <c r="L65" s="2"/>
      <c r="M65" s="2"/>
      <c r="O65" s="4" t="s">
        <v>374</v>
      </c>
      <c r="P65" s="2" t="str">
        <f t="shared" si="5"/>
        <v xml:space="preserve">      .AddAttribute(  6, "ISO_Code", "ISO_Code", "varchar", 5, 0, false, false, "", "", "unique, official international code (ISO) for the country in the communication")</v>
      </c>
    </row>
    <row r="66" spans="1:16" x14ac:dyDescent="0.45">
      <c r="A66" t="s">
        <v>102</v>
      </c>
      <c r="B66">
        <v>7</v>
      </c>
      <c r="C66" t="s">
        <v>130</v>
      </c>
      <c r="D66" t="s">
        <v>130</v>
      </c>
      <c r="E66" t="s">
        <v>76</v>
      </c>
      <c r="F66">
        <v>0</v>
      </c>
      <c r="G66">
        <v>0</v>
      </c>
      <c r="H66" t="s">
        <v>56</v>
      </c>
      <c r="I66" t="s">
        <v>56</v>
      </c>
      <c r="J66" t="s">
        <v>56</v>
      </c>
      <c r="K66" s="2"/>
      <c r="L66" s="2"/>
      <c r="M66" s="2"/>
      <c r="O66" s="4" t="s">
        <v>377</v>
      </c>
      <c r="P66" s="2" t="str">
        <f t="shared" si="5"/>
        <v xml:space="preserve">      .AddAttribute(  7, "Notes", "Notes", "text", 0, 0, false, false, "", "", "notes, with additional / free information for this country, not used in application")</v>
      </c>
    </row>
    <row r="67" spans="1:16" x14ac:dyDescent="0.45">
      <c r="A67" t="s">
        <v>102</v>
      </c>
      <c r="B67">
        <v>8</v>
      </c>
      <c r="C67" t="s">
        <v>131</v>
      </c>
      <c r="D67" t="s">
        <v>131</v>
      </c>
      <c r="E67" t="s">
        <v>27</v>
      </c>
      <c r="F67">
        <v>0</v>
      </c>
      <c r="G67">
        <v>0</v>
      </c>
      <c r="H67" t="s">
        <v>56</v>
      </c>
      <c r="I67" t="s">
        <v>56</v>
      </c>
      <c r="J67" t="s">
        <v>56</v>
      </c>
      <c r="K67" s="2"/>
      <c r="L67" s="2"/>
      <c r="M67" s="2"/>
      <c r="O67" s="4" t="s">
        <v>238</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103</v>
      </c>
      <c r="B69">
        <v>0</v>
      </c>
      <c r="C69" t="s">
        <v>117</v>
      </c>
      <c r="D69" t="s">
        <v>411</v>
      </c>
      <c r="E69" t="s">
        <v>165</v>
      </c>
      <c r="H69" t="s">
        <v>166</v>
      </c>
      <c r="I69" t="s">
        <v>167</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103</v>
      </c>
      <c r="B70">
        <v>1</v>
      </c>
      <c r="C70" t="s">
        <v>132</v>
      </c>
      <c r="D70" t="s">
        <v>132</v>
      </c>
      <c r="E70" t="s">
        <v>20</v>
      </c>
      <c r="F70">
        <v>0</v>
      </c>
      <c r="G70">
        <v>0</v>
      </c>
      <c r="H70" t="s">
        <v>57</v>
      </c>
      <c r="I70" t="s">
        <v>57</v>
      </c>
      <c r="J70" t="s">
        <v>56</v>
      </c>
      <c r="K70" s="2"/>
      <c r="L70" s="2"/>
      <c r="M70" s="2"/>
      <c r="O70" s="4" t="s">
        <v>420</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103</v>
      </c>
      <c r="B71">
        <v>2</v>
      </c>
      <c r="C71" t="s">
        <v>127</v>
      </c>
      <c r="D71" t="s">
        <v>127</v>
      </c>
      <c r="E71" t="s">
        <v>19</v>
      </c>
      <c r="F71">
        <v>50</v>
      </c>
      <c r="G71">
        <v>0</v>
      </c>
      <c r="H71" t="s">
        <v>57</v>
      </c>
      <c r="I71" t="s">
        <v>56</v>
      </c>
      <c r="J71" t="s">
        <v>57</v>
      </c>
      <c r="K71" s="2"/>
      <c r="L71" s="2"/>
      <c r="M71" s="2"/>
      <c r="O71" s="4" t="s">
        <v>422</v>
      </c>
      <c r="P71" s="2" t="str">
        <f t="shared" si="6"/>
        <v xml:space="preserve">      .AddAttribute(  2, "Denotation", "Denotation", "varchar", 50, 0, true, false, "", "", "distinct name of the department in the company. used to identify this and use in application for select")</v>
      </c>
    </row>
    <row r="72" spans="1:16" x14ac:dyDescent="0.45">
      <c r="A72" t="s">
        <v>103</v>
      </c>
      <c r="B72">
        <v>3</v>
      </c>
      <c r="C72" t="s">
        <v>128</v>
      </c>
      <c r="D72" t="s">
        <v>128</v>
      </c>
      <c r="E72" t="s">
        <v>19</v>
      </c>
      <c r="F72">
        <v>10</v>
      </c>
      <c r="G72">
        <v>0</v>
      </c>
      <c r="H72" t="s">
        <v>56</v>
      </c>
      <c r="I72" t="s">
        <v>56</v>
      </c>
      <c r="J72" t="s">
        <v>56</v>
      </c>
      <c r="K72" s="2"/>
      <c r="L72" s="2"/>
      <c r="M72" s="2"/>
      <c r="O72" s="4" t="s">
        <v>421</v>
      </c>
      <c r="P72" s="2" t="str">
        <f t="shared" si="6"/>
        <v xml:space="preserve">      .AddAttribute(  3, "Abbreviation", "Abbreviation", "varchar", 10, 0, false, false, "", "", "used abbreviation of the department for list and such")</v>
      </c>
    </row>
    <row r="73" spans="1:16" x14ac:dyDescent="0.45">
      <c r="A73" t="s">
        <v>103</v>
      </c>
      <c r="B73">
        <v>4</v>
      </c>
      <c r="C73" t="s">
        <v>129</v>
      </c>
      <c r="D73" t="s">
        <v>129</v>
      </c>
      <c r="E73" t="s">
        <v>76</v>
      </c>
      <c r="F73">
        <v>0</v>
      </c>
      <c r="G73">
        <v>0</v>
      </c>
      <c r="H73" t="s">
        <v>56</v>
      </c>
      <c r="I73" t="s">
        <v>56</v>
      </c>
      <c r="J73" t="s">
        <v>56</v>
      </c>
      <c r="K73" s="2"/>
      <c r="L73" s="2"/>
      <c r="M73" s="2"/>
      <c r="O73" s="4"/>
      <c r="P73" s="2" t="str">
        <f t="shared" si="6"/>
        <v xml:space="preserve">      .AddAttribute(  4, "Description", "Description", "text", 0, 0, false, false, "", "", "")</v>
      </c>
    </row>
    <row r="74" spans="1:16" x14ac:dyDescent="0.45">
      <c r="A74" t="s">
        <v>103</v>
      </c>
      <c r="B74">
        <v>5</v>
      </c>
      <c r="C74" t="s">
        <v>417</v>
      </c>
      <c r="D74" t="s">
        <v>417</v>
      </c>
      <c r="E74" t="s">
        <v>20</v>
      </c>
      <c r="F74">
        <v>0</v>
      </c>
      <c r="G74">
        <v>0</v>
      </c>
      <c r="H74" t="s">
        <v>56</v>
      </c>
      <c r="I74" t="s">
        <v>56</v>
      </c>
      <c r="J74" t="s">
        <v>56</v>
      </c>
      <c r="K74" s="2"/>
      <c r="L74" s="2"/>
      <c r="M74" s="2"/>
      <c r="O74" s="4"/>
      <c r="P74" s="2" t="str">
        <f t="shared" si="6"/>
        <v xml:space="preserve">      .AddAttribute(  5, "Officer", "Officer", "integer", 0, 0, false, false, "", "", "")</v>
      </c>
    </row>
    <row r="75" spans="1:16" x14ac:dyDescent="0.45">
      <c r="A75" t="s">
        <v>103</v>
      </c>
      <c r="B75">
        <v>6</v>
      </c>
      <c r="C75" t="s">
        <v>130</v>
      </c>
      <c r="D75" t="s">
        <v>130</v>
      </c>
      <c r="E75" t="s">
        <v>76</v>
      </c>
      <c r="F75">
        <v>0</v>
      </c>
      <c r="G75">
        <v>0</v>
      </c>
      <c r="H75" t="s">
        <v>56</v>
      </c>
      <c r="I75" t="s">
        <v>56</v>
      </c>
      <c r="J75" t="s">
        <v>56</v>
      </c>
      <c r="K75" s="2"/>
      <c r="L75" s="2"/>
      <c r="M75" s="2"/>
      <c r="O75" s="4"/>
      <c r="P75" s="2" t="str">
        <f t="shared" si="6"/>
        <v xml:space="preserve">      .AddAttribute(  6, "Notes", "Notes", "text", 0, 0, false, false, "", "", "")</v>
      </c>
    </row>
    <row r="76" spans="1:16" x14ac:dyDescent="0.45">
      <c r="O76" s="4"/>
    </row>
    <row r="77" spans="1:16" x14ac:dyDescent="0.45">
      <c r="A77" t="s">
        <v>104</v>
      </c>
      <c r="B77">
        <v>0</v>
      </c>
      <c r="C77" t="s">
        <v>118</v>
      </c>
      <c r="D77" t="s">
        <v>356</v>
      </c>
      <c r="E77" t="s">
        <v>165</v>
      </c>
      <c r="H77" t="s">
        <v>166</v>
      </c>
      <c r="I77" t="s">
        <v>167</v>
      </c>
      <c r="K77" s="2"/>
      <c r="L77" s="2"/>
      <c r="M77" s="2"/>
      <c r="O77" s="4" t="s">
        <v>252</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104</v>
      </c>
      <c r="B78">
        <v>1</v>
      </c>
      <c r="C78" t="s">
        <v>132</v>
      </c>
      <c r="D78" t="s">
        <v>132</v>
      </c>
      <c r="E78" t="s">
        <v>20</v>
      </c>
      <c r="F78">
        <v>0</v>
      </c>
      <c r="G78">
        <v>0</v>
      </c>
      <c r="H78" t="s">
        <v>57</v>
      </c>
      <c r="I78" t="s">
        <v>57</v>
      </c>
      <c r="J78" t="s">
        <v>56</v>
      </c>
      <c r="K78" s="2"/>
      <c r="L78" s="2"/>
      <c r="M78" s="2"/>
      <c r="O78" s="4" t="s">
        <v>243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104</v>
      </c>
      <c r="B79">
        <v>2</v>
      </c>
      <c r="C79" t="s">
        <v>149</v>
      </c>
      <c r="D79" t="s">
        <v>149</v>
      </c>
      <c r="E79" t="s">
        <v>19</v>
      </c>
      <c r="F79">
        <v>15</v>
      </c>
      <c r="G79">
        <v>0</v>
      </c>
      <c r="H79" t="s">
        <v>57</v>
      </c>
      <c r="I79" t="s">
        <v>56</v>
      </c>
      <c r="J79" t="s">
        <v>57</v>
      </c>
      <c r="K79" s="2"/>
      <c r="L79" s="2"/>
      <c r="M79" s="2"/>
      <c r="O79" s="4" t="s">
        <v>251</v>
      </c>
      <c r="P79" s="2" t="str">
        <f t="shared" si="7"/>
        <v xml:space="preserve">      .AddAttribute(  2, "PersonNumber", "PersonNumber", "varchar", 15, 0, true, false, "", "", "unique HR number of the employee in the company, assigned by the HR department")</v>
      </c>
    </row>
    <row r="80" spans="1:16" x14ac:dyDescent="0.45">
      <c r="A80" t="s">
        <v>104</v>
      </c>
      <c r="B80">
        <v>3</v>
      </c>
      <c r="C80" t="s">
        <v>150</v>
      </c>
      <c r="D80" t="s">
        <v>150</v>
      </c>
      <c r="E80" t="s">
        <v>25</v>
      </c>
      <c r="F80">
        <v>10</v>
      </c>
      <c r="G80">
        <v>2</v>
      </c>
      <c r="H80" t="s">
        <v>56</v>
      </c>
      <c r="I80" t="s">
        <v>56</v>
      </c>
      <c r="J80" t="s">
        <v>56</v>
      </c>
      <c r="K80" s="2" t="s">
        <v>262</v>
      </c>
      <c r="L80" s="2"/>
      <c r="M80" s="2"/>
      <c r="O80" s="4" t="s">
        <v>250</v>
      </c>
      <c r="P80" s="2" t="str">
        <f t="shared" si="7"/>
        <v xml:space="preserve">      .AddAttribute(  3, "Salery", "Salery", "decimal", 10, 2, false, false, "&gt;= 0.0", "", "salary / income that the employee currently receives")</v>
      </c>
    </row>
    <row r="81" spans="1:16" x14ac:dyDescent="0.45">
      <c r="A81" t="s">
        <v>104</v>
      </c>
      <c r="B81">
        <v>4</v>
      </c>
      <c r="C81" t="s">
        <v>311</v>
      </c>
      <c r="D81" t="s">
        <v>311</v>
      </c>
      <c r="E81" t="s">
        <v>20</v>
      </c>
      <c r="F81">
        <v>0</v>
      </c>
      <c r="G81">
        <v>0</v>
      </c>
      <c r="H81" t="s">
        <v>57</v>
      </c>
      <c r="I81" t="s">
        <v>56</v>
      </c>
      <c r="J81" t="s">
        <v>56</v>
      </c>
      <c r="K81" s="2"/>
      <c r="L81" s="2"/>
      <c r="M81" s="2"/>
      <c r="O81" s="4" t="s">
        <v>312</v>
      </c>
      <c r="P81" s="2" t="str">
        <f t="shared" si="7"/>
        <v xml:space="preserve">      .AddAttribute(  4, "TaxClass", "TaxClass", "integer", 0, 0, true, false, "", "", "Tax class currently held by the employee")</v>
      </c>
    </row>
    <row r="82" spans="1:16" x14ac:dyDescent="0.45">
      <c r="A82" t="s">
        <v>104</v>
      </c>
      <c r="B82">
        <v>5</v>
      </c>
      <c r="C82" t="s">
        <v>151</v>
      </c>
      <c r="D82" t="s">
        <v>151</v>
      </c>
      <c r="E82" t="s">
        <v>22</v>
      </c>
      <c r="F82">
        <v>0</v>
      </c>
      <c r="G82">
        <v>0</v>
      </c>
      <c r="H82" t="s">
        <v>57</v>
      </c>
      <c r="I82" t="s">
        <v>56</v>
      </c>
      <c r="J82" t="s">
        <v>56</v>
      </c>
      <c r="K82" s="2"/>
      <c r="L82" s="2"/>
      <c r="M82" s="2"/>
      <c r="O82" s="4" t="s">
        <v>249</v>
      </c>
      <c r="P82" s="2" t="str">
        <f t="shared" si="7"/>
        <v xml:space="preserve">      .AddAttribute(  5, "StartOfJob", "StartOfJob", "date", 0, 0, true, false, "", "", "starting date of the employee in the company (can be extended later for the start of the current position)")</v>
      </c>
    </row>
    <row r="83" spans="1:16" x14ac:dyDescent="0.45">
      <c r="A83" t="s">
        <v>104</v>
      </c>
      <c r="B83">
        <v>6</v>
      </c>
      <c r="C83" t="s">
        <v>152</v>
      </c>
      <c r="D83" t="s">
        <v>152</v>
      </c>
      <c r="E83" t="s">
        <v>20</v>
      </c>
      <c r="F83">
        <v>0</v>
      </c>
      <c r="G83">
        <v>0</v>
      </c>
      <c r="H83" t="s">
        <v>56</v>
      </c>
      <c r="I83" t="s">
        <v>56</v>
      </c>
      <c r="J83" t="s">
        <v>56</v>
      </c>
      <c r="K83" s="2"/>
      <c r="L83" s="2"/>
      <c r="M83" s="2"/>
      <c r="O83" s="4" t="s">
        <v>248</v>
      </c>
      <c r="P83" s="2" t="str">
        <f t="shared" si="7"/>
        <v xml:space="preserve">      .AddAttribute(  6, "JobPosition", "JobPosition", "integer", 0, 0, false, false, "", "", "current position / activity of the employee within the company")</v>
      </c>
    </row>
    <row r="84" spans="1:16" x14ac:dyDescent="0.45">
      <c r="A84" t="s">
        <v>104</v>
      </c>
      <c r="B84">
        <v>7</v>
      </c>
      <c r="C84" t="s">
        <v>153</v>
      </c>
      <c r="D84" t="s">
        <v>153</v>
      </c>
      <c r="E84" t="s">
        <v>19</v>
      </c>
      <c r="F84">
        <v>100</v>
      </c>
      <c r="G84">
        <v>0</v>
      </c>
      <c r="H84" t="s">
        <v>56</v>
      </c>
      <c r="I84" t="s">
        <v>56</v>
      </c>
      <c r="J84" t="s">
        <v>56</v>
      </c>
      <c r="K84" s="2"/>
      <c r="L84" s="2"/>
      <c r="M84" s="2"/>
      <c r="O84" s="4" t="s">
        <v>263</v>
      </c>
      <c r="P84" s="2" t="str">
        <f t="shared" si="7"/>
        <v xml:space="preserve">      .AddAttribute(  7, "JobSpec", "JobSpec", "varchar", 100, 0, false, false, "", "", "specification of the job as free text to concretize this")</v>
      </c>
    </row>
    <row r="85" spans="1:16" x14ac:dyDescent="0.45">
      <c r="A85" t="s">
        <v>104</v>
      </c>
      <c r="B85">
        <v>8</v>
      </c>
      <c r="C85" t="s">
        <v>154</v>
      </c>
      <c r="D85" t="s">
        <v>154</v>
      </c>
      <c r="E85" t="s">
        <v>20</v>
      </c>
      <c r="F85">
        <v>0</v>
      </c>
      <c r="G85">
        <v>0</v>
      </c>
      <c r="H85" t="s">
        <v>57</v>
      </c>
      <c r="I85" t="s">
        <v>56</v>
      </c>
      <c r="J85" t="s">
        <v>56</v>
      </c>
      <c r="K85" s="2"/>
      <c r="L85" s="2"/>
      <c r="M85" s="2"/>
      <c r="O85" s="4" t="s">
        <v>247</v>
      </c>
      <c r="P85" s="2" t="str">
        <f t="shared" si="7"/>
        <v xml:space="preserve">      .AddAttribute(  8, "Department", "Department", "integer", 0, 0, true, false, "", "", "id of the department where the employee currently work")</v>
      </c>
    </row>
    <row r="86" spans="1:16" x14ac:dyDescent="0.45">
      <c r="A86" t="s">
        <v>104</v>
      </c>
      <c r="B86">
        <v>9</v>
      </c>
      <c r="C86" t="s">
        <v>155</v>
      </c>
      <c r="D86" t="s">
        <v>155</v>
      </c>
      <c r="E86" t="s">
        <v>19</v>
      </c>
      <c r="F86">
        <v>20</v>
      </c>
      <c r="G86">
        <v>0</v>
      </c>
      <c r="H86" t="s">
        <v>57</v>
      </c>
      <c r="I86" t="s">
        <v>56</v>
      </c>
      <c r="J86" t="s">
        <v>57</v>
      </c>
      <c r="K86" s="2"/>
      <c r="L86" s="2"/>
      <c r="M86" s="2"/>
      <c r="O86" s="4" t="s">
        <v>253</v>
      </c>
      <c r="P86" s="2" t="str">
        <f t="shared" si="7"/>
        <v xml:space="preserve">      .AddAttribute(  9, "SocialNummer", "SocialNummer", "varchar", 20, 0, true, false, "", "", "social insurance number of the employee")</v>
      </c>
    </row>
    <row r="87" spans="1:16" x14ac:dyDescent="0.45">
      <c r="A87" t="s">
        <v>104</v>
      </c>
      <c r="B87">
        <v>10</v>
      </c>
      <c r="C87" t="s">
        <v>156</v>
      </c>
      <c r="D87" t="s">
        <v>156</v>
      </c>
      <c r="E87" t="s">
        <v>27</v>
      </c>
      <c r="F87">
        <v>0</v>
      </c>
      <c r="G87">
        <v>0</v>
      </c>
      <c r="H87" t="s">
        <v>56</v>
      </c>
      <c r="I87" t="s">
        <v>56</v>
      </c>
      <c r="J87" t="s">
        <v>56</v>
      </c>
      <c r="K87" s="2"/>
      <c r="L87" s="2"/>
      <c r="M87" s="2"/>
      <c r="O87" s="4" t="s">
        <v>254</v>
      </c>
      <c r="P87" s="2" t="str">
        <f t="shared" si="7"/>
        <v xml:space="preserve">      .AddAttribute( 10, "Active", "Active", "bool", 0, 0, false, false, "", "", "boolean value indicating whether the person is active in the company")</v>
      </c>
    </row>
    <row r="88" spans="1:16" x14ac:dyDescent="0.45">
      <c r="O88" s="4"/>
    </row>
    <row r="89" spans="1:16" x14ac:dyDescent="0.45">
      <c r="A89" t="s">
        <v>105</v>
      </c>
      <c r="B89">
        <v>0</v>
      </c>
      <c r="C89" t="s">
        <v>119</v>
      </c>
      <c r="D89" t="s">
        <v>410</v>
      </c>
      <c r="E89" t="s">
        <v>165</v>
      </c>
      <c r="H89" t="s">
        <v>166</v>
      </c>
      <c r="I89" t="s">
        <v>167</v>
      </c>
      <c r="K89" s="2"/>
      <c r="L89" s="2"/>
      <c r="M89" s="2"/>
      <c r="O89" s="4" t="s">
        <v>277</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105</v>
      </c>
      <c r="B90">
        <v>1</v>
      </c>
      <c r="C90" t="s">
        <v>132</v>
      </c>
      <c r="D90" t="s">
        <v>132</v>
      </c>
      <c r="E90" t="s">
        <v>20</v>
      </c>
      <c r="F90">
        <v>0</v>
      </c>
      <c r="G90">
        <v>0</v>
      </c>
      <c r="H90" t="s">
        <v>57</v>
      </c>
      <c r="I90" t="s">
        <v>57</v>
      </c>
      <c r="J90" t="s">
        <v>56</v>
      </c>
      <c r="K90" s="2"/>
      <c r="L90" s="2"/>
      <c r="M90" s="2"/>
      <c r="O90" s="4" t="s">
        <v>232</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105</v>
      </c>
      <c r="B91">
        <v>2</v>
      </c>
      <c r="C91" t="s">
        <v>127</v>
      </c>
      <c r="D91" t="s">
        <v>127</v>
      </c>
      <c r="E91" t="s">
        <v>19</v>
      </c>
      <c r="F91">
        <v>50</v>
      </c>
      <c r="G91">
        <v>0</v>
      </c>
      <c r="H91" t="s">
        <v>57</v>
      </c>
      <c r="I91" t="s">
        <v>56</v>
      </c>
      <c r="J91" t="s">
        <v>57</v>
      </c>
      <c r="K91" s="2"/>
      <c r="L91" s="2"/>
      <c r="M91" s="2"/>
      <c r="O91" s="4" t="s">
        <v>233</v>
      </c>
      <c r="P91" s="2" t="str">
        <f t="shared" si="8"/>
        <v xml:space="preserve">      .AddAttribute(  2, "Denotation", "Denotation", "varchar", 50, 0, true, false, "", "", "unique description of a family type entity in the domain, used in selections, comboboxes, … (key canditate)")</v>
      </c>
    </row>
    <row r="92" spans="1:16" x14ac:dyDescent="0.45">
      <c r="A92" t="s">
        <v>105</v>
      </c>
      <c r="B92">
        <v>3</v>
      </c>
      <c r="C92" t="s">
        <v>128</v>
      </c>
      <c r="D92" t="s">
        <v>128</v>
      </c>
      <c r="E92" t="s">
        <v>19</v>
      </c>
      <c r="F92">
        <v>10</v>
      </c>
      <c r="G92">
        <v>0</v>
      </c>
      <c r="H92" t="s">
        <v>56</v>
      </c>
      <c r="I92" t="s">
        <v>56</v>
      </c>
      <c r="J92" t="s">
        <v>56</v>
      </c>
      <c r="K92" s="2"/>
      <c r="L92" s="2"/>
      <c r="M92" s="2"/>
      <c r="O92" s="4" t="s">
        <v>211</v>
      </c>
      <c r="P92" s="2" t="str">
        <f t="shared" si="8"/>
        <v xml:space="preserve">      .AddAttribute(  3, "Abbreviation", "Abbreviation", "varchar", 10, 0, false, false, "", "", "non-representative abbreviation that can be used for a short advertisement for this banking type")</v>
      </c>
    </row>
    <row r="93" spans="1:16" x14ac:dyDescent="0.45">
      <c r="A93" t="s">
        <v>105</v>
      </c>
      <c r="B93">
        <v>4</v>
      </c>
      <c r="C93" t="s">
        <v>338</v>
      </c>
      <c r="D93" t="s">
        <v>338</v>
      </c>
      <c r="E93" t="s">
        <v>27</v>
      </c>
      <c r="F93">
        <v>0</v>
      </c>
      <c r="G93">
        <v>0</v>
      </c>
      <c r="H93" t="s">
        <v>56</v>
      </c>
      <c r="I93" t="s">
        <v>56</v>
      </c>
      <c r="J93" t="s">
        <v>56</v>
      </c>
      <c r="K93" s="2"/>
      <c r="L93" s="2"/>
      <c r="M93" s="2"/>
      <c r="O93" s="4" t="s">
        <v>339</v>
      </c>
      <c r="P93" s="2" t="str">
        <f t="shared" si="8"/>
        <v xml:space="preserve">      .AddAttribute(  4, "IsNaturalPerson", "IsNaturalPerson", "bool", 0, 0, false, false, "", "", "boolean indicator whether this entity is a natural person when true, otherwise ist a legal entity")</v>
      </c>
    </row>
    <row r="94" spans="1:16" x14ac:dyDescent="0.45">
      <c r="A94" t="s">
        <v>105</v>
      </c>
      <c r="B94">
        <v>5</v>
      </c>
      <c r="C94" t="s">
        <v>129</v>
      </c>
      <c r="D94" t="s">
        <v>129</v>
      </c>
      <c r="E94" t="s">
        <v>76</v>
      </c>
      <c r="F94">
        <v>0</v>
      </c>
      <c r="G94">
        <v>0</v>
      </c>
      <c r="H94" t="s">
        <v>56</v>
      </c>
      <c r="I94" t="s">
        <v>56</v>
      </c>
      <c r="J94" t="s">
        <v>56</v>
      </c>
      <c r="K94" s="2"/>
      <c r="L94" s="2"/>
      <c r="M94" s="2"/>
      <c r="O94" s="4" t="s">
        <v>234</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105</v>
      </c>
      <c r="B95">
        <v>6</v>
      </c>
      <c r="C95" t="s">
        <v>130</v>
      </c>
      <c r="D95" t="s">
        <v>130</v>
      </c>
      <c r="E95" t="s">
        <v>76</v>
      </c>
      <c r="F95">
        <v>0</v>
      </c>
      <c r="G95">
        <v>0</v>
      </c>
      <c r="H95" t="s">
        <v>56</v>
      </c>
      <c r="I95" t="s">
        <v>56</v>
      </c>
      <c r="J95" t="s">
        <v>56</v>
      </c>
      <c r="K95" s="2"/>
      <c r="L95" s="2"/>
      <c r="M95" s="2"/>
      <c r="O95" s="4" t="s">
        <v>235</v>
      </c>
      <c r="P95" s="2" t="str">
        <f t="shared" si="8"/>
        <v xml:space="preserve">      .AddAttribute(  6, "Notes", "Notes", "text", 0, 0, false, false, "", "", "notes, with additional / free information for this type of family status, not used in application")</v>
      </c>
    </row>
    <row r="96" spans="1:16" x14ac:dyDescent="0.45">
      <c r="A96" t="s">
        <v>105</v>
      </c>
      <c r="B96">
        <v>7</v>
      </c>
      <c r="C96" t="s">
        <v>131</v>
      </c>
      <c r="D96" t="s">
        <v>131</v>
      </c>
      <c r="E96" t="s">
        <v>27</v>
      </c>
      <c r="F96">
        <v>0</v>
      </c>
      <c r="G96">
        <v>0</v>
      </c>
      <c r="H96" t="s">
        <v>56</v>
      </c>
      <c r="I96" t="s">
        <v>56</v>
      </c>
      <c r="J96" t="s">
        <v>56</v>
      </c>
      <c r="K96" s="2"/>
      <c r="L96" s="2"/>
      <c r="M96" s="2"/>
      <c r="O96" s="4" t="s">
        <v>236</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106</v>
      </c>
      <c r="B98">
        <v>0</v>
      </c>
      <c r="C98" t="s">
        <v>120</v>
      </c>
      <c r="D98" t="s">
        <v>409</v>
      </c>
      <c r="E98" t="s">
        <v>165</v>
      </c>
      <c r="H98" t="s">
        <v>166</v>
      </c>
      <c r="I98" t="s">
        <v>167</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106</v>
      </c>
      <c r="B99">
        <v>1</v>
      </c>
      <c r="C99" t="s">
        <v>132</v>
      </c>
      <c r="D99" t="s">
        <v>132</v>
      </c>
      <c r="E99" t="s">
        <v>20</v>
      </c>
      <c r="F99">
        <v>0</v>
      </c>
      <c r="G99">
        <v>0</v>
      </c>
      <c r="H99" t="s">
        <v>57</v>
      </c>
      <c r="I99" t="s">
        <v>57</v>
      </c>
      <c r="J99" t="s">
        <v>56</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106</v>
      </c>
      <c r="B100">
        <v>2</v>
      </c>
      <c r="C100" t="s">
        <v>127</v>
      </c>
      <c r="D100" t="s">
        <v>127</v>
      </c>
      <c r="E100" t="s">
        <v>19</v>
      </c>
      <c r="F100">
        <v>50</v>
      </c>
      <c r="G100">
        <v>0</v>
      </c>
      <c r="H100" t="s">
        <v>57</v>
      </c>
      <c r="I100" t="s">
        <v>56</v>
      </c>
      <c r="J100" t="s">
        <v>57</v>
      </c>
      <c r="K100" s="2"/>
      <c r="L100" s="2"/>
      <c r="M100" s="2"/>
      <c r="O100" s="4"/>
      <c r="P100" s="2" t="str">
        <f t="shared" si="9"/>
        <v xml:space="preserve">      .AddAttribute(  2, "Denotation", "Denotation", "varchar", 50, 0, true, false, "", "", "")</v>
      </c>
    </row>
    <row r="101" spans="1:16" x14ac:dyDescent="0.45">
      <c r="A101" t="s">
        <v>106</v>
      </c>
      <c r="B101">
        <v>3</v>
      </c>
      <c r="C101" t="s">
        <v>128</v>
      </c>
      <c r="D101" t="s">
        <v>128</v>
      </c>
      <c r="E101" t="s">
        <v>19</v>
      </c>
      <c r="F101">
        <v>10</v>
      </c>
      <c r="G101">
        <v>0</v>
      </c>
      <c r="H101" t="s">
        <v>56</v>
      </c>
      <c r="I101" t="s">
        <v>56</v>
      </c>
      <c r="J101" t="s">
        <v>56</v>
      </c>
      <c r="K101" s="2"/>
      <c r="L101" s="2"/>
      <c r="M101" s="2"/>
      <c r="O101" s="4"/>
      <c r="P101" s="2" t="str">
        <f t="shared" si="9"/>
        <v xml:space="preserve">      .AddAttribute(  3, "Abbreviation", "Abbreviation", "varchar", 10, 0, false, false, "", "", "")</v>
      </c>
    </row>
    <row r="102" spans="1:16" x14ac:dyDescent="0.45">
      <c r="A102" t="s">
        <v>106</v>
      </c>
      <c r="B102">
        <v>4</v>
      </c>
      <c r="C102" t="s">
        <v>129</v>
      </c>
      <c r="D102" t="s">
        <v>129</v>
      </c>
      <c r="E102" t="s">
        <v>76</v>
      </c>
      <c r="F102">
        <v>0</v>
      </c>
      <c r="G102">
        <v>0</v>
      </c>
      <c r="H102" t="s">
        <v>56</v>
      </c>
      <c r="I102" t="s">
        <v>56</v>
      </c>
      <c r="J102" t="s">
        <v>56</v>
      </c>
      <c r="K102" s="2"/>
      <c r="L102" s="2"/>
      <c r="M102" s="2"/>
      <c r="O102" s="4"/>
      <c r="P102" s="2" t="str">
        <f t="shared" si="9"/>
        <v xml:space="preserve">      .AddAttribute(  4, "Description", "Description", "text", 0, 0, false, false, "", "", "")</v>
      </c>
    </row>
    <row r="103" spans="1:16" x14ac:dyDescent="0.45">
      <c r="A103" t="s">
        <v>106</v>
      </c>
      <c r="B103">
        <v>5</v>
      </c>
      <c r="C103" t="s">
        <v>157</v>
      </c>
      <c r="D103" t="s">
        <v>157</v>
      </c>
      <c r="E103" t="s">
        <v>20</v>
      </c>
      <c r="F103">
        <v>0</v>
      </c>
      <c r="G103">
        <v>0</v>
      </c>
      <c r="H103" t="s">
        <v>56</v>
      </c>
      <c r="I103" t="s">
        <v>56</v>
      </c>
      <c r="J103" t="s">
        <v>56</v>
      </c>
      <c r="K103" s="2"/>
      <c r="L103" s="2"/>
      <c r="M103" s="2"/>
      <c r="O103" s="4"/>
      <c r="P103" s="2" t="str">
        <f t="shared" si="9"/>
        <v xml:space="preserve">      .AddAttribute(  5, "TypeSpec", "TypeSpec", "integer", 0, 0, false, false, "", "", "")</v>
      </c>
    </row>
    <row r="104" spans="1:16" x14ac:dyDescent="0.45">
      <c r="A104" t="s">
        <v>106</v>
      </c>
      <c r="B104">
        <v>6</v>
      </c>
      <c r="C104" t="s">
        <v>158</v>
      </c>
      <c r="D104" t="s">
        <v>158</v>
      </c>
      <c r="E104" t="s">
        <v>19</v>
      </c>
      <c r="F104">
        <v>50</v>
      </c>
      <c r="G104">
        <v>0</v>
      </c>
      <c r="H104" t="s">
        <v>56</v>
      </c>
      <c r="I104" t="s">
        <v>56</v>
      </c>
      <c r="J104" t="s">
        <v>56</v>
      </c>
      <c r="K104" s="2"/>
      <c r="L104" s="2"/>
      <c r="M104" s="2"/>
      <c r="O104" s="4"/>
      <c r="P104" s="2" t="str">
        <f t="shared" si="9"/>
        <v xml:space="preserve">      .AddAttribute(  6, "Salutation", "Salutation", "varchar", 50, 0, false, false, "", "", "")</v>
      </c>
    </row>
    <row r="105" spans="1:16" x14ac:dyDescent="0.45">
      <c r="A105" t="s">
        <v>106</v>
      </c>
      <c r="B105">
        <v>7</v>
      </c>
      <c r="C105" t="s">
        <v>159</v>
      </c>
      <c r="D105" t="s">
        <v>159</v>
      </c>
      <c r="E105" t="s">
        <v>19</v>
      </c>
      <c r="F105">
        <v>50</v>
      </c>
      <c r="G105">
        <v>0</v>
      </c>
      <c r="H105" t="s">
        <v>56</v>
      </c>
      <c r="I105" t="s">
        <v>56</v>
      </c>
      <c r="J105" t="s">
        <v>56</v>
      </c>
      <c r="K105" s="2"/>
      <c r="L105" s="2"/>
      <c r="M105" s="2"/>
      <c r="O105" s="4"/>
      <c r="P105" s="2" t="str">
        <f t="shared" si="9"/>
        <v xml:space="preserve">      .AddAttribute(  7, "Valediction", "Valediction", "varchar", 50, 0, false, false, "", "", "")</v>
      </c>
    </row>
    <row r="106" spans="1:16" x14ac:dyDescent="0.45">
      <c r="A106" t="s">
        <v>106</v>
      </c>
      <c r="B106">
        <v>8</v>
      </c>
      <c r="C106" t="s">
        <v>130</v>
      </c>
      <c r="D106" t="s">
        <v>130</v>
      </c>
      <c r="E106" t="s">
        <v>76</v>
      </c>
      <c r="F106">
        <v>0</v>
      </c>
      <c r="G106">
        <v>0</v>
      </c>
      <c r="H106" t="s">
        <v>56</v>
      </c>
      <c r="I106" t="s">
        <v>56</v>
      </c>
      <c r="J106" t="s">
        <v>56</v>
      </c>
      <c r="K106" s="2"/>
      <c r="L106" s="2"/>
      <c r="M106" s="2"/>
      <c r="O106" s="4"/>
      <c r="P106" s="2" t="str">
        <f t="shared" si="9"/>
        <v xml:space="preserve">      .AddAttribute(  8, "Notes", "Notes", "text", 0, 0, false, false, "", "", "")</v>
      </c>
    </row>
    <row r="107" spans="1:16" x14ac:dyDescent="0.45">
      <c r="A107" t="s">
        <v>106</v>
      </c>
      <c r="B107">
        <v>9</v>
      </c>
      <c r="C107" t="s">
        <v>131</v>
      </c>
      <c r="D107" t="s">
        <v>131</v>
      </c>
      <c r="E107" t="s">
        <v>27</v>
      </c>
      <c r="F107">
        <v>0</v>
      </c>
      <c r="G107">
        <v>0</v>
      </c>
      <c r="H107" t="s">
        <v>56</v>
      </c>
      <c r="I107" t="s">
        <v>56</v>
      </c>
      <c r="J107" t="s">
        <v>56</v>
      </c>
      <c r="K107" s="2"/>
      <c r="L107" s="2"/>
      <c r="M107" s="2"/>
      <c r="O107" s="4" t="s">
        <v>237</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107</v>
      </c>
      <c r="B109">
        <v>0</v>
      </c>
      <c r="C109" t="s">
        <v>121</v>
      </c>
      <c r="D109" t="s">
        <v>408</v>
      </c>
      <c r="E109" t="s">
        <v>165</v>
      </c>
      <c r="H109" t="s">
        <v>166</v>
      </c>
      <c r="I109" t="s">
        <v>167</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107</v>
      </c>
      <c r="B110">
        <v>1</v>
      </c>
      <c r="C110" t="s">
        <v>132</v>
      </c>
      <c r="D110" t="s">
        <v>132</v>
      </c>
      <c r="E110" t="s">
        <v>20</v>
      </c>
      <c r="F110">
        <v>0</v>
      </c>
      <c r="G110">
        <v>0</v>
      </c>
      <c r="H110" t="s">
        <v>57</v>
      </c>
      <c r="I110" t="s">
        <v>57</v>
      </c>
      <c r="J110" t="s">
        <v>56</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107</v>
      </c>
      <c r="B111">
        <v>2</v>
      </c>
      <c r="C111" t="s">
        <v>161</v>
      </c>
      <c r="D111" t="s">
        <v>161</v>
      </c>
      <c r="E111" t="s">
        <v>20</v>
      </c>
      <c r="F111">
        <v>0</v>
      </c>
      <c r="G111">
        <v>0</v>
      </c>
      <c r="H111" t="s">
        <v>57</v>
      </c>
      <c r="I111" t="s">
        <v>57</v>
      </c>
      <c r="J111" t="s">
        <v>57</v>
      </c>
      <c r="K111" s="2"/>
      <c r="L111" s="2"/>
      <c r="M111" s="2"/>
      <c r="O111" s="4"/>
      <c r="P111" s="2" t="str">
        <f t="shared" si="10"/>
        <v xml:space="preserve">      .AddAttribute(  2, "InternetType", "InternetType", "integer", 0, 0, true, true, "", "", "")</v>
      </c>
    </row>
    <row r="112" spans="1:16" x14ac:dyDescent="0.45">
      <c r="A112" t="s">
        <v>107</v>
      </c>
      <c r="B112">
        <v>3</v>
      </c>
      <c r="C112" t="s">
        <v>162</v>
      </c>
      <c r="D112" t="s">
        <v>162</v>
      </c>
      <c r="E112" t="s">
        <v>19</v>
      </c>
      <c r="F112">
        <v>100</v>
      </c>
      <c r="G112">
        <v>0</v>
      </c>
      <c r="H112" t="s">
        <v>57</v>
      </c>
      <c r="I112" t="s">
        <v>56</v>
      </c>
      <c r="J112" t="s">
        <v>56</v>
      </c>
      <c r="K112" s="2"/>
      <c r="L112" s="2"/>
      <c r="M112" s="2"/>
      <c r="O112" s="4"/>
      <c r="P112" s="2" t="str">
        <f t="shared" si="10"/>
        <v xml:space="preserve">      .AddAttribute(  3, "Adresse", "Adresse", "varchar", 100, 0, true, false, "", "", "")</v>
      </c>
    </row>
    <row r="113" spans="1:16" x14ac:dyDescent="0.45">
      <c r="O113" s="4"/>
    </row>
    <row r="114" spans="1:16" x14ac:dyDescent="0.45">
      <c r="A114" t="s">
        <v>108</v>
      </c>
      <c r="B114">
        <v>0</v>
      </c>
      <c r="C114" t="s">
        <v>122</v>
      </c>
      <c r="D114" t="s">
        <v>407</v>
      </c>
      <c r="E114" t="s">
        <v>165</v>
      </c>
      <c r="H114" t="s">
        <v>166</v>
      </c>
      <c r="I114" t="s">
        <v>167</v>
      </c>
      <c r="K114" s="2"/>
      <c r="L114" s="2"/>
      <c r="M114" s="2"/>
      <c r="O114" s="4" t="s">
        <v>231</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108</v>
      </c>
      <c r="B115">
        <v>1</v>
      </c>
      <c r="C115" t="s">
        <v>132</v>
      </c>
      <c r="D115" t="s">
        <v>132</v>
      </c>
      <c r="E115" t="s">
        <v>20</v>
      </c>
      <c r="F115">
        <v>0</v>
      </c>
      <c r="G115">
        <v>0</v>
      </c>
      <c r="H115" t="s">
        <v>57</v>
      </c>
      <c r="I115" t="s">
        <v>57</v>
      </c>
      <c r="J115" t="s">
        <v>56</v>
      </c>
      <c r="K115" s="2"/>
      <c r="L115" s="2"/>
      <c r="M115" s="2"/>
      <c r="O115" s="4" t="s">
        <v>230</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108</v>
      </c>
      <c r="B116">
        <v>2</v>
      </c>
      <c r="C116" t="s">
        <v>127</v>
      </c>
      <c r="D116" t="s">
        <v>127</v>
      </c>
      <c r="E116" t="s">
        <v>19</v>
      </c>
      <c r="F116">
        <v>50</v>
      </c>
      <c r="G116">
        <v>0</v>
      </c>
      <c r="H116" t="s">
        <v>57</v>
      </c>
      <c r="I116" t="s">
        <v>56</v>
      </c>
      <c r="J116" t="s">
        <v>57</v>
      </c>
      <c r="K116" s="2"/>
      <c r="L116" s="2"/>
      <c r="M116" s="2"/>
      <c r="O116" s="4" t="s">
        <v>229</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108</v>
      </c>
      <c r="B117">
        <v>3</v>
      </c>
      <c r="C117" t="s">
        <v>128</v>
      </c>
      <c r="D117" t="s">
        <v>128</v>
      </c>
      <c r="E117" t="s">
        <v>19</v>
      </c>
      <c r="F117">
        <v>10</v>
      </c>
      <c r="G117">
        <v>0</v>
      </c>
      <c r="H117" t="s">
        <v>56</v>
      </c>
      <c r="I117" t="s">
        <v>56</v>
      </c>
      <c r="J117" t="s">
        <v>56</v>
      </c>
      <c r="K117" s="2"/>
      <c r="L117" s="2"/>
      <c r="M117" s="2"/>
      <c r="O117" s="4" t="s">
        <v>228</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108</v>
      </c>
      <c r="B118">
        <v>4</v>
      </c>
      <c r="C118" t="s">
        <v>129</v>
      </c>
      <c r="D118" t="s">
        <v>129</v>
      </c>
      <c r="E118" t="s">
        <v>76</v>
      </c>
      <c r="F118">
        <v>0</v>
      </c>
      <c r="G118">
        <v>0</v>
      </c>
      <c r="H118" t="s">
        <v>56</v>
      </c>
      <c r="I118" t="s">
        <v>56</v>
      </c>
      <c r="J118" t="s">
        <v>56</v>
      </c>
      <c r="K118" s="2"/>
      <c r="L118" s="2"/>
      <c r="M118" s="2"/>
      <c r="O118" s="4" t="s">
        <v>227</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108</v>
      </c>
      <c r="B119">
        <v>5</v>
      </c>
      <c r="C119" t="s">
        <v>160</v>
      </c>
      <c r="D119" t="s">
        <v>160</v>
      </c>
      <c r="E119" t="s">
        <v>19</v>
      </c>
      <c r="F119">
        <v>10</v>
      </c>
      <c r="G119">
        <v>0</v>
      </c>
      <c r="H119" t="s">
        <v>56</v>
      </c>
      <c r="I119" t="s">
        <v>56</v>
      </c>
      <c r="J119" t="s">
        <v>56</v>
      </c>
      <c r="K119" s="2"/>
      <c r="L119" s="2"/>
      <c r="M119" s="2"/>
      <c r="O119" s="4"/>
      <c r="P119" s="2" t="str">
        <f t="shared" si="11"/>
        <v xml:space="preserve">      .AddAttribute(  5, "Prefix", "Prefix", "varchar", 10, 0, false, false, "", "", "")</v>
      </c>
    </row>
    <row r="120" spans="1:16" x14ac:dyDescent="0.45">
      <c r="A120" t="s">
        <v>108</v>
      </c>
      <c r="B120">
        <v>6</v>
      </c>
      <c r="C120" t="s">
        <v>130</v>
      </c>
      <c r="D120" t="s">
        <v>130</v>
      </c>
      <c r="E120" t="s">
        <v>76</v>
      </c>
      <c r="F120">
        <v>0</v>
      </c>
      <c r="G120">
        <v>0</v>
      </c>
      <c r="H120" t="s">
        <v>56</v>
      </c>
      <c r="I120" t="s">
        <v>56</v>
      </c>
      <c r="J120" t="s">
        <v>56</v>
      </c>
      <c r="K120" s="2"/>
      <c r="L120" s="2"/>
      <c r="M120" s="2"/>
      <c r="O120" s="4" t="s">
        <v>226</v>
      </c>
      <c r="P120" s="2" t="str">
        <f t="shared" si="11"/>
        <v xml:space="preserve">      .AddAttribute(  6, "Notes", "Notes", "text", 0, 0, false, false, "", "", "notes, with additional / free information for this type of internet connection, not used in application")</v>
      </c>
    </row>
    <row r="121" spans="1:16" x14ac:dyDescent="0.45">
      <c r="A121" t="s">
        <v>108</v>
      </c>
      <c r="B121">
        <v>7</v>
      </c>
      <c r="C121" t="s">
        <v>131</v>
      </c>
      <c r="D121" t="s">
        <v>131</v>
      </c>
      <c r="E121" t="s">
        <v>27</v>
      </c>
      <c r="F121">
        <v>0</v>
      </c>
      <c r="G121">
        <v>0</v>
      </c>
      <c r="H121" t="s">
        <v>56</v>
      </c>
      <c r="I121" t="s">
        <v>56</v>
      </c>
      <c r="J121" t="s">
        <v>56</v>
      </c>
      <c r="K121" s="2"/>
      <c r="L121" s="2"/>
      <c r="M121" s="2"/>
      <c r="O121" s="4" t="s">
        <v>225</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109</v>
      </c>
      <c r="B123">
        <v>0</v>
      </c>
      <c r="C123" t="s">
        <v>123</v>
      </c>
      <c r="D123" t="s">
        <v>355</v>
      </c>
      <c r="E123" t="s">
        <v>165</v>
      </c>
      <c r="H123" t="s">
        <v>166</v>
      </c>
      <c r="I123" t="s">
        <v>167</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109</v>
      </c>
      <c r="B124">
        <v>1</v>
      </c>
      <c r="C124" t="s">
        <v>132</v>
      </c>
      <c r="D124" t="s">
        <v>132</v>
      </c>
      <c r="E124" t="s">
        <v>20</v>
      </c>
      <c r="F124">
        <v>0</v>
      </c>
      <c r="G124">
        <v>0</v>
      </c>
      <c r="H124" t="s">
        <v>57</v>
      </c>
      <c r="I124" t="s">
        <v>57</v>
      </c>
      <c r="J124" t="s">
        <v>56</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109</v>
      </c>
      <c r="B125">
        <v>2</v>
      </c>
      <c r="C125" t="s">
        <v>127</v>
      </c>
      <c r="D125" t="s">
        <v>127</v>
      </c>
      <c r="E125" t="s">
        <v>19</v>
      </c>
      <c r="F125">
        <v>50</v>
      </c>
      <c r="G125">
        <v>0</v>
      </c>
      <c r="H125" t="s">
        <v>57</v>
      </c>
      <c r="I125" t="s">
        <v>56</v>
      </c>
      <c r="J125" t="s">
        <v>57</v>
      </c>
      <c r="K125" s="2"/>
      <c r="L125" s="2"/>
      <c r="M125" s="2"/>
      <c r="O125" s="4"/>
      <c r="P125" s="2" t="str">
        <f t="shared" si="12"/>
        <v xml:space="preserve">      .AddAttribute(  2, "Denotation", "Denotation", "varchar", 50, 0, true, false, "", "", "")</v>
      </c>
    </row>
    <row r="126" spans="1:16" x14ac:dyDescent="0.45">
      <c r="A126" t="s">
        <v>109</v>
      </c>
      <c r="B126">
        <v>3</v>
      </c>
      <c r="C126" t="s">
        <v>128</v>
      </c>
      <c r="D126" t="s">
        <v>128</v>
      </c>
      <c r="E126" t="s">
        <v>19</v>
      </c>
      <c r="F126">
        <v>10</v>
      </c>
      <c r="G126">
        <v>0</v>
      </c>
      <c r="H126" t="s">
        <v>56</v>
      </c>
      <c r="I126" t="s">
        <v>56</v>
      </c>
      <c r="J126" t="s">
        <v>56</v>
      </c>
      <c r="K126" s="2"/>
      <c r="L126" s="2"/>
      <c r="M126" s="2"/>
      <c r="O126" s="4"/>
      <c r="P126" s="2" t="str">
        <f t="shared" si="12"/>
        <v xml:space="preserve">      .AddAttribute(  3, "Abbreviation", "Abbreviation", "varchar", 10, 0, false, false, "", "", "")</v>
      </c>
    </row>
    <row r="127" spans="1:16" x14ac:dyDescent="0.45">
      <c r="A127" t="s">
        <v>109</v>
      </c>
      <c r="B127">
        <v>4</v>
      </c>
      <c r="C127" t="s">
        <v>129</v>
      </c>
      <c r="D127" t="s">
        <v>129</v>
      </c>
      <c r="E127" t="s">
        <v>76</v>
      </c>
      <c r="F127">
        <v>0</v>
      </c>
      <c r="G127">
        <v>0</v>
      </c>
      <c r="H127" t="s">
        <v>56</v>
      </c>
      <c r="I127" t="s">
        <v>56</v>
      </c>
      <c r="J127" t="s">
        <v>56</v>
      </c>
      <c r="K127" s="2"/>
      <c r="L127" s="2"/>
      <c r="M127" s="2"/>
      <c r="O127" s="4"/>
      <c r="P127" s="2" t="str">
        <f t="shared" si="12"/>
        <v xml:space="preserve">      .AddAttribute(  4, "Description", "Description", "text", 0, 0, false, false, "", "", "")</v>
      </c>
    </row>
    <row r="128" spans="1:16" x14ac:dyDescent="0.45">
      <c r="A128" t="s">
        <v>109</v>
      </c>
      <c r="B128">
        <v>5</v>
      </c>
      <c r="C128" t="s">
        <v>130</v>
      </c>
      <c r="D128" t="s">
        <v>130</v>
      </c>
      <c r="E128" t="s">
        <v>76</v>
      </c>
      <c r="F128">
        <v>0</v>
      </c>
      <c r="G128">
        <v>0</v>
      </c>
      <c r="H128" t="s">
        <v>56</v>
      </c>
      <c r="I128" t="s">
        <v>56</v>
      </c>
      <c r="J128" t="s">
        <v>56</v>
      </c>
      <c r="K128" s="2"/>
      <c r="L128" s="2"/>
      <c r="M128" s="2"/>
      <c r="O128" s="4"/>
      <c r="P128" s="2" t="str">
        <f t="shared" si="12"/>
        <v xml:space="preserve">      .AddAttribute(  5, "Notes", "Notes", "text", 0, 0, false, false, "", "", "")</v>
      </c>
    </row>
    <row r="129" spans="1:16" x14ac:dyDescent="0.45">
      <c r="A129" t="s">
        <v>109</v>
      </c>
      <c r="B129">
        <v>6</v>
      </c>
      <c r="C129" t="s">
        <v>131</v>
      </c>
      <c r="D129" t="s">
        <v>131</v>
      </c>
      <c r="E129" t="s">
        <v>27</v>
      </c>
      <c r="F129">
        <v>0</v>
      </c>
      <c r="G129">
        <v>0</v>
      </c>
      <c r="H129" t="s">
        <v>56</v>
      </c>
      <c r="I129" t="s">
        <v>56</v>
      </c>
      <c r="J129" t="s">
        <v>56</v>
      </c>
      <c r="K129" s="2"/>
      <c r="L129" s="2"/>
      <c r="M129" s="2"/>
      <c r="O129" s="4"/>
      <c r="P129" s="2" t="str">
        <f t="shared" si="12"/>
        <v xml:space="preserve">      .AddAttribute(  6, "UrgentValue", "UrgentValue", "bool", 0, 0, false, false, "", "", "")</v>
      </c>
    </row>
    <row r="130" spans="1:16" x14ac:dyDescent="0.45">
      <c r="O130" s="4"/>
    </row>
    <row r="131" spans="1:16" x14ac:dyDescent="0.45">
      <c r="A131" t="s">
        <v>110</v>
      </c>
      <c r="B131">
        <v>0</v>
      </c>
      <c r="C131" t="s">
        <v>124</v>
      </c>
      <c r="D131" t="s">
        <v>406</v>
      </c>
      <c r="E131" t="s">
        <v>165</v>
      </c>
      <c r="H131" t="s">
        <v>166</v>
      </c>
      <c r="I131" t="s">
        <v>167</v>
      </c>
      <c r="K131" s="2"/>
      <c r="L131" s="2"/>
      <c r="M131" s="2"/>
      <c r="O131" s="4" t="s">
        <v>379</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110</v>
      </c>
      <c r="B132">
        <v>1</v>
      </c>
      <c r="C132" t="s">
        <v>132</v>
      </c>
      <c r="D132" t="s">
        <v>132</v>
      </c>
      <c r="E132" t="s">
        <v>20</v>
      </c>
      <c r="F132">
        <v>0</v>
      </c>
      <c r="G132">
        <v>0</v>
      </c>
      <c r="H132" t="s">
        <v>57</v>
      </c>
      <c r="I132" t="s">
        <v>57</v>
      </c>
      <c r="J132" t="s">
        <v>56</v>
      </c>
      <c r="K132" s="2"/>
      <c r="L132" s="2"/>
      <c r="M132" s="2"/>
      <c r="O132" s="4" t="s">
        <v>380</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110</v>
      </c>
      <c r="B133">
        <v>2</v>
      </c>
      <c r="C133" t="s">
        <v>81</v>
      </c>
      <c r="D133" t="s">
        <v>81</v>
      </c>
      <c r="E133" t="s">
        <v>19</v>
      </c>
      <c r="F133">
        <v>30</v>
      </c>
      <c r="G133">
        <v>0</v>
      </c>
      <c r="H133" t="s">
        <v>57</v>
      </c>
      <c r="I133" t="s">
        <v>56</v>
      </c>
      <c r="J133" t="s">
        <v>56</v>
      </c>
      <c r="K133" s="2"/>
      <c r="L133" s="2"/>
      <c r="M133" s="2"/>
      <c r="O133" s="4" t="s">
        <v>381</v>
      </c>
      <c r="P133" s="2" t="str">
        <f t="shared" si="13"/>
        <v xml:space="preserve">      .AddAttribute(  2, "Name", "Name", "varchar", 30, 0, true, false, "", "", "family name of the natural person respectively the name for a legal entity")</v>
      </c>
    </row>
    <row r="134" spans="1:16" x14ac:dyDescent="0.45">
      <c r="A134" t="s">
        <v>110</v>
      </c>
      <c r="B134">
        <v>3</v>
      </c>
      <c r="C134" t="s">
        <v>163</v>
      </c>
      <c r="D134" t="s">
        <v>163</v>
      </c>
      <c r="E134" t="s">
        <v>19</v>
      </c>
      <c r="F134">
        <v>30</v>
      </c>
      <c r="G134">
        <v>0</v>
      </c>
      <c r="H134" t="s">
        <v>56</v>
      </c>
      <c r="I134" t="s">
        <v>56</v>
      </c>
      <c r="J134" t="s">
        <v>56</v>
      </c>
      <c r="K134" s="2"/>
      <c r="L134" s="2"/>
      <c r="M134" s="2"/>
      <c r="O134" s="4" t="s">
        <v>382</v>
      </c>
      <c r="P134" s="2" t="str">
        <f t="shared" si="13"/>
        <v xml:space="preserve">      .AddAttribute(  3, "Firstname", "Firstname", "varchar", 30, 0, false, false, "", "", "first name of the natural person respectively a name extenstion for a legal entity")</v>
      </c>
    </row>
    <row r="135" spans="1:16" x14ac:dyDescent="0.45">
      <c r="A135" t="s">
        <v>110</v>
      </c>
      <c r="B135">
        <v>4</v>
      </c>
      <c r="C135" t="s">
        <v>106</v>
      </c>
      <c r="D135" t="s">
        <v>106</v>
      </c>
      <c r="E135" t="s">
        <v>20</v>
      </c>
      <c r="F135">
        <v>0</v>
      </c>
      <c r="G135">
        <v>0</v>
      </c>
      <c r="H135" t="s">
        <v>57</v>
      </c>
      <c r="I135" t="s">
        <v>56</v>
      </c>
      <c r="J135" t="s">
        <v>56</v>
      </c>
      <c r="K135" s="2"/>
      <c r="L135" s="2"/>
      <c r="M135" s="2"/>
      <c r="O135" s="4" t="s">
        <v>383</v>
      </c>
      <c r="P135" s="2" t="str">
        <f t="shared" si="13"/>
        <v xml:space="preserve">      .AddAttribute(  4, "FormOfAddress", "FormOfAddress", "integer", 0, 0, true, false, "", "", "form of address for this person. this attribute control the kind of a person too")</v>
      </c>
    </row>
    <row r="136" spans="1:16" x14ac:dyDescent="0.45">
      <c r="A136" t="s">
        <v>110</v>
      </c>
      <c r="B136">
        <v>5</v>
      </c>
      <c r="C136" t="s">
        <v>173</v>
      </c>
      <c r="D136" t="s">
        <v>173</v>
      </c>
      <c r="E136" t="s">
        <v>20</v>
      </c>
      <c r="F136">
        <v>0</v>
      </c>
      <c r="G136">
        <v>0</v>
      </c>
      <c r="H136" t="s">
        <v>57</v>
      </c>
      <c r="I136" t="s">
        <v>56</v>
      </c>
      <c r="J136" t="s">
        <v>56</v>
      </c>
      <c r="K136" s="2"/>
      <c r="L136" s="2"/>
      <c r="M136" s="2"/>
      <c r="O136" s="4" t="s">
        <v>384</v>
      </c>
      <c r="P136" s="2" t="str">
        <f t="shared" si="13"/>
        <v xml:space="preserve">      .AddAttribute(  5, "FamilyStatus", "FamilyStatus", "integer", 0, 0, true, false, "", "", "family status for the person")</v>
      </c>
    </row>
    <row r="137" spans="1:16" x14ac:dyDescent="0.45">
      <c r="A137" t="s">
        <v>110</v>
      </c>
      <c r="B137">
        <v>6</v>
      </c>
      <c r="C137" t="s">
        <v>177</v>
      </c>
      <c r="D137" t="s">
        <v>177</v>
      </c>
      <c r="E137" t="s">
        <v>22</v>
      </c>
      <c r="F137">
        <v>0</v>
      </c>
      <c r="G137">
        <v>0</v>
      </c>
      <c r="H137" t="s">
        <v>56</v>
      </c>
      <c r="I137" t="s">
        <v>56</v>
      </c>
      <c r="J137" t="s">
        <v>56</v>
      </c>
      <c r="K137" s="2"/>
      <c r="L137" s="2"/>
      <c r="M137" s="2"/>
      <c r="O137" s="4" t="s">
        <v>385</v>
      </c>
      <c r="P137" s="2" t="str">
        <f t="shared" si="13"/>
        <v xml:space="preserve">      .AddAttribute(  6, "FamilyStatusSince", "FamilyStatusSince", "date", 0, 0, false, false, "", "", "the date from which the current family status applies.")</v>
      </c>
    </row>
    <row r="138" spans="1:16" x14ac:dyDescent="0.45">
      <c r="A138" t="s">
        <v>110</v>
      </c>
      <c r="B138">
        <v>7</v>
      </c>
      <c r="C138" t="s">
        <v>164</v>
      </c>
      <c r="D138" t="s">
        <v>164</v>
      </c>
      <c r="E138" t="s">
        <v>22</v>
      </c>
      <c r="F138">
        <v>0</v>
      </c>
      <c r="G138">
        <v>0</v>
      </c>
      <c r="H138" t="s">
        <v>56</v>
      </c>
      <c r="I138" t="s">
        <v>56</v>
      </c>
      <c r="J138" t="s">
        <v>56</v>
      </c>
      <c r="K138" s="2"/>
      <c r="L138" s="2"/>
      <c r="M138" s="2"/>
      <c r="O138" s="4" t="s">
        <v>386</v>
      </c>
      <c r="P138" s="2" t="str">
        <f t="shared" si="13"/>
        <v xml:space="preserve">      .AddAttribute(  7, "Birthday", "Birthday", "date", 0, 0, false, false, "", "", "birthday of a natural person. This attribute is unused for legal entrities")</v>
      </c>
    </row>
    <row r="139" spans="1:16" x14ac:dyDescent="0.45">
      <c r="A139" t="s">
        <v>110</v>
      </c>
      <c r="B139">
        <v>8</v>
      </c>
      <c r="C139" t="s">
        <v>130</v>
      </c>
      <c r="D139" t="s">
        <v>130</v>
      </c>
      <c r="E139" t="s">
        <v>76</v>
      </c>
      <c r="F139">
        <v>0</v>
      </c>
      <c r="G139">
        <v>0</v>
      </c>
      <c r="H139" t="s">
        <v>56</v>
      </c>
      <c r="I139" t="s">
        <v>56</v>
      </c>
      <c r="J139" t="s">
        <v>56</v>
      </c>
      <c r="K139" s="2"/>
      <c r="L139" s="2"/>
      <c r="M139" s="2"/>
      <c r="O139" s="4" t="s">
        <v>387</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111</v>
      </c>
      <c r="B141">
        <v>0</v>
      </c>
      <c r="C141" t="s">
        <v>125</v>
      </c>
      <c r="D141" t="s">
        <v>405</v>
      </c>
      <c r="E141" t="s">
        <v>165</v>
      </c>
      <c r="H141" t="s">
        <v>166</v>
      </c>
      <c r="I141" t="s">
        <v>167</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111</v>
      </c>
      <c r="B142">
        <v>1</v>
      </c>
      <c r="C142" t="s">
        <v>132</v>
      </c>
      <c r="D142" t="s">
        <v>132</v>
      </c>
      <c r="E142" t="s">
        <v>20</v>
      </c>
      <c r="F142">
        <v>0</v>
      </c>
      <c r="G142">
        <v>0</v>
      </c>
      <c r="H142" t="s">
        <v>57</v>
      </c>
      <c r="I142" t="s">
        <v>57</v>
      </c>
      <c r="J142" t="s">
        <v>56</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111</v>
      </c>
      <c r="B143">
        <v>2</v>
      </c>
      <c r="C143" t="s">
        <v>138</v>
      </c>
      <c r="D143" t="s">
        <v>138</v>
      </c>
      <c r="E143" t="s">
        <v>20</v>
      </c>
      <c r="F143">
        <v>0</v>
      </c>
      <c r="G143">
        <v>0</v>
      </c>
      <c r="H143" t="s">
        <v>57</v>
      </c>
      <c r="I143" t="s">
        <v>57</v>
      </c>
      <c r="J143" t="s">
        <v>56</v>
      </c>
      <c r="K143" s="2"/>
      <c r="L143" s="2"/>
      <c r="M143" s="2"/>
      <c r="O143" s="4"/>
      <c r="P143" s="2" t="str">
        <f t="shared" si="14"/>
        <v xml:space="preserve">      .AddAttribute(  2, "PhoneType", "PhoneType", "integer", 0, 0, true, true, "", "", "")</v>
      </c>
    </row>
    <row r="144" spans="1:16" x14ac:dyDescent="0.45">
      <c r="A144" t="s">
        <v>111</v>
      </c>
      <c r="B144">
        <v>3</v>
      </c>
      <c r="C144" t="s">
        <v>139</v>
      </c>
      <c r="D144" t="s">
        <v>139</v>
      </c>
      <c r="E144" t="s">
        <v>19</v>
      </c>
      <c r="F144">
        <v>10</v>
      </c>
      <c r="G144">
        <v>0</v>
      </c>
      <c r="H144" t="s">
        <v>57</v>
      </c>
      <c r="I144" t="s">
        <v>56</v>
      </c>
      <c r="J144" t="s">
        <v>56</v>
      </c>
      <c r="K144" s="2"/>
      <c r="L144" s="2"/>
      <c r="M144" s="2"/>
      <c r="O144" s="4"/>
      <c r="P144" s="2" t="str">
        <f t="shared" si="14"/>
        <v xml:space="preserve">      .AddAttribute(  3, "AreaCode", "AreaCode", "varchar", 10, 0, true, false, "", "", "")</v>
      </c>
    </row>
    <row r="145" spans="1:16" x14ac:dyDescent="0.45">
      <c r="A145" t="s">
        <v>111</v>
      </c>
      <c r="B145">
        <v>4</v>
      </c>
      <c r="C145" t="s">
        <v>140</v>
      </c>
      <c r="D145" t="s">
        <v>140</v>
      </c>
      <c r="E145" t="s">
        <v>19</v>
      </c>
      <c r="F145">
        <v>13</v>
      </c>
      <c r="G145">
        <v>0</v>
      </c>
      <c r="H145" t="s">
        <v>57</v>
      </c>
      <c r="I145" t="s">
        <v>56</v>
      </c>
      <c r="J145" t="s">
        <v>56</v>
      </c>
      <c r="K145" s="2"/>
      <c r="L145" s="2"/>
      <c r="M145" s="2"/>
      <c r="O145" s="4"/>
      <c r="P145" s="2" t="str">
        <f t="shared" si="14"/>
        <v xml:space="preserve">      .AddAttribute(  4, "CallNumber", "CallNumber", "varchar", 13, 0, true, false, "", "", "")</v>
      </c>
    </row>
    <row r="146" spans="1:16" x14ac:dyDescent="0.45">
      <c r="A146" t="s">
        <v>111</v>
      </c>
      <c r="B146">
        <v>5</v>
      </c>
      <c r="C146" t="s">
        <v>137</v>
      </c>
      <c r="D146" t="s">
        <v>137</v>
      </c>
      <c r="E146" t="s">
        <v>20</v>
      </c>
      <c r="F146">
        <v>0</v>
      </c>
      <c r="G146">
        <v>0</v>
      </c>
      <c r="H146" t="s">
        <v>57</v>
      </c>
      <c r="I146" t="s">
        <v>56</v>
      </c>
      <c r="J146" t="s">
        <v>56</v>
      </c>
      <c r="K146" s="2"/>
      <c r="L146" s="2"/>
      <c r="M146" s="2"/>
      <c r="O146" s="4"/>
      <c r="P146" s="2" t="str">
        <f t="shared" si="14"/>
        <v xml:space="preserve">      .AddAttribute(  5, "Country", "Country", "integer", 0, 0, true, false, "", "", "")</v>
      </c>
    </row>
    <row r="147" spans="1:16" x14ac:dyDescent="0.45">
      <c r="O147" s="4"/>
    </row>
    <row r="148" spans="1:16" x14ac:dyDescent="0.45">
      <c r="A148" t="s">
        <v>141</v>
      </c>
      <c r="B148">
        <v>0</v>
      </c>
      <c r="C148" t="s">
        <v>126</v>
      </c>
      <c r="D148" t="s">
        <v>404</v>
      </c>
      <c r="E148" t="s">
        <v>165</v>
      </c>
      <c r="H148" t="s">
        <v>166</v>
      </c>
      <c r="I148" t="s">
        <v>167</v>
      </c>
      <c r="K148" s="2"/>
      <c r="L148" s="2"/>
      <c r="M148" s="2"/>
      <c r="O148" s="4" t="s">
        <v>219</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141</v>
      </c>
      <c r="B149">
        <v>1</v>
      </c>
      <c r="C149" t="s">
        <v>132</v>
      </c>
      <c r="D149" t="s">
        <v>132</v>
      </c>
      <c r="E149" t="s">
        <v>20</v>
      </c>
      <c r="F149">
        <v>0</v>
      </c>
      <c r="G149">
        <v>0</v>
      </c>
      <c r="H149" t="s">
        <v>57</v>
      </c>
      <c r="I149" t="s">
        <v>57</v>
      </c>
      <c r="J149" t="s">
        <v>56</v>
      </c>
      <c r="K149" s="2"/>
      <c r="L149" s="2"/>
      <c r="M149" s="2"/>
      <c r="O149" s="4" t="s">
        <v>220</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141</v>
      </c>
      <c r="B150">
        <v>2</v>
      </c>
      <c r="C150" t="s">
        <v>127</v>
      </c>
      <c r="D150" t="s">
        <v>127</v>
      </c>
      <c r="E150" t="s">
        <v>19</v>
      </c>
      <c r="F150">
        <v>50</v>
      </c>
      <c r="G150">
        <v>0</v>
      </c>
      <c r="H150" t="s">
        <v>57</v>
      </c>
      <c r="I150" t="s">
        <v>56</v>
      </c>
      <c r="J150" t="s">
        <v>57</v>
      </c>
      <c r="K150" s="2"/>
      <c r="L150" s="2"/>
      <c r="M150" s="2"/>
      <c r="O150" s="4" t="s">
        <v>221</v>
      </c>
      <c r="P150" s="2" t="str">
        <f t="shared" si="15"/>
        <v xml:space="preserve">      .AddAttribute(  2, "Denotation", "Denotation", "varchar", 50, 0, true, false, "", "", "unique description of a phone type entity in the domain, used in selections, comboboxes, … (key canditate)")</v>
      </c>
    </row>
    <row r="151" spans="1:16" x14ac:dyDescent="0.45">
      <c r="A151" t="s">
        <v>141</v>
      </c>
      <c r="B151">
        <v>3</v>
      </c>
      <c r="C151" t="s">
        <v>128</v>
      </c>
      <c r="D151" t="s">
        <v>128</v>
      </c>
      <c r="E151" t="s">
        <v>19</v>
      </c>
      <c r="F151">
        <v>10</v>
      </c>
      <c r="G151">
        <v>0</v>
      </c>
      <c r="H151" t="s">
        <v>56</v>
      </c>
      <c r="I151" t="s">
        <v>56</v>
      </c>
      <c r="J151" t="s">
        <v>56</v>
      </c>
      <c r="K151" s="2"/>
      <c r="L151" s="2"/>
      <c r="M151" s="2"/>
      <c r="O151" s="4" t="s">
        <v>222</v>
      </c>
      <c r="P151" s="2" t="str">
        <f t="shared" si="15"/>
        <v xml:space="preserve">      .AddAttribute(  3, "Abbreviation", "Abbreviation", "varchar", 10, 0, false, false, "", "", "non-representative abbreviation that can be used for a short advertisement for this phone  type")</v>
      </c>
    </row>
    <row r="152" spans="1:16" x14ac:dyDescent="0.45">
      <c r="A152" t="s">
        <v>141</v>
      </c>
      <c r="B152">
        <v>4</v>
      </c>
      <c r="C152" t="s">
        <v>129</v>
      </c>
      <c r="D152" t="s">
        <v>129</v>
      </c>
      <c r="E152" t="s">
        <v>76</v>
      </c>
      <c r="F152">
        <v>0</v>
      </c>
      <c r="G152">
        <v>0</v>
      </c>
      <c r="H152" t="s">
        <v>56</v>
      </c>
      <c r="I152" t="s">
        <v>56</v>
      </c>
      <c r="J152" t="s">
        <v>56</v>
      </c>
      <c r="K152" s="2"/>
      <c r="L152" s="2"/>
      <c r="M152" s="2"/>
      <c r="O152" s="4" t="s">
        <v>223</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141</v>
      </c>
      <c r="B153">
        <v>5</v>
      </c>
      <c r="C153" t="s">
        <v>130</v>
      </c>
      <c r="D153" t="s">
        <v>130</v>
      </c>
      <c r="E153" t="s">
        <v>76</v>
      </c>
      <c r="F153">
        <v>0</v>
      </c>
      <c r="G153">
        <v>0</v>
      </c>
      <c r="H153" t="s">
        <v>56</v>
      </c>
      <c r="I153" t="s">
        <v>56</v>
      </c>
      <c r="J153" t="s">
        <v>56</v>
      </c>
      <c r="K153" s="2"/>
      <c r="L153" s="2"/>
      <c r="M153" s="2"/>
      <c r="O153" s="4" t="s">
        <v>209</v>
      </c>
      <c r="P153" s="2" t="str">
        <f t="shared" si="15"/>
        <v xml:space="preserve">      .AddAttribute(  5, "Notes", "Notes", "text", 0, 0, false, false, "", "", "notes, with additional / free information for this type of banking, not used in application")</v>
      </c>
    </row>
    <row r="154" spans="1:16" x14ac:dyDescent="0.45">
      <c r="A154" t="s">
        <v>141</v>
      </c>
      <c r="B154">
        <v>6</v>
      </c>
      <c r="C154" t="s">
        <v>131</v>
      </c>
      <c r="D154" t="s">
        <v>131</v>
      </c>
      <c r="E154" t="s">
        <v>27</v>
      </c>
      <c r="F154">
        <v>0</v>
      </c>
      <c r="G154">
        <v>0</v>
      </c>
      <c r="H154" t="s">
        <v>56</v>
      </c>
      <c r="I154" t="s">
        <v>56</v>
      </c>
      <c r="J154" t="s">
        <v>56</v>
      </c>
      <c r="K154" s="2"/>
      <c r="L154" s="2"/>
      <c r="M154" s="2"/>
      <c r="O154" s="4" t="s">
        <v>224</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168</v>
      </c>
      <c r="B156">
        <v>0</v>
      </c>
      <c r="C156" t="s">
        <v>169</v>
      </c>
      <c r="D156" t="s">
        <v>353</v>
      </c>
      <c r="E156" t="s">
        <v>165</v>
      </c>
      <c r="H156" t="s">
        <v>166</v>
      </c>
      <c r="I156" t="s">
        <v>167</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168</v>
      </c>
      <c r="B157">
        <v>1</v>
      </c>
      <c r="C157" t="s">
        <v>132</v>
      </c>
      <c r="D157" t="s">
        <v>132</v>
      </c>
      <c r="E157" t="s">
        <v>20</v>
      </c>
      <c r="F157">
        <v>0</v>
      </c>
      <c r="G157">
        <v>0</v>
      </c>
      <c r="H157" t="s">
        <v>57</v>
      </c>
      <c r="I157" t="s">
        <v>57</v>
      </c>
      <c r="J157" t="s">
        <v>56</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168</v>
      </c>
      <c r="B158">
        <v>2</v>
      </c>
      <c r="C158" t="s">
        <v>170</v>
      </c>
      <c r="D158" t="s">
        <v>170</v>
      </c>
      <c r="E158" t="s">
        <v>30</v>
      </c>
      <c r="F158">
        <v>0</v>
      </c>
      <c r="G158">
        <v>0</v>
      </c>
      <c r="H158" t="s">
        <v>57</v>
      </c>
      <c r="I158" t="s">
        <v>57</v>
      </c>
      <c r="J158" t="s">
        <v>56</v>
      </c>
      <c r="K158" s="2"/>
      <c r="L158" s="2"/>
      <c r="M158" s="2"/>
      <c r="O158" s="4"/>
      <c r="P158" s="2" t="str">
        <f t="shared" si="16"/>
        <v xml:space="preserve">      .AddAttribute(  2, "StartingTime", "StartingTime", "datetime", 0, 0, true, true, "", "", "")</v>
      </c>
    </row>
    <row r="159" spans="1:16" x14ac:dyDescent="0.45">
      <c r="A159" t="s">
        <v>168</v>
      </c>
      <c r="B159">
        <v>3</v>
      </c>
      <c r="C159" t="s">
        <v>171</v>
      </c>
      <c r="D159" t="s">
        <v>171</v>
      </c>
      <c r="E159" t="s">
        <v>30</v>
      </c>
      <c r="F159">
        <v>0</v>
      </c>
      <c r="G159">
        <v>0</v>
      </c>
      <c r="H159" t="s">
        <v>56</v>
      </c>
      <c r="I159" t="s">
        <v>56</v>
      </c>
      <c r="J159" t="s">
        <v>56</v>
      </c>
      <c r="K159" s="2"/>
      <c r="L159" s="2"/>
      <c r="M159" s="2"/>
      <c r="O159" s="4"/>
      <c r="P159" s="2" t="str">
        <f t="shared" si="16"/>
        <v xml:space="preserve">      .AddAttribute(  3, "ClosingTime", "ClosingTime", "datetime", 0, 0, false, false, "", "", "")</v>
      </c>
    </row>
    <row r="160" spans="1:16" x14ac:dyDescent="0.45">
      <c r="A160" t="s">
        <v>168</v>
      </c>
      <c r="B160">
        <v>4</v>
      </c>
      <c r="C160" t="s">
        <v>172</v>
      </c>
      <c r="D160" t="s">
        <v>172</v>
      </c>
      <c r="E160" t="s">
        <v>27</v>
      </c>
      <c r="F160">
        <v>0</v>
      </c>
      <c r="G160">
        <v>0</v>
      </c>
      <c r="H160" t="s">
        <v>57</v>
      </c>
      <c r="I160" t="s">
        <v>56</v>
      </c>
      <c r="J160" t="s">
        <v>56</v>
      </c>
      <c r="K160" s="2"/>
      <c r="L160" s="2"/>
      <c r="M160" s="2"/>
      <c r="O160" s="4"/>
      <c r="P160" s="2" t="str">
        <f t="shared" si="16"/>
        <v xml:space="preserve">      .AddAttribute(  4, "Processed ", "Processed ", "bool", 0, 0, true, false, "", "", "")</v>
      </c>
    </row>
    <row r="161" spans="1:16" x14ac:dyDescent="0.45">
      <c r="O161" s="4"/>
    </row>
    <row r="162" spans="1:16" x14ac:dyDescent="0.45">
      <c r="A162" t="s">
        <v>173</v>
      </c>
      <c r="B162">
        <v>0</v>
      </c>
      <c r="C162" t="s">
        <v>174</v>
      </c>
      <c r="D162" t="s">
        <v>403</v>
      </c>
      <c r="E162" t="s">
        <v>165</v>
      </c>
      <c r="H162" t="s">
        <v>166</v>
      </c>
      <c r="I162" t="s">
        <v>167</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173</v>
      </c>
      <c r="B163">
        <v>1</v>
      </c>
      <c r="C163" t="s">
        <v>132</v>
      </c>
      <c r="D163" t="s">
        <v>132</v>
      </c>
      <c r="E163" t="s">
        <v>20</v>
      </c>
      <c r="F163">
        <v>0</v>
      </c>
      <c r="G163">
        <v>0</v>
      </c>
      <c r="H163" t="s">
        <v>57</v>
      </c>
      <c r="I163" t="s">
        <v>57</v>
      </c>
      <c r="J163" t="s">
        <v>56</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173</v>
      </c>
      <c r="B164">
        <v>2</v>
      </c>
      <c r="C164" t="s">
        <v>127</v>
      </c>
      <c r="D164" t="s">
        <v>127</v>
      </c>
      <c r="E164" t="s">
        <v>19</v>
      </c>
      <c r="F164">
        <v>50</v>
      </c>
      <c r="G164">
        <v>0</v>
      </c>
      <c r="H164" t="s">
        <v>57</v>
      </c>
      <c r="I164" t="s">
        <v>56</v>
      </c>
      <c r="J164" t="s">
        <v>57</v>
      </c>
      <c r="K164" s="2"/>
      <c r="L164" s="2"/>
      <c r="M164" s="2"/>
      <c r="O164" s="4"/>
      <c r="P164" s="2" t="str">
        <f t="shared" si="17"/>
        <v xml:space="preserve">      .AddAttribute(  2, "Denotation", "Denotation", "varchar", 50, 0, true, false, "", "", "")</v>
      </c>
    </row>
    <row r="165" spans="1:16" x14ac:dyDescent="0.45">
      <c r="A165" t="s">
        <v>173</v>
      </c>
      <c r="B165">
        <v>3</v>
      </c>
      <c r="C165" t="s">
        <v>128</v>
      </c>
      <c r="D165" t="s">
        <v>128</v>
      </c>
      <c r="E165" t="s">
        <v>19</v>
      </c>
      <c r="F165">
        <v>10</v>
      </c>
      <c r="G165">
        <v>0</v>
      </c>
      <c r="H165" t="s">
        <v>56</v>
      </c>
      <c r="I165" t="s">
        <v>56</v>
      </c>
      <c r="J165" t="s">
        <v>56</v>
      </c>
      <c r="K165" s="2"/>
      <c r="L165" s="2"/>
      <c r="M165" s="2"/>
      <c r="O165" s="4"/>
      <c r="P165" s="2" t="str">
        <f t="shared" si="17"/>
        <v xml:space="preserve">      .AddAttribute(  3, "Abbreviation", "Abbreviation", "varchar", 10, 0, false, false, "", "", "")</v>
      </c>
    </row>
    <row r="166" spans="1:16" x14ac:dyDescent="0.45">
      <c r="A166" t="s">
        <v>173</v>
      </c>
      <c r="B166">
        <v>4</v>
      </c>
      <c r="C166" t="s">
        <v>129</v>
      </c>
      <c r="D166" t="s">
        <v>129</v>
      </c>
      <c r="E166" t="s">
        <v>76</v>
      </c>
      <c r="F166">
        <v>0</v>
      </c>
      <c r="G166">
        <v>0</v>
      </c>
      <c r="H166" t="s">
        <v>56</v>
      </c>
      <c r="I166" t="s">
        <v>56</v>
      </c>
      <c r="J166" t="s">
        <v>56</v>
      </c>
      <c r="K166" s="2"/>
      <c r="L166" s="2"/>
      <c r="M166" s="2"/>
      <c r="O166" s="4"/>
      <c r="P166" s="2" t="str">
        <f t="shared" si="17"/>
        <v xml:space="preserve">      .AddAttribute(  4, "Description", "Description", "text", 0, 0, false, false, "", "", "")</v>
      </c>
    </row>
    <row r="167" spans="1:16" x14ac:dyDescent="0.45">
      <c r="A167" t="s">
        <v>173</v>
      </c>
      <c r="B167">
        <v>5</v>
      </c>
      <c r="C167" t="s">
        <v>175</v>
      </c>
      <c r="D167" t="s">
        <v>175</v>
      </c>
      <c r="E167" t="s">
        <v>27</v>
      </c>
      <c r="F167">
        <v>0</v>
      </c>
      <c r="G167">
        <v>0</v>
      </c>
      <c r="H167" t="s">
        <v>56</v>
      </c>
      <c r="I167" t="s">
        <v>56</v>
      </c>
      <c r="J167" t="s">
        <v>56</v>
      </c>
      <c r="K167" s="2"/>
      <c r="L167" s="2"/>
      <c r="M167" s="2"/>
      <c r="O167" s="4"/>
      <c r="P167" s="2" t="str">
        <f t="shared" si="17"/>
        <v xml:space="preserve">      .AddAttribute(  5, "Coupled", "Coupled", "bool", 0, 0, false, false, "", "", "")</v>
      </c>
    </row>
    <row r="168" spans="1:16" x14ac:dyDescent="0.45">
      <c r="A168" t="s">
        <v>173</v>
      </c>
      <c r="B168">
        <v>6</v>
      </c>
      <c r="C168" t="s">
        <v>176</v>
      </c>
      <c r="D168" t="s">
        <v>176</v>
      </c>
      <c r="E168" t="s">
        <v>27</v>
      </c>
      <c r="F168">
        <v>0</v>
      </c>
      <c r="G168">
        <v>0</v>
      </c>
      <c r="H168" t="s">
        <v>56</v>
      </c>
      <c r="I168" t="s">
        <v>56</v>
      </c>
      <c r="J168" t="s">
        <v>56</v>
      </c>
      <c r="K168" s="2"/>
      <c r="L168" s="2"/>
      <c r="M168" s="2"/>
      <c r="O168" s="4"/>
      <c r="P168" s="2" t="str">
        <f t="shared" si="17"/>
        <v xml:space="preserve">      .AddAttribute(  6, "NeedDate", "NeedDate", "bool", 0, 0, false, false, "", "", "")</v>
      </c>
    </row>
    <row r="169" spans="1:16" x14ac:dyDescent="0.45">
      <c r="A169" t="s">
        <v>173</v>
      </c>
      <c r="B169">
        <v>7</v>
      </c>
      <c r="C169" t="s">
        <v>131</v>
      </c>
      <c r="D169" t="s">
        <v>131</v>
      </c>
      <c r="E169" t="s">
        <v>27</v>
      </c>
      <c r="F169">
        <v>0</v>
      </c>
      <c r="G169">
        <v>0</v>
      </c>
      <c r="H169" t="s">
        <v>56</v>
      </c>
      <c r="I169" t="s">
        <v>56</v>
      </c>
      <c r="J169" t="s">
        <v>56</v>
      </c>
      <c r="K169" s="2"/>
      <c r="L169" s="2"/>
      <c r="M169" s="2"/>
      <c r="O169" s="4" t="s">
        <v>224</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278</v>
      </c>
      <c r="C171" t="s">
        <v>309</v>
      </c>
      <c r="D171" t="s">
        <v>354</v>
      </c>
      <c r="E171" t="s">
        <v>165</v>
      </c>
      <c r="H171" t="s">
        <v>166</v>
      </c>
      <c r="I171" t="s">
        <v>167</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278</v>
      </c>
      <c r="B172">
        <v>1</v>
      </c>
      <c r="C172" t="s">
        <v>132</v>
      </c>
      <c r="D172" t="s">
        <v>132</v>
      </c>
      <c r="E172" t="s">
        <v>20</v>
      </c>
      <c r="F172">
        <v>0</v>
      </c>
      <c r="G172">
        <v>0</v>
      </c>
      <c r="H172" t="s">
        <v>57</v>
      </c>
      <c r="I172" t="s">
        <v>57</v>
      </c>
      <c r="J172" t="s">
        <v>56</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278</v>
      </c>
      <c r="B173">
        <v>2</v>
      </c>
      <c r="C173" t="s">
        <v>127</v>
      </c>
      <c r="D173" t="s">
        <v>127</v>
      </c>
      <c r="E173" t="s">
        <v>19</v>
      </c>
      <c r="F173">
        <v>50</v>
      </c>
      <c r="G173">
        <v>0</v>
      </c>
      <c r="H173" t="s">
        <v>57</v>
      </c>
      <c r="I173" t="s">
        <v>56</v>
      </c>
      <c r="J173" t="s">
        <v>57</v>
      </c>
      <c r="O173" s="4"/>
      <c r="P173" s="2" t="str">
        <f t="shared" si="18"/>
        <v xml:space="preserve">      .AddAttribute(  2, "Denotation", "Denotation", "varchar", 50, 0, true, false, "", "", "")</v>
      </c>
    </row>
    <row r="174" spans="1:16" x14ac:dyDescent="0.45">
      <c r="A174" t="s">
        <v>278</v>
      </c>
      <c r="B174">
        <v>3</v>
      </c>
      <c r="C174" t="s">
        <v>128</v>
      </c>
      <c r="D174" t="s">
        <v>128</v>
      </c>
      <c r="E174" t="s">
        <v>19</v>
      </c>
      <c r="F174">
        <v>10</v>
      </c>
      <c r="G174">
        <v>0</v>
      </c>
      <c r="H174" t="s">
        <v>56</v>
      </c>
      <c r="I174" t="s">
        <v>56</v>
      </c>
      <c r="J174" t="s">
        <v>56</v>
      </c>
      <c r="O174" s="4"/>
      <c r="P174" s="2" t="str">
        <f t="shared" si="18"/>
        <v xml:space="preserve">      .AddAttribute(  3, "Abbreviation", "Abbreviation", "varchar", 10, 0, false, false, "", "", "")</v>
      </c>
    </row>
    <row r="175" spans="1:16" x14ac:dyDescent="0.45">
      <c r="A175" t="s">
        <v>278</v>
      </c>
      <c r="B175">
        <v>4</v>
      </c>
      <c r="C175" t="s">
        <v>129</v>
      </c>
      <c r="D175" t="s">
        <v>129</v>
      </c>
      <c r="E175" t="s">
        <v>76</v>
      </c>
      <c r="F175">
        <v>0</v>
      </c>
      <c r="G175">
        <v>0</v>
      </c>
      <c r="H175" t="s">
        <v>56</v>
      </c>
      <c r="I175" t="s">
        <v>56</v>
      </c>
      <c r="J175" t="s">
        <v>56</v>
      </c>
      <c r="O175" s="4"/>
      <c r="P175" s="2" t="str">
        <f t="shared" si="18"/>
        <v xml:space="preserve">      .AddAttribute(  4, "Description", "Description", "text", 0, 0, false, false, "", "", "")</v>
      </c>
    </row>
    <row r="176" spans="1:16" x14ac:dyDescent="0.45">
      <c r="A176" t="s">
        <v>278</v>
      </c>
      <c r="B176">
        <v>5</v>
      </c>
      <c r="C176" t="s">
        <v>175</v>
      </c>
      <c r="D176" t="s">
        <v>175</v>
      </c>
      <c r="E176" t="s">
        <v>27</v>
      </c>
      <c r="F176">
        <v>0</v>
      </c>
      <c r="G176">
        <v>0</v>
      </c>
      <c r="H176" t="s">
        <v>56</v>
      </c>
      <c r="I176" t="s">
        <v>56</v>
      </c>
      <c r="J176" t="s">
        <v>56</v>
      </c>
      <c r="O176" s="4"/>
      <c r="P176" s="2" t="str">
        <f t="shared" si="18"/>
        <v xml:space="preserve">      .AddAttribute(  5, "Coupled", "Coupled", "bool", 0, 0, false, false, "", "", "")</v>
      </c>
    </row>
    <row r="177" spans="1:16" x14ac:dyDescent="0.45">
      <c r="A177" t="s">
        <v>278</v>
      </c>
      <c r="B177">
        <v>6</v>
      </c>
      <c r="C177" t="s">
        <v>131</v>
      </c>
      <c r="D177" t="s">
        <v>131</v>
      </c>
      <c r="E177" t="s">
        <v>27</v>
      </c>
      <c r="F177">
        <v>0</v>
      </c>
      <c r="G177">
        <v>0</v>
      </c>
      <c r="H177" t="s">
        <v>56</v>
      </c>
      <c r="I177" t="s">
        <v>56</v>
      </c>
      <c r="J177" t="s">
        <v>56</v>
      </c>
      <c r="O177" s="4" t="s">
        <v>310</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AE332" workbookViewId="0">
      <selection activeCell="AG354" sqref="AG354"/>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9.06640625" bestFit="1"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24" t="s">
        <v>539</v>
      </c>
      <c r="B1" s="24"/>
      <c r="C1" s="24"/>
      <c r="D1" s="24"/>
      <c r="E1" s="1"/>
      <c r="F1" s="24" t="s">
        <v>540</v>
      </c>
      <c r="G1" s="25"/>
      <c r="H1" s="25"/>
      <c r="I1" s="25"/>
      <c r="K1" s="24" t="s">
        <v>553</v>
      </c>
      <c r="L1" s="24"/>
      <c r="M1" s="24"/>
      <c r="N1" s="24"/>
      <c r="O1" s="24"/>
      <c r="R1" s="24" t="s">
        <v>737</v>
      </c>
      <c r="S1" s="24"/>
      <c r="T1" s="24"/>
      <c r="U1" s="24"/>
      <c r="V1" s="24"/>
      <c r="W1" s="24"/>
      <c r="X1" s="24"/>
      <c r="Y1" s="2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132</v>
      </c>
      <c r="B3" s="1" t="s">
        <v>127</v>
      </c>
      <c r="C3" s="1" t="s">
        <v>128</v>
      </c>
      <c r="D3" s="1" t="s">
        <v>483</v>
      </c>
      <c r="E3" s="1"/>
      <c r="F3" s="1" t="s">
        <v>132</v>
      </c>
      <c r="G3" s="1" t="s">
        <v>127</v>
      </c>
      <c r="H3" s="1" t="s">
        <v>128</v>
      </c>
      <c r="I3" s="1" t="s">
        <v>486</v>
      </c>
      <c r="J3" s="1"/>
      <c r="K3" s="1" t="s">
        <v>501</v>
      </c>
      <c r="L3" s="1" t="s">
        <v>741</v>
      </c>
      <c r="M3" s="1" t="s">
        <v>551</v>
      </c>
      <c r="N3" s="1" t="s">
        <v>552</v>
      </c>
      <c r="O3" s="1"/>
      <c r="P3" s="1"/>
      <c r="Q3" s="1"/>
      <c r="R3" s="1" t="s">
        <v>501</v>
      </c>
      <c r="S3" s="1" t="s">
        <v>741</v>
      </c>
      <c r="T3" s="1" t="s">
        <v>742</v>
      </c>
      <c r="U3" s="1" t="s">
        <v>743</v>
      </c>
      <c r="V3" s="1" t="s">
        <v>484</v>
      </c>
      <c r="W3" s="1" t="s">
        <v>485</v>
      </c>
      <c r="X3" s="1" t="s">
        <v>482</v>
      </c>
      <c r="Y3" s="1" t="s">
        <v>486</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502</v>
      </c>
      <c r="C4" s="3" t="s">
        <v>509</v>
      </c>
      <c r="D4">
        <v>1</v>
      </c>
      <c r="F4">
        <v>1</v>
      </c>
      <c r="G4" s="3" t="s">
        <v>516</v>
      </c>
      <c r="H4" s="3" t="s">
        <v>528</v>
      </c>
      <c r="I4">
        <v>1</v>
      </c>
      <c r="K4" s="10">
        <v>41640</v>
      </c>
      <c r="L4" t="str">
        <f>CONCATENATE("'",TEXT(K4,"jjjj-MM-tt"),"'")</f>
        <v>'2014-01-01'</v>
      </c>
      <c r="M4" s="3" t="s">
        <v>481</v>
      </c>
      <c r="N4">
        <v>100</v>
      </c>
      <c r="R4" s="10">
        <v>52597</v>
      </c>
      <c r="S4" t="str">
        <f>CONCATENATE("'",TEXT(R4,"jjjj-MM-tt"),"'")</f>
        <v>'2044-01-01'</v>
      </c>
      <c r="T4">
        <f>WEEKDAY(R4,3)</f>
        <v>4</v>
      </c>
      <c r="U4">
        <f>_xlfn.ISOWEEKNUM(R4)</f>
        <v>53</v>
      </c>
      <c r="V4">
        <f>YEAR(R4)</f>
        <v>2044</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('2044-01-01', 4, 53);</v>
      </c>
      <c r="AF4" s="2"/>
      <c r="AG4" s="2" t="str" cm="1">
        <f t="array" ref="AG4">CONCATENATE($AG$2,Liste(L4:O4),";")</f>
        <v>INSERT INTO WD_Holidays (CalendarDay, Donation, Share) VALUES ('2014-01-01', 'Neujahr', 100);</v>
      </c>
    </row>
    <row r="5" spans="1:33" x14ac:dyDescent="0.45">
      <c r="A5">
        <v>1</v>
      </c>
      <c r="B5" s="3" t="s">
        <v>503</v>
      </c>
      <c r="C5" s="3" t="s">
        <v>510</v>
      </c>
      <c r="D5">
        <v>1</v>
      </c>
      <c r="F5">
        <v>2</v>
      </c>
      <c r="G5" s="3" t="s">
        <v>517</v>
      </c>
      <c r="H5" s="3" t="s">
        <v>538</v>
      </c>
      <c r="I5">
        <v>1</v>
      </c>
      <c r="K5" s="10">
        <v>41747</v>
      </c>
      <c r="L5" t="str">
        <f t="shared" ref="L5:L29" si="0">CONCATENATE("'",TEXT(K5,"jjjj-MM-tt"),"'")</f>
        <v>'2014-04-18'</v>
      </c>
      <c r="M5" s="3" t="s">
        <v>555</v>
      </c>
      <c r="N5">
        <v>100</v>
      </c>
      <c r="R5" s="10">
        <f>R4+1</f>
        <v>52598</v>
      </c>
      <c r="S5" t="str">
        <f t="shared" ref="S5:S68" si="1">CONCATENATE("'",TEXT(R5,"jjjj-MM-tt"),"'")</f>
        <v>'2044-01-02'</v>
      </c>
      <c r="T5">
        <f>WEEKDAY(R5,3)</f>
        <v>5</v>
      </c>
      <c r="U5">
        <f t="shared" ref="U5:U68" si="2">_xlfn.ISOWEEKNUM(R5)</f>
        <v>53</v>
      </c>
      <c r="V5">
        <f t="shared" ref="V5:V68" si="3">YEAR(R5)</f>
        <v>2044</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('2044-01-02', 5, 53);</v>
      </c>
      <c r="AF5" s="2"/>
      <c r="AG5" s="2" t="str" cm="1">
        <f t="array" ref="AG5">CONCATENATE($AG$2,Liste(L5:O5),";")</f>
        <v>INSERT INTO WD_Holidays (CalendarDay, Donation, Share) VALUES ('2014-04-18', 'Karfreitag', 100);</v>
      </c>
    </row>
    <row r="6" spans="1:33" x14ac:dyDescent="0.45">
      <c r="A6">
        <v>2</v>
      </c>
      <c r="B6" s="3" t="s">
        <v>504</v>
      </c>
      <c r="C6" s="3" t="s">
        <v>511</v>
      </c>
      <c r="D6">
        <v>1</v>
      </c>
      <c r="F6">
        <v>3</v>
      </c>
      <c r="G6" s="3" t="s">
        <v>518</v>
      </c>
      <c r="H6" s="3" t="s">
        <v>529</v>
      </c>
      <c r="I6">
        <v>1</v>
      </c>
      <c r="K6" s="10">
        <v>41749</v>
      </c>
      <c r="L6" t="str">
        <f t="shared" si="0"/>
        <v>'2014-04-20'</v>
      </c>
      <c r="M6" s="3" t="s">
        <v>556</v>
      </c>
      <c r="N6">
        <v>100</v>
      </c>
      <c r="R6" s="10">
        <f t="shared" ref="R6:R69" si="7">R5+1</f>
        <v>52599</v>
      </c>
      <c r="S6" t="str">
        <f t="shared" si="1"/>
        <v>'2044-01-03'</v>
      </c>
      <c r="T6">
        <f t="shared" ref="T6:T68" si="8">WEEKDAY(R6,3)</f>
        <v>6</v>
      </c>
      <c r="U6">
        <f t="shared" si="2"/>
        <v>53</v>
      </c>
      <c r="V6">
        <f t="shared" si="3"/>
        <v>2044</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('2044-01-03', 6, 53);</v>
      </c>
      <c r="AF6" s="2"/>
      <c r="AG6" s="2" t="str" cm="1">
        <f t="array" ref="AG6">CONCATENATE($AG$2,Liste(L6:O6),";")</f>
        <v>INSERT INTO WD_Holidays (CalendarDay, Donation, Share) VALUES ('2014-04-20', 'Ostersonntag', 100);</v>
      </c>
    </row>
    <row r="7" spans="1:33" x14ac:dyDescent="0.45">
      <c r="A7">
        <v>3</v>
      </c>
      <c r="B7" s="3" t="s">
        <v>505</v>
      </c>
      <c r="C7" s="3" t="s">
        <v>512</v>
      </c>
      <c r="D7">
        <v>1</v>
      </c>
      <c r="F7">
        <v>4</v>
      </c>
      <c r="G7" s="3" t="s">
        <v>519</v>
      </c>
      <c r="H7" s="3" t="s">
        <v>530</v>
      </c>
      <c r="I7">
        <v>2</v>
      </c>
      <c r="K7" s="10">
        <v>41750</v>
      </c>
      <c r="L7" t="str">
        <f t="shared" si="0"/>
        <v>'2014-04-21'</v>
      </c>
      <c r="M7" s="3" t="s">
        <v>557</v>
      </c>
      <c r="N7">
        <v>100</v>
      </c>
      <c r="R7" s="10">
        <f t="shared" si="7"/>
        <v>52600</v>
      </c>
      <c r="S7" t="str">
        <f t="shared" si="1"/>
        <v>'2044-01-04'</v>
      </c>
      <c r="T7">
        <f t="shared" si="8"/>
        <v>0</v>
      </c>
      <c r="U7">
        <f t="shared" si="2"/>
        <v>1</v>
      </c>
      <c r="V7">
        <f t="shared" si="3"/>
        <v>2044</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('2044-01-04', 0, 1);</v>
      </c>
      <c r="AF7" s="2"/>
      <c r="AG7" s="2" t="str" cm="1">
        <f t="array" ref="AG7">CONCATENATE($AG$2,Liste(L7:O7),";")</f>
        <v>INSERT INTO WD_Holidays (CalendarDay, Donation, Share) VALUES ('2014-04-21', 'Ostermontag', 100);</v>
      </c>
    </row>
    <row r="8" spans="1:33" x14ac:dyDescent="0.45">
      <c r="A8">
        <v>4</v>
      </c>
      <c r="B8" s="3" t="s">
        <v>506</v>
      </c>
      <c r="C8" s="3" t="s">
        <v>513</v>
      </c>
      <c r="D8">
        <v>1</v>
      </c>
      <c r="F8">
        <v>5</v>
      </c>
      <c r="G8" s="3" t="s">
        <v>520</v>
      </c>
      <c r="H8" s="3" t="s">
        <v>520</v>
      </c>
      <c r="I8">
        <v>2</v>
      </c>
      <c r="K8" s="10">
        <v>41760</v>
      </c>
      <c r="L8" t="str">
        <f t="shared" si="0"/>
        <v>'2014-05-01'</v>
      </c>
      <c r="M8" s="3" t="s">
        <v>558</v>
      </c>
      <c r="N8">
        <v>100</v>
      </c>
      <c r="R8" s="10">
        <f t="shared" si="7"/>
        <v>52601</v>
      </c>
      <c r="S8" t="str">
        <f t="shared" si="1"/>
        <v>'2044-01-05'</v>
      </c>
      <c r="T8">
        <f t="shared" si="8"/>
        <v>1</v>
      </c>
      <c r="U8">
        <f t="shared" si="2"/>
        <v>1</v>
      </c>
      <c r="V8">
        <f t="shared" si="3"/>
        <v>2044</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('2044-01-05', 1, 1);</v>
      </c>
      <c r="AF8" s="2"/>
      <c r="AG8" s="2" t="str" cm="1">
        <f t="array" ref="AG8">CONCATENATE($AG$2,Liste(L8:O8),";")</f>
        <v>INSERT INTO WD_Holidays (CalendarDay, Donation, Share) VALUES ('2014-05-01', 'Tag der Arbeit', 100);</v>
      </c>
    </row>
    <row r="9" spans="1:33" x14ac:dyDescent="0.45">
      <c r="A9">
        <v>5</v>
      </c>
      <c r="B9" s="3" t="s">
        <v>507</v>
      </c>
      <c r="C9" s="3" t="s">
        <v>514</v>
      </c>
      <c r="D9">
        <v>0</v>
      </c>
      <c r="F9">
        <v>6</v>
      </c>
      <c r="G9" s="3" t="s">
        <v>521</v>
      </c>
      <c r="H9" s="3" t="s">
        <v>531</v>
      </c>
      <c r="I9">
        <v>2</v>
      </c>
      <c r="K9" s="10">
        <v>41788</v>
      </c>
      <c r="L9" t="str">
        <f t="shared" si="0"/>
        <v>'2014-05-29'</v>
      </c>
      <c r="M9" s="3" t="s">
        <v>559</v>
      </c>
      <c r="N9">
        <v>100</v>
      </c>
      <c r="R9" s="10">
        <f t="shared" si="7"/>
        <v>52602</v>
      </c>
      <c r="S9" t="str">
        <f t="shared" si="1"/>
        <v>'2044-01-06'</v>
      </c>
      <c r="T9">
        <f t="shared" si="8"/>
        <v>2</v>
      </c>
      <c r="U9">
        <f t="shared" si="2"/>
        <v>1</v>
      </c>
      <c r="V9">
        <f t="shared" si="3"/>
        <v>2044</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('2044-01-06', 2, 1);</v>
      </c>
      <c r="AF9" s="2"/>
      <c r="AG9" s="2" t="str" cm="1">
        <f t="array" ref="AG9">CONCATENATE($AG$2,Liste(L9:O9),";")</f>
        <v>INSERT INTO WD_Holidays (CalendarDay, Donation, Share) VALUES ('2014-05-29', 'Christi Himmelfahrt', 100);</v>
      </c>
    </row>
    <row r="10" spans="1:33" x14ac:dyDescent="0.45">
      <c r="A10">
        <v>6</v>
      </c>
      <c r="B10" s="3" t="s">
        <v>508</v>
      </c>
      <c r="C10" s="3" t="s">
        <v>515</v>
      </c>
      <c r="D10">
        <v>0</v>
      </c>
      <c r="F10">
        <v>7</v>
      </c>
      <c r="G10" s="3" t="s">
        <v>522</v>
      </c>
      <c r="H10" s="3" t="s">
        <v>532</v>
      </c>
      <c r="I10">
        <v>3</v>
      </c>
      <c r="K10" s="10">
        <v>41798</v>
      </c>
      <c r="L10" t="str">
        <f t="shared" si="0"/>
        <v>'2014-06-08'</v>
      </c>
      <c r="M10" s="3" t="s">
        <v>779</v>
      </c>
      <c r="N10">
        <v>100</v>
      </c>
      <c r="R10" s="10">
        <f t="shared" si="7"/>
        <v>52603</v>
      </c>
      <c r="S10" t="str">
        <f t="shared" si="1"/>
        <v>'2044-01-07'</v>
      </c>
      <c r="T10">
        <f t="shared" si="8"/>
        <v>3</v>
      </c>
      <c r="U10">
        <f t="shared" si="2"/>
        <v>1</v>
      </c>
      <c r="V10">
        <f t="shared" si="3"/>
        <v>2044</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('2044-01-07', 3, 1);</v>
      </c>
      <c r="AF10" s="2"/>
      <c r="AG10" s="2" t="str" cm="1">
        <f t="array" ref="AG10">CONCATENATE($AG$2,Liste(L10:O10),";")</f>
        <v>INSERT INTO WD_Holidays (CalendarDay, Donation, Share) VALUES ('2014-06-08', 'Pfingstsonntag', 100);</v>
      </c>
    </row>
    <row r="11" spans="1:33" x14ac:dyDescent="0.45">
      <c r="F11">
        <v>8</v>
      </c>
      <c r="G11" s="3" t="s">
        <v>523</v>
      </c>
      <c r="H11" s="3" t="s">
        <v>533</v>
      </c>
      <c r="I11">
        <v>3</v>
      </c>
      <c r="K11" s="10">
        <v>41799</v>
      </c>
      <c r="L11" t="str">
        <f t="shared" si="0"/>
        <v>'2014-06-09'</v>
      </c>
      <c r="M11" s="3" t="s">
        <v>560</v>
      </c>
      <c r="N11">
        <v>100</v>
      </c>
      <c r="R11" s="10">
        <f t="shared" si="7"/>
        <v>52604</v>
      </c>
      <c r="S11" t="str">
        <f t="shared" si="1"/>
        <v>'2044-01-08'</v>
      </c>
      <c r="T11">
        <f t="shared" si="8"/>
        <v>4</v>
      </c>
      <c r="U11">
        <f t="shared" si="2"/>
        <v>1</v>
      </c>
      <c r="V11">
        <f t="shared" si="3"/>
        <v>2044</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('2044-01-08', 4, 1);</v>
      </c>
      <c r="AF11" s="2"/>
      <c r="AG11" s="2" t="str" cm="1">
        <f t="array" ref="AG11">CONCATENATE($AG$2,Liste(L11:O11),";")</f>
        <v>INSERT INTO WD_Holidays (CalendarDay, Donation, Share) VALUES ('2014-06-09', 'Pfingstmontag', 100);</v>
      </c>
    </row>
    <row r="12" spans="1:33" x14ac:dyDescent="0.45">
      <c r="F12">
        <v>9</v>
      </c>
      <c r="G12" s="3" t="s">
        <v>524</v>
      </c>
      <c r="H12" s="3" t="s">
        <v>534</v>
      </c>
      <c r="I12">
        <v>3</v>
      </c>
      <c r="K12" s="10">
        <v>41915</v>
      </c>
      <c r="L12" t="str">
        <f t="shared" si="0"/>
        <v>'2014-10-03'</v>
      </c>
      <c r="M12" s="3" t="s">
        <v>561</v>
      </c>
      <c r="N12">
        <v>100</v>
      </c>
      <c r="R12" s="10">
        <f t="shared" si="7"/>
        <v>52605</v>
      </c>
      <c r="S12" t="str">
        <f t="shared" si="1"/>
        <v>'2044-01-09'</v>
      </c>
      <c r="T12">
        <f t="shared" si="8"/>
        <v>5</v>
      </c>
      <c r="U12">
        <f t="shared" si="2"/>
        <v>1</v>
      </c>
      <c r="V12">
        <f t="shared" si="3"/>
        <v>2044</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('2044-01-09', 5, 1);</v>
      </c>
      <c r="AF12" s="2"/>
      <c r="AG12" s="2" t="str" cm="1">
        <f t="array" ref="AG12">CONCATENATE($AG$2,Liste(L12:O12),";")</f>
        <v>INSERT INTO WD_Holidays (CalendarDay, Donation, Share) VALUES ('2014-10-03', 'Tag der Deutschen Einheit', 100);</v>
      </c>
    </row>
    <row r="13" spans="1:33" x14ac:dyDescent="0.45">
      <c r="F13">
        <v>10</v>
      </c>
      <c r="G13" s="3" t="s">
        <v>525</v>
      </c>
      <c r="H13" s="3" t="s">
        <v>535</v>
      </c>
      <c r="I13">
        <v>4</v>
      </c>
      <c r="K13" s="10">
        <v>41997</v>
      </c>
      <c r="L13" t="str">
        <f t="shared" si="0"/>
        <v>'2014-12-24'</v>
      </c>
      <c r="M13" s="3" t="s">
        <v>562</v>
      </c>
      <c r="N13">
        <v>50</v>
      </c>
      <c r="R13" s="10">
        <f t="shared" si="7"/>
        <v>52606</v>
      </c>
      <c r="S13" t="str">
        <f t="shared" si="1"/>
        <v>'2044-01-10'</v>
      </c>
      <c r="T13">
        <f t="shared" si="8"/>
        <v>6</v>
      </c>
      <c r="U13">
        <f t="shared" si="2"/>
        <v>1</v>
      </c>
      <c r="V13">
        <f t="shared" si="3"/>
        <v>2044</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('2044-01-10', 6, 1);</v>
      </c>
      <c r="AF13" s="2"/>
      <c r="AG13" s="2" t="str" cm="1">
        <f t="array" ref="AG13">CONCATENATE($AG$2,Liste(L13:O13),";")</f>
        <v>INSERT INTO WD_Holidays (CalendarDay, Donation, Share) VALUES ('2014-12-24', 'Heiligabend', 50);</v>
      </c>
    </row>
    <row r="14" spans="1:33" x14ac:dyDescent="0.45">
      <c r="F14">
        <v>11</v>
      </c>
      <c r="G14" s="3" t="s">
        <v>526</v>
      </c>
      <c r="H14" s="3" t="s">
        <v>536</v>
      </c>
      <c r="I14">
        <v>4</v>
      </c>
      <c r="K14" s="10">
        <v>41998</v>
      </c>
      <c r="L14" t="str">
        <f t="shared" si="0"/>
        <v>'2014-12-25'</v>
      </c>
      <c r="M14" s="3" t="s">
        <v>563</v>
      </c>
      <c r="N14">
        <v>100</v>
      </c>
      <c r="R14" s="10">
        <f t="shared" si="7"/>
        <v>52607</v>
      </c>
      <c r="S14" t="str">
        <f t="shared" si="1"/>
        <v>'2044-01-11'</v>
      </c>
      <c r="T14">
        <f t="shared" si="8"/>
        <v>0</v>
      </c>
      <c r="U14">
        <f t="shared" si="2"/>
        <v>2</v>
      </c>
      <c r="V14">
        <f t="shared" si="3"/>
        <v>2044</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('2044-01-11', 0, 2);</v>
      </c>
      <c r="AF14" s="2"/>
      <c r="AG14" s="2" t="str" cm="1">
        <f t="array" ref="AG14">CONCATENATE($AG$2,Liste(L14:O14),";")</f>
        <v>INSERT INTO WD_Holidays (CalendarDay, Donation, Share) VALUES ('2014-12-25', '1. Weihnachtsfeiertag', 100);</v>
      </c>
    </row>
    <row r="15" spans="1:33" x14ac:dyDescent="0.45">
      <c r="F15">
        <v>12</v>
      </c>
      <c r="G15" s="3" t="s">
        <v>527</v>
      </c>
      <c r="H15" s="3" t="s">
        <v>537</v>
      </c>
      <c r="I15">
        <v>4</v>
      </c>
      <c r="K15" s="10">
        <v>41999</v>
      </c>
      <c r="L15" t="str">
        <f t="shared" si="0"/>
        <v>'2014-12-26'</v>
      </c>
      <c r="M15" s="3" t="s">
        <v>564</v>
      </c>
      <c r="N15">
        <v>100</v>
      </c>
      <c r="R15" s="10">
        <f t="shared" si="7"/>
        <v>52608</v>
      </c>
      <c r="S15" t="str">
        <f t="shared" si="1"/>
        <v>'2044-01-12'</v>
      </c>
      <c r="T15">
        <f t="shared" si="8"/>
        <v>1</v>
      </c>
      <c r="U15">
        <f t="shared" si="2"/>
        <v>2</v>
      </c>
      <c r="V15">
        <f t="shared" si="3"/>
        <v>2044</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('2044-01-12', 1, 2);</v>
      </c>
      <c r="AF15" s="2"/>
      <c r="AG15" s="2" t="str" cm="1">
        <f t="array" ref="AG15">CONCATENATE($AG$2,Liste(L15:O15),";")</f>
        <v>INSERT INTO WD_Holidays (CalendarDay, Donation, Share) VALUES ('2014-12-26', '2. Weihnachtsfeiertag', 100);</v>
      </c>
    </row>
    <row r="16" spans="1:33" x14ac:dyDescent="0.45">
      <c r="K16" s="10">
        <v>42004</v>
      </c>
      <c r="L16" t="str">
        <f t="shared" si="0"/>
        <v>'2014-12-31'</v>
      </c>
      <c r="M16" s="3" t="s">
        <v>565</v>
      </c>
      <c r="N16">
        <v>50</v>
      </c>
      <c r="R16" s="10">
        <f t="shared" si="7"/>
        <v>52609</v>
      </c>
      <c r="S16" t="str">
        <f t="shared" si="1"/>
        <v>'2044-01-13'</v>
      </c>
      <c r="T16">
        <f t="shared" si="8"/>
        <v>2</v>
      </c>
      <c r="U16">
        <f t="shared" si="2"/>
        <v>2</v>
      </c>
      <c r="V16">
        <f t="shared" si="3"/>
        <v>2044</v>
      </c>
      <c r="W16">
        <f t="shared" si="4"/>
        <v>1</v>
      </c>
      <c r="X16">
        <f t="shared" si="5"/>
        <v>13</v>
      </c>
      <c r="Y16">
        <f t="shared" si="6"/>
        <v>0</v>
      </c>
      <c r="AE16" s="2" t="str" cm="1">
        <f t="array" ref="AE16">CONCATENATE($AE$2,Liste(S16:U16),";")</f>
        <v>INSERT INTO WD_Workdays (CalendarDay, CalendarWeekday, CalendarWeek) VALUES ('2044-01-13', 2, 2);</v>
      </c>
      <c r="AF16" s="2"/>
      <c r="AG16" s="2" t="str" cm="1">
        <f t="array" ref="AG16">CONCATENATE($AG$2,Liste(L16:O16),";")</f>
        <v>INSERT INTO WD_Holidays (CalendarDay, Donation, Share) VALUES ('2014-12-31', 'Silvester', 50);</v>
      </c>
    </row>
    <row r="17" spans="11:33" x14ac:dyDescent="0.45">
      <c r="K17" s="10">
        <v>42005</v>
      </c>
      <c r="L17" t="str">
        <f t="shared" si="0"/>
        <v>'2015-01-01'</v>
      </c>
      <c r="M17" s="3" t="s">
        <v>481</v>
      </c>
      <c r="N17">
        <v>100</v>
      </c>
      <c r="R17" s="10">
        <f t="shared" si="7"/>
        <v>52610</v>
      </c>
      <c r="S17" t="str">
        <f t="shared" si="1"/>
        <v>'2044-01-14'</v>
      </c>
      <c r="T17">
        <f t="shared" si="8"/>
        <v>3</v>
      </c>
      <c r="U17">
        <f t="shared" si="2"/>
        <v>2</v>
      </c>
      <c r="V17">
        <f t="shared" si="3"/>
        <v>2044</v>
      </c>
      <c r="W17">
        <f t="shared" si="4"/>
        <v>1</v>
      </c>
      <c r="X17">
        <f t="shared" si="5"/>
        <v>14</v>
      </c>
      <c r="Y17">
        <f t="shared" si="6"/>
        <v>0</v>
      </c>
      <c r="AE17" s="2" t="str" cm="1">
        <f t="array" ref="AE17">CONCATENATE($AE$2,Liste(S17:U17),";")</f>
        <v>INSERT INTO WD_Workdays (CalendarDay, CalendarWeekday, CalendarWeek) VALUES ('2044-01-14', 3, 2);</v>
      </c>
      <c r="AF17" s="2"/>
      <c r="AG17" s="2" t="str" cm="1">
        <f t="array" ref="AG17">CONCATENATE($AG$2,Liste(L17:O17),";")</f>
        <v>INSERT INTO WD_Holidays (CalendarDay, Donation, Share) VALUES ('2015-01-01', 'Neujahr', 100);</v>
      </c>
    </row>
    <row r="18" spans="11:33" x14ac:dyDescent="0.45">
      <c r="K18" s="10">
        <v>42097</v>
      </c>
      <c r="L18" t="str">
        <f t="shared" si="0"/>
        <v>'2015-04-03'</v>
      </c>
      <c r="M18" s="3" t="s">
        <v>555</v>
      </c>
      <c r="N18">
        <v>100</v>
      </c>
      <c r="R18" s="10">
        <f t="shared" si="7"/>
        <v>52611</v>
      </c>
      <c r="S18" t="str">
        <f t="shared" si="1"/>
        <v>'2044-01-15'</v>
      </c>
      <c r="T18">
        <f t="shared" si="8"/>
        <v>4</v>
      </c>
      <c r="U18">
        <f t="shared" si="2"/>
        <v>2</v>
      </c>
      <c r="V18">
        <f t="shared" si="3"/>
        <v>2044</v>
      </c>
      <c r="W18">
        <f t="shared" si="4"/>
        <v>1</v>
      </c>
      <c r="X18">
        <f t="shared" si="5"/>
        <v>15</v>
      </c>
      <c r="Y18">
        <f t="shared" si="6"/>
        <v>0</v>
      </c>
      <c r="AE18" s="2" t="str" cm="1">
        <f t="array" ref="AE18">CONCATENATE($AE$2,Liste(S18:U18),";")</f>
        <v>INSERT INTO WD_Workdays (CalendarDay, CalendarWeekday, CalendarWeek) VALUES ('2044-01-15', 4, 2);</v>
      </c>
      <c r="AF18" s="2"/>
      <c r="AG18" s="2" t="str" cm="1">
        <f t="array" ref="AG18">CONCATENATE($AG$2,Liste(L18:O18),";")</f>
        <v>INSERT INTO WD_Holidays (CalendarDay, Donation, Share) VALUES ('2015-04-03', 'Karfreitag', 100);</v>
      </c>
    </row>
    <row r="19" spans="11:33" x14ac:dyDescent="0.45">
      <c r="K19" s="10">
        <v>42099</v>
      </c>
      <c r="L19" t="str">
        <f t="shared" si="0"/>
        <v>'2015-04-05'</v>
      </c>
      <c r="M19" s="3" t="s">
        <v>556</v>
      </c>
      <c r="N19">
        <v>100</v>
      </c>
      <c r="R19" s="10">
        <f t="shared" si="7"/>
        <v>52612</v>
      </c>
      <c r="S19" t="str">
        <f t="shared" si="1"/>
        <v>'2044-01-16'</v>
      </c>
      <c r="T19">
        <f t="shared" si="8"/>
        <v>5</v>
      </c>
      <c r="U19">
        <f t="shared" si="2"/>
        <v>2</v>
      </c>
      <c r="V19">
        <f t="shared" si="3"/>
        <v>2044</v>
      </c>
      <c r="W19">
        <f t="shared" si="4"/>
        <v>1</v>
      </c>
      <c r="X19">
        <f t="shared" si="5"/>
        <v>16</v>
      </c>
      <c r="Y19">
        <f t="shared" si="6"/>
        <v>0</v>
      </c>
      <c r="AE19" s="2" t="str" cm="1">
        <f t="array" ref="AE19">CONCATENATE($AE$2,Liste(S19:U19),";")</f>
        <v>INSERT INTO WD_Workdays (CalendarDay, CalendarWeekday, CalendarWeek) VALUES ('2044-01-16', 5, 2);</v>
      </c>
      <c r="AF19" s="2"/>
      <c r="AG19" s="2" t="str" cm="1">
        <f t="array" ref="AG19">CONCATENATE($AG$2,Liste(L19:O19),";")</f>
        <v>INSERT INTO WD_Holidays (CalendarDay, Donation, Share) VALUES ('2015-04-05', 'Ostersonntag', 100);</v>
      </c>
    </row>
    <row r="20" spans="11:33" x14ac:dyDescent="0.45">
      <c r="K20" s="10">
        <v>42100</v>
      </c>
      <c r="L20" t="str">
        <f t="shared" si="0"/>
        <v>'2015-04-06'</v>
      </c>
      <c r="M20" s="3" t="s">
        <v>557</v>
      </c>
      <c r="N20">
        <v>100</v>
      </c>
      <c r="R20" s="10">
        <f t="shared" si="7"/>
        <v>52613</v>
      </c>
      <c r="S20" t="str">
        <f t="shared" si="1"/>
        <v>'2044-01-17'</v>
      </c>
      <c r="T20">
        <f t="shared" si="8"/>
        <v>6</v>
      </c>
      <c r="U20">
        <f t="shared" si="2"/>
        <v>2</v>
      </c>
      <c r="V20">
        <f t="shared" si="3"/>
        <v>2044</v>
      </c>
      <c r="W20">
        <f t="shared" si="4"/>
        <v>1</v>
      </c>
      <c r="X20">
        <f t="shared" si="5"/>
        <v>17</v>
      </c>
      <c r="Y20">
        <f t="shared" si="6"/>
        <v>0</v>
      </c>
      <c r="AE20" s="2" t="str" cm="1">
        <f t="array" ref="AE20">CONCATENATE($AE$2,Liste(S20:U20),";")</f>
        <v>INSERT INTO WD_Workdays (CalendarDay, CalendarWeekday, CalendarWeek) VALUES ('2044-01-17', 6, 2);</v>
      </c>
      <c r="AF20" s="2"/>
      <c r="AG20" s="2" t="str" cm="1">
        <f t="array" ref="AG20">CONCATENATE($AG$2,Liste(L20:O20),";")</f>
        <v>INSERT INTO WD_Holidays (CalendarDay, Donation, Share) VALUES ('2015-04-06', 'Ostermontag', 100);</v>
      </c>
    </row>
    <row r="21" spans="11:33" x14ac:dyDescent="0.45">
      <c r="K21" s="10">
        <v>42125</v>
      </c>
      <c r="L21" t="str">
        <f t="shared" si="0"/>
        <v>'2015-05-01'</v>
      </c>
      <c r="M21" s="3" t="s">
        <v>558</v>
      </c>
      <c r="N21">
        <v>100</v>
      </c>
      <c r="R21" s="10">
        <f t="shared" si="7"/>
        <v>52614</v>
      </c>
      <c r="S21" t="str">
        <f t="shared" si="1"/>
        <v>'2044-01-18'</v>
      </c>
      <c r="T21">
        <f t="shared" si="8"/>
        <v>0</v>
      </c>
      <c r="U21">
        <f t="shared" si="2"/>
        <v>3</v>
      </c>
      <c r="V21">
        <f t="shared" si="3"/>
        <v>2044</v>
      </c>
      <c r="W21">
        <f t="shared" si="4"/>
        <v>1</v>
      </c>
      <c r="X21">
        <f t="shared" si="5"/>
        <v>18</v>
      </c>
      <c r="Y21">
        <f t="shared" si="6"/>
        <v>0</v>
      </c>
      <c r="AE21" s="2" t="str" cm="1">
        <f t="array" ref="AE21">CONCATENATE($AE$2,Liste(S21:U21),";")</f>
        <v>INSERT INTO WD_Workdays (CalendarDay, CalendarWeekday, CalendarWeek) VALUES ('2044-01-18', 0, 3);</v>
      </c>
      <c r="AF21" s="2"/>
      <c r="AG21" s="2" t="str" cm="1">
        <f t="array" ref="AG21">CONCATENATE($AG$2,Liste(L21:O21),";")</f>
        <v>INSERT INTO WD_Holidays (CalendarDay, Donation, Share) VALUES ('2015-05-01', 'Tag der Arbeit', 100);</v>
      </c>
    </row>
    <row r="22" spans="11:33" x14ac:dyDescent="0.45">
      <c r="K22" s="10">
        <v>42138</v>
      </c>
      <c r="L22" t="str">
        <f t="shared" si="0"/>
        <v>'2015-05-14'</v>
      </c>
      <c r="M22" s="3" t="s">
        <v>559</v>
      </c>
      <c r="N22">
        <v>100</v>
      </c>
      <c r="R22" s="10">
        <f t="shared" si="7"/>
        <v>52615</v>
      </c>
      <c r="S22" t="str">
        <f t="shared" si="1"/>
        <v>'2044-01-19'</v>
      </c>
      <c r="T22">
        <f t="shared" si="8"/>
        <v>1</v>
      </c>
      <c r="U22">
        <f t="shared" si="2"/>
        <v>3</v>
      </c>
      <c r="V22">
        <f t="shared" si="3"/>
        <v>2044</v>
      </c>
      <c r="W22">
        <f t="shared" si="4"/>
        <v>1</v>
      </c>
      <c r="X22">
        <f t="shared" si="5"/>
        <v>19</v>
      </c>
      <c r="Y22">
        <f t="shared" si="6"/>
        <v>0</v>
      </c>
      <c r="AE22" s="2" t="str" cm="1">
        <f t="array" ref="AE22">CONCATENATE($AE$2,Liste(S22:U22),";")</f>
        <v>INSERT INTO WD_Workdays (CalendarDay, CalendarWeekday, CalendarWeek) VALUES ('2044-01-19', 1, 3);</v>
      </c>
      <c r="AF22" s="2"/>
      <c r="AG22" s="2" t="str" cm="1">
        <f t="array" ref="AG22">CONCATENATE($AG$2,Liste(L22:O22),";")</f>
        <v>INSERT INTO WD_Holidays (CalendarDay, Donation, Share) VALUES ('2015-05-14', 'Christi Himmelfahrt', 100);</v>
      </c>
    </row>
    <row r="23" spans="11:33" x14ac:dyDescent="0.45">
      <c r="K23" s="10">
        <v>42148</v>
      </c>
      <c r="L23" t="str">
        <f t="shared" si="0"/>
        <v>'2015-05-24'</v>
      </c>
      <c r="M23" s="3" t="s">
        <v>779</v>
      </c>
      <c r="N23">
        <v>100</v>
      </c>
      <c r="R23" s="10">
        <f t="shared" si="7"/>
        <v>52616</v>
      </c>
      <c r="S23" t="str">
        <f t="shared" si="1"/>
        <v>'2044-01-20'</v>
      </c>
      <c r="T23">
        <f t="shared" si="8"/>
        <v>2</v>
      </c>
      <c r="U23">
        <f t="shared" si="2"/>
        <v>3</v>
      </c>
      <c r="V23">
        <f t="shared" si="3"/>
        <v>2044</v>
      </c>
      <c r="W23">
        <f t="shared" si="4"/>
        <v>1</v>
      </c>
      <c r="X23">
        <f t="shared" si="5"/>
        <v>20</v>
      </c>
      <c r="Y23">
        <f t="shared" si="6"/>
        <v>0</v>
      </c>
      <c r="AE23" s="2" t="str" cm="1">
        <f t="array" ref="AE23">CONCATENATE($AE$2,Liste(S23:U23),";")</f>
        <v>INSERT INTO WD_Workdays (CalendarDay, CalendarWeekday, CalendarWeek) VALUES ('2044-01-20', 2, 3);</v>
      </c>
      <c r="AF23" s="2"/>
      <c r="AG23" s="2" t="str" cm="1">
        <f t="array" ref="AG23">CONCATENATE($AG$2,Liste(L23:O23),";")</f>
        <v>INSERT INTO WD_Holidays (CalendarDay, Donation, Share) VALUES ('2015-05-24', 'Pfingstsonntag', 100);</v>
      </c>
    </row>
    <row r="24" spans="11:33" x14ac:dyDescent="0.45">
      <c r="K24" s="10">
        <v>42149</v>
      </c>
      <c r="L24" t="str">
        <f t="shared" si="0"/>
        <v>'2015-05-25'</v>
      </c>
      <c r="M24" s="3" t="s">
        <v>560</v>
      </c>
      <c r="N24">
        <v>100</v>
      </c>
      <c r="R24" s="10">
        <f t="shared" si="7"/>
        <v>52617</v>
      </c>
      <c r="S24" t="str">
        <f t="shared" si="1"/>
        <v>'2044-01-21'</v>
      </c>
      <c r="T24">
        <f t="shared" si="8"/>
        <v>3</v>
      </c>
      <c r="U24">
        <f t="shared" si="2"/>
        <v>3</v>
      </c>
      <c r="V24">
        <f t="shared" si="3"/>
        <v>2044</v>
      </c>
      <c r="W24">
        <f t="shared" si="4"/>
        <v>1</v>
      </c>
      <c r="X24">
        <f t="shared" si="5"/>
        <v>21</v>
      </c>
      <c r="Y24">
        <f t="shared" si="6"/>
        <v>0</v>
      </c>
      <c r="AE24" s="2" t="str" cm="1">
        <f t="array" ref="AE24">CONCATENATE($AE$2,Liste(S24:U24),";")</f>
        <v>INSERT INTO WD_Workdays (CalendarDay, CalendarWeekday, CalendarWeek) VALUES ('2044-01-21', 3, 3);</v>
      </c>
      <c r="AF24" s="2"/>
      <c r="AG24" s="2" t="str" cm="1">
        <f t="array" ref="AG24">CONCATENATE($AG$2,Liste(L24:O24),";")</f>
        <v>INSERT INTO WD_Holidays (CalendarDay, Donation, Share) VALUES ('2015-05-25', 'Pfingstmontag', 100);</v>
      </c>
    </row>
    <row r="25" spans="11:33" x14ac:dyDescent="0.45">
      <c r="K25" s="10">
        <v>42280</v>
      </c>
      <c r="L25" t="str">
        <f t="shared" si="0"/>
        <v>'2015-10-03'</v>
      </c>
      <c r="M25" s="3" t="s">
        <v>561</v>
      </c>
      <c r="N25">
        <v>100</v>
      </c>
      <c r="R25" s="10">
        <f t="shared" si="7"/>
        <v>52618</v>
      </c>
      <c r="S25" t="str">
        <f t="shared" si="1"/>
        <v>'2044-01-22'</v>
      </c>
      <c r="T25">
        <f t="shared" si="8"/>
        <v>4</v>
      </c>
      <c r="U25">
        <f t="shared" si="2"/>
        <v>3</v>
      </c>
      <c r="V25">
        <f t="shared" si="3"/>
        <v>2044</v>
      </c>
      <c r="W25">
        <f t="shared" si="4"/>
        <v>1</v>
      </c>
      <c r="X25">
        <f t="shared" si="5"/>
        <v>22</v>
      </c>
      <c r="Y25">
        <f t="shared" si="6"/>
        <v>0</v>
      </c>
      <c r="AE25" s="2" t="str" cm="1">
        <f t="array" ref="AE25">CONCATENATE($AE$2,Liste(S25:U25),";")</f>
        <v>INSERT INTO WD_Workdays (CalendarDay, CalendarWeekday, CalendarWeek) VALUES ('2044-01-22', 4, 3);</v>
      </c>
      <c r="AF25" s="2"/>
      <c r="AG25" s="2" t="str" cm="1">
        <f t="array" ref="AG25">CONCATENATE($AG$2,Liste(L25:O25),";")</f>
        <v>INSERT INTO WD_Holidays (CalendarDay, Donation, Share) VALUES ('2015-10-03', 'Tag der Deutschen Einheit', 100);</v>
      </c>
    </row>
    <row r="26" spans="11:33" x14ac:dyDescent="0.45">
      <c r="K26" s="10">
        <v>42362</v>
      </c>
      <c r="L26" t="str">
        <f t="shared" si="0"/>
        <v>'2015-12-24'</v>
      </c>
      <c r="M26" s="3" t="s">
        <v>562</v>
      </c>
      <c r="N26">
        <v>50</v>
      </c>
      <c r="R26" s="10">
        <f t="shared" si="7"/>
        <v>52619</v>
      </c>
      <c r="S26" t="str">
        <f t="shared" si="1"/>
        <v>'2044-01-23'</v>
      </c>
      <c r="T26">
        <f t="shared" si="8"/>
        <v>5</v>
      </c>
      <c r="U26">
        <f t="shared" si="2"/>
        <v>3</v>
      </c>
      <c r="V26">
        <f t="shared" si="3"/>
        <v>2044</v>
      </c>
      <c r="W26">
        <f t="shared" si="4"/>
        <v>1</v>
      </c>
      <c r="X26">
        <f t="shared" si="5"/>
        <v>23</v>
      </c>
      <c r="Y26">
        <f t="shared" si="6"/>
        <v>0</v>
      </c>
      <c r="AE26" s="2" t="str" cm="1">
        <f t="array" ref="AE26">CONCATENATE($AE$2,Liste(S26:U26),";")</f>
        <v>INSERT INTO WD_Workdays (CalendarDay, CalendarWeekday, CalendarWeek) VALUES ('2044-01-23', 5, 3);</v>
      </c>
      <c r="AF26" s="2"/>
      <c r="AG26" s="2" t="str" cm="1">
        <f t="array" ref="AG26">CONCATENATE($AG$2,Liste(L26:O26),";")</f>
        <v>INSERT INTO WD_Holidays (CalendarDay, Donation, Share) VALUES ('2015-12-24', 'Heiligabend', 50);</v>
      </c>
    </row>
    <row r="27" spans="11:33" x14ac:dyDescent="0.45">
      <c r="K27" s="10">
        <v>42363</v>
      </c>
      <c r="L27" t="str">
        <f t="shared" si="0"/>
        <v>'2015-12-25'</v>
      </c>
      <c r="M27" s="3" t="s">
        <v>563</v>
      </c>
      <c r="N27">
        <v>100</v>
      </c>
      <c r="R27" s="10">
        <f t="shared" si="7"/>
        <v>52620</v>
      </c>
      <c r="S27" t="str">
        <f t="shared" si="1"/>
        <v>'2044-01-24'</v>
      </c>
      <c r="T27">
        <f t="shared" si="8"/>
        <v>6</v>
      </c>
      <c r="U27">
        <f t="shared" si="2"/>
        <v>3</v>
      </c>
      <c r="V27">
        <f t="shared" si="3"/>
        <v>2044</v>
      </c>
      <c r="W27">
        <f t="shared" si="4"/>
        <v>1</v>
      </c>
      <c r="X27">
        <f t="shared" si="5"/>
        <v>24</v>
      </c>
      <c r="Y27">
        <f t="shared" si="6"/>
        <v>0</v>
      </c>
      <c r="AE27" s="2" t="str" cm="1">
        <f t="array" ref="AE27">CONCATENATE($AE$2,Liste(S27:U27),";")</f>
        <v>INSERT INTO WD_Workdays (CalendarDay, CalendarWeekday, CalendarWeek) VALUES ('2044-01-24', 6, 3);</v>
      </c>
      <c r="AF27" s="2"/>
      <c r="AG27" s="2" t="str" cm="1">
        <f t="array" ref="AG27">CONCATENATE($AG$2,Liste(L27:O27),";")</f>
        <v>INSERT INTO WD_Holidays (CalendarDay, Donation, Share) VALUES ('2015-12-25', '1. Weihnachtsfeiertag', 100);</v>
      </c>
    </row>
    <row r="28" spans="11:33" x14ac:dyDescent="0.45">
      <c r="K28" s="10">
        <v>42364</v>
      </c>
      <c r="L28" t="str">
        <f t="shared" si="0"/>
        <v>'2015-12-26'</v>
      </c>
      <c r="M28" s="3" t="s">
        <v>564</v>
      </c>
      <c r="N28">
        <v>100</v>
      </c>
      <c r="R28" s="10">
        <f t="shared" si="7"/>
        <v>52621</v>
      </c>
      <c r="S28" t="str">
        <f t="shared" si="1"/>
        <v>'2044-01-25'</v>
      </c>
      <c r="T28">
        <f t="shared" si="8"/>
        <v>0</v>
      </c>
      <c r="U28">
        <f t="shared" si="2"/>
        <v>4</v>
      </c>
      <c r="V28">
        <f t="shared" si="3"/>
        <v>2044</v>
      </c>
      <c r="W28">
        <f t="shared" si="4"/>
        <v>1</v>
      </c>
      <c r="X28">
        <f t="shared" si="5"/>
        <v>25</v>
      </c>
      <c r="Y28">
        <f t="shared" si="6"/>
        <v>0</v>
      </c>
      <c r="AE28" s="2" t="str" cm="1">
        <f t="array" ref="AE28">CONCATENATE($AE$2,Liste(S28:U28),";")</f>
        <v>INSERT INTO WD_Workdays (CalendarDay, CalendarWeekday, CalendarWeek) VALUES ('2044-01-25', 0, 4);</v>
      </c>
      <c r="AF28" s="2"/>
      <c r="AG28" s="2" t="str" cm="1">
        <f t="array" ref="AG28">CONCATENATE($AG$2,Liste(L28:O28),";")</f>
        <v>INSERT INTO WD_Holidays (CalendarDay, Donation, Share) VALUES ('2015-12-26', '2. Weihnachtsfeiertag', 100);</v>
      </c>
    </row>
    <row r="29" spans="11:33" x14ac:dyDescent="0.45">
      <c r="K29" s="10">
        <v>42369</v>
      </c>
      <c r="L29" t="str">
        <f t="shared" si="0"/>
        <v>'2015-12-31'</v>
      </c>
      <c r="M29" s="3" t="s">
        <v>565</v>
      </c>
      <c r="N29">
        <v>50</v>
      </c>
      <c r="R29" s="10">
        <f t="shared" si="7"/>
        <v>52622</v>
      </c>
      <c r="S29" t="str">
        <f t="shared" si="1"/>
        <v>'2044-01-26'</v>
      </c>
      <c r="T29">
        <f t="shared" si="8"/>
        <v>1</v>
      </c>
      <c r="U29">
        <f t="shared" si="2"/>
        <v>4</v>
      </c>
      <c r="V29">
        <f t="shared" si="3"/>
        <v>2044</v>
      </c>
      <c r="W29">
        <f t="shared" si="4"/>
        <v>1</v>
      </c>
      <c r="X29">
        <f t="shared" si="5"/>
        <v>26</v>
      </c>
      <c r="Y29">
        <f t="shared" si="6"/>
        <v>0</v>
      </c>
      <c r="AE29" s="2" t="str" cm="1">
        <f t="array" ref="AE29">CONCATENATE($AE$2,Liste(S29:U29),";")</f>
        <v>INSERT INTO WD_Workdays (CalendarDay, CalendarWeekday, CalendarWeek) VALUES ('2044-01-26', 1, 4);</v>
      </c>
      <c r="AF29" s="2"/>
      <c r="AG29" s="2" t="str" cm="1">
        <f t="array" ref="AG29">CONCATENATE($AG$2,Liste(L29:O29),";")</f>
        <v>INSERT INTO WD_Holidays (CalendarDay, Donation, Share) VALUES ('2015-12-31', 'Silvester', 50);</v>
      </c>
    </row>
    <row r="30" spans="11:33" x14ac:dyDescent="0.45">
      <c r="K30" s="10">
        <v>42370</v>
      </c>
      <c r="L30" t="str">
        <f>CONCATENATE("'",TEXT(K30,"jjjj-MM-tt"),"'")</f>
        <v>'2016-01-01'</v>
      </c>
      <c r="M30" s="3" t="s">
        <v>481</v>
      </c>
      <c r="N30">
        <v>100</v>
      </c>
      <c r="R30" s="10">
        <f t="shared" si="7"/>
        <v>52623</v>
      </c>
      <c r="S30" t="str">
        <f t="shared" si="1"/>
        <v>'2044-01-27'</v>
      </c>
      <c r="T30">
        <f t="shared" si="8"/>
        <v>2</v>
      </c>
      <c r="U30">
        <f t="shared" si="2"/>
        <v>4</v>
      </c>
      <c r="V30">
        <f t="shared" si="3"/>
        <v>2044</v>
      </c>
      <c r="W30">
        <f t="shared" si="4"/>
        <v>1</v>
      </c>
      <c r="X30">
        <f t="shared" si="5"/>
        <v>27</v>
      </c>
      <c r="Y30">
        <f t="shared" si="6"/>
        <v>0</v>
      </c>
      <c r="AE30" s="2" t="str" cm="1">
        <f t="array" ref="AE30">CONCATENATE($AE$2,Liste(S30:U30),";")</f>
        <v>INSERT INTO WD_Workdays (CalendarDay, CalendarWeekday, CalendarWeek) VALUES ('2044-01-27', 2, 4);</v>
      </c>
      <c r="AF30" s="2"/>
      <c r="AG30" s="2" t="str" cm="1">
        <f t="array" ref="AG30">CONCATENATE($AG$2,Liste(L30:O30),";")</f>
        <v>INSERT INTO WD_Holidays (CalendarDay, Donation, Share) VALUES ('2016-01-01', 'Neujahr', 100);</v>
      </c>
    </row>
    <row r="31" spans="11:33" x14ac:dyDescent="0.45">
      <c r="K31" s="10">
        <v>42454</v>
      </c>
      <c r="L31" t="str">
        <f t="shared" ref="L31:L42" si="9">CONCATENATE("'",TEXT(K31,"jjjj-MM-tt"),"'")</f>
        <v>'2016-03-25'</v>
      </c>
      <c r="M31" s="3" t="s">
        <v>555</v>
      </c>
      <c r="N31">
        <v>100</v>
      </c>
      <c r="R31" s="10">
        <f t="shared" si="7"/>
        <v>52624</v>
      </c>
      <c r="S31" t="str">
        <f t="shared" si="1"/>
        <v>'2044-01-28'</v>
      </c>
      <c r="T31">
        <f t="shared" si="8"/>
        <v>3</v>
      </c>
      <c r="U31">
        <f t="shared" si="2"/>
        <v>4</v>
      </c>
      <c r="V31">
        <f t="shared" si="3"/>
        <v>2044</v>
      </c>
      <c r="W31">
        <f t="shared" si="4"/>
        <v>1</v>
      </c>
      <c r="X31">
        <f t="shared" si="5"/>
        <v>28</v>
      </c>
      <c r="Y31">
        <f t="shared" si="6"/>
        <v>0</v>
      </c>
      <c r="AE31" s="2" t="str" cm="1">
        <f t="array" ref="AE31">CONCATENATE($AE$2,Liste(S31:U31),";")</f>
        <v>INSERT INTO WD_Workdays (CalendarDay, CalendarWeekday, CalendarWeek) VALUES ('2044-01-28', 3, 4);</v>
      </c>
      <c r="AF31" s="2"/>
      <c r="AG31" s="2" t="str" cm="1">
        <f t="array" ref="AG31">CONCATENATE($AG$2,Liste(L31:O31),";")</f>
        <v>INSERT INTO WD_Holidays (CalendarDay, Donation, Share) VALUES ('2016-03-25', 'Karfreitag', 100);</v>
      </c>
    </row>
    <row r="32" spans="11:33" x14ac:dyDescent="0.45">
      <c r="K32" s="10">
        <v>42456</v>
      </c>
      <c r="L32" t="str">
        <f t="shared" si="9"/>
        <v>'2016-03-27'</v>
      </c>
      <c r="M32" s="3" t="s">
        <v>556</v>
      </c>
      <c r="N32">
        <v>100</v>
      </c>
      <c r="R32" s="10">
        <f t="shared" si="7"/>
        <v>52625</v>
      </c>
      <c r="S32" t="str">
        <f t="shared" si="1"/>
        <v>'2044-01-29'</v>
      </c>
      <c r="T32">
        <f t="shared" si="8"/>
        <v>4</v>
      </c>
      <c r="U32">
        <f t="shared" si="2"/>
        <v>4</v>
      </c>
      <c r="V32">
        <f t="shared" si="3"/>
        <v>2044</v>
      </c>
      <c r="W32">
        <f t="shared" si="4"/>
        <v>1</v>
      </c>
      <c r="X32">
        <f t="shared" si="5"/>
        <v>29</v>
      </c>
      <c r="Y32">
        <f t="shared" si="6"/>
        <v>0</v>
      </c>
      <c r="AE32" s="2" t="str" cm="1">
        <f t="array" ref="AE32">CONCATENATE($AE$2,Liste(S32:U32),";")</f>
        <v>INSERT INTO WD_Workdays (CalendarDay, CalendarWeekday, CalendarWeek) VALUES ('2044-01-29', 4, 4);</v>
      </c>
      <c r="AF32" s="2"/>
      <c r="AG32" s="2" t="str" cm="1">
        <f t="array" ref="AG32">CONCATENATE($AG$2,Liste(L32:O32),";")</f>
        <v>INSERT INTO WD_Holidays (CalendarDay, Donation, Share) VALUES ('2016-03-27', 'Ostersonntag', 100);</v>
      </c>
    </row>
    <row r="33" spans="11:33" x14ac:dyDescent="0.45">
      <c r="K33" s="10">
        <v>42457</v>
      </c>
      <c r="L33" t="str">
        <f t="shared" si="9"/>
        <v>'2016-03-28'</v>
      </c>
      <c r="M33" s="3" t="s">
        <v>557</v>
      </c>
      <c r="N33">
        <v>100</v>
      </c>
      <c r="R33" s="10">
        <f t="shared" si="7"/>
        <v>52626</v>
      </c>
      <c r="S33" t="str">
        <f t="shared" si="1"/>
        <v>'2044-01-30'</v>
      </c>
      <c r="T33">
        <f t="shared" si="8"/>
        <v>5</v>
      </c>
      <c r="U33">
        <f t="shared" si="2"/>
        <v>4</v>
      </c>
      <c r="V33">
        <f t="shared" si="3"/>
        <v>2044</v>
      </c>
      <c r="W33">
        <f t="shared" si="4"/>
        <v>1</v>
      </c>
      <c r="X33">
        <f t="shared" si="5"/>
        <v>30</v>
      </c>
      <c r="Y33">
        <f t="shared" si="6"/>
        <v>0</v>
      </c>
      <c r="AE33" s="2" t="str" cm="1">
        <f t="array" ref="AE33">CONCATENATE($AE$2,Liste(S33:U33),";")</f>
        <v>INSERT INTO WD_Workdays (CalendarDay, CalendarWeekday, CalendarWeek) VALUES ('2044-01-30', 5, 4);</v>
      </c>
      <c r="AF33" s="2"/>
      <c r="AG33" s="2" t="str" cm="1">
        <f t="array" ref="AG33">CONCATENATE($AG$2,Liste(L33:O33),";")</f>
        <v>INSERT INTO WD_Holidays (CalendarDay, Donation, Share) VALUES ('2016-03-28', 'Ostermontag', 100);</v>
      </c>
    </row>
    <row r="34" spans="11:33" x14ac:dyDescent="0.45">
      <c r="K34" s="10">
        <v>42491</v>
      </c>
      <c r="L34" t="str">
        <f t="shared" si="9"/>
        <v>'2016-05-01'</v>
      </c>
      <c r="M34" s="3" t="s">
        <v>558</v>
      </c>
      <c r="N34">
        <v>100</v>
      </c>
      <c r="R34" s="10">
        <f t="shared" si="7"/>
        <v>52627</v>
      </c>
      <c r="S34" t="str">
        <f t="shared" si="1"/>
        <v>'2044-01-31'</v>
      </c>
      <c r="T34">
        <f t="shared" si="8"/>
        <v>6</v>
      </c>
      <c r="U34">
        <f t="shared" si="2"/>
        <v>4</v>
      </c>
      <c r="V34">
        <f t="shared" si="3"/>
        <v>2044</v>
      </c>
      <c r="W34">
        <f t="shared" si="4"/>
        <v>1</v>
      </c>
      <c r="X34">
        <f t="shared" si="5"/>
        <v>31</v>
      </c>
      <c r="Y34">
        <f t="shared" si="6"/>
        <v>0</v>
      </c>
      <c r="AE34" s="2" t="str" cm="1">
        <f t="array" ref="AE34">CONCATENATE($AE$2,Liste(S34:U34),";")</f>
        <v>INSERT INTO WD_Workdays (CalendarDay, CalendarWeekday, CalendarWeek) VALUES ('2044-01-31', 6, 4);</v>
      </c>
      <c r="AF34" s="2"/>
      <c r="AG34" s="2" t="str" cm="1">
        <f t="array" ref="AG34">CONCATENATE($AG$2,Liste(L34:O34),";")</f>
        <v>INSERT INTO WD_Holidays (CalendarDay, Donation, Share) VALUES ('2016-05-01', 'Tag der Arbeit', 100);</v>
      </c>
    </row>
    <row r="35" spans="11:33" x14ac:dyDescent="0.45">
      <c r="K35" s="10">
        <v>42495</v>
      </c>
      <c r="L35" t="str">
        <f t="shared" si="9"/>
        <v>'2016-05-05'</v>
      </c>
      <c r="M35" s="3" t="s">
        <v>559</v>
      </c>
      <c r="N35">
        <v>100</v>
      </c>
      <c r="R35" s="10">
        <f t="shared" si="7"/>
        <v>52628</v>
      </c>
      <c r="S35" t="str">
        <f t="shared" si="1"/>
        <v>'2044-02-01'</v>
      </c>
      <c r="T35">
        <f t="shared" si="8"/>
        <v>0</v>
      </c>
      <c r="U35">
        <f t="shared" si="2"/>
        <v>5</v>
      </c>
      <c r="V35">
        <f t="shared" si="3"/>
        <v>2044</v>
      </c>
      <c r="W35">
        <f t="shared" si="4"/>
        <v>2</v>
      </c>
      <c r="X35">
        <f t="shared" si="5"/>
        <v>1</v>
      </c>
      <c r="Y35">
        <f t="shared" si="6"/>
        <v>0</v>
      </c>
      <c r="AE35" s="2" t="str" cm="1">
        <f t="array" ref="AE35">CONCATENATE($AE$2,Liste(S35:U35),";")</f>
        <v>INSERT INTO WD_Workdays (CalendarDay, CalendarWeekday, CalendarWeek) VALUES ('2044-02-01', 0, 5);</v>
      </c>
      <c r="AF35" s="2"/>
      <c r="AG35" s="2" t="str" cm="1">
        <f t="array" ref="AG35">CONCATENATE($AG$2,Liste(L35:O35),";")</f>
        <v>INSERT INTO WD_Holidays (CalendarDay, Donation, Share) VALUES ('2016-05-05', 'Christi Himmelfahrt', 100);</v>
      </c>
    </row>
    <row r="36" spans="11:33" x14ac:dyDescent="0.45">
      <c r="K36" s="10">
        <v>42505</v>
      </c>
      <c r="L36" t="str">
        <f t="shared" si="9"/>
        <v>'2016-05-15'</v>
      </c>
      <c r="M36" s="3" t="s">
        <v>779</v>
      </c>
      <c r="N36">
        <v>100</v>
      </c>
      <c r="R36" s="10">
        <f t="shared" si="7"/>
        <v>52629</v>
      </c>
      <c r="S36" t="str">
        <f t="shared" si="1"/>
        <v>'2044-02-02'</v>
      </c>
      <c r="T36">
        <f t="shared" si="8"/>
        <v>1</v>
      </c>
      <c r="U36">
        <f t="shared" si="2"/>
        <v>5</v>
      </c>
      <c r="V36">
        <f t="shared" si="3"/>
        <v>2044</v>
      </c>
      <c r="W36">
        <f t="shared" si="4"/>
        <v>2</v>
      </c>
      <c r="X36">
        <f t="shared" si="5"/>
        <v>2</v>
      </c>
      <c r="Y36">
        <f t="shared" si="6"/>
        <v>0</v>
      </c>
      <c r="AE36" s="2" t="str" cm="1">
        <f t="array" ref="AE36">CONCATENATE($AE$2,Liste(S36:U36),";")</f>
        <v>INSERT INTO WD_Workdays (CalendarDay, CalendarWeekday, CalendarWeek) VALUES ('2044-02-02', 1, 5);</v>
      </c>
      <c r="AF36" s="2"/>
      <c r="AG36" s="2" t="str" cm="1">
        <f t="array" ref="AG36">CONCATENATE($AG$2,Liste(L36:O36),";")</f>
        <v>INSERT INTO WD_Holidays (CalendarDay, Donation, Share) VALUES ('2016-05-15', 'Pfingstsonntag', 100);</v>
      </c>
    </row>
    <row r="37" spans="11:33" x14ac:dyDescent="0.45">
      <c r="K37" s="10">
        <v>42506</v>
      </c>
      <c r="L37" t="str">
        <f t="shared" si="9"/>
        <v>'2016-05-16'</v>
      </c>
      <c r="M37" s="3" t="s">
        <v>560</v>
      </c>
      <c r="N37">
        <v>100</v>
      </c>
      <c r="R37" s="10">
        <f t="shared" si="7"/>
        <v>52630</v>
      </c>
      <c r="S37" t="str">
        <f t="shared" si="1"/>
        <v>'2044-02-03'</v>
      </c>
      <c r="T37">
        <f t="shared" si="8"/>
        <v>2</v>
      </c>
      <c r="U37">
        <f t="shared" si="2"/>
        <v>5</v>
      </c>
      <c r="V37">
        <f t="shared" si="3"/>
        <v>2044</v>
      </c>
      <c r="W37">
        <f t="shared" si="4"/>
        <v>2</v>
      </c>
      <c r="X37">
        <f t="shared" si="5"/>
        <v>3</v>
      </c>
      <c r="Y37">
        <f t="shared" si="6"/>
        <v>0</v>
      </c>
      <c r="AE37" s="2" t="str" cm="1">
        <f t="array" ref="AE37">CONCATENATE($AE$2,Liste(S37:U37),";")</f>
        <v>INSERT INTO WD_Workdays (CalendarDay, CalendarWeekday, CalendarWeek) VALUES ('2044-02-03', 2, 5);</v>
      </c>
      <c r="AF37" s="2"/>
      <c r="AG37" s="2" t="str" cm="1">
        <f t="array" ref="AG37">CONCATENATE($AG$2,Liste(L37:O37),";")</f>
        <v>INSERT INTO WD_Holidays (CalendarDay, Donation, Share) VALUES ('2016-05-16', 'Pfingstmontag', 100);</v>
      </c>
    </row>
    <row r="38" spans="11:33" x14ac:dyDescent="0.45">
      <c r="K38" s="10">
        <v>42646</v>
      </c>
      <c r="L38" t="str">
        <f t="shared" si="9"/>
        <v>'2016-10-03'</v>
      </c>
      <c r="M38" s="3" t="s">
        <v>561</v>
      </c>
      <c r="N38">
        <v>100</v>
      </c>
      <c r="R38" s="10">
        <f t="shared" si="7"/>
        <v>52631</v>
      </c>
      <c r="S38" t="str">
        <f t="shared" si="1"/>
        <v>'2044-02-04'</v>
      </c>
      <c r="T38">
        <f t="shared" si="8"/>
        <v>3</v>
      </c>
      <c r="U38">
        <f t="shared" si="2"/>
        <v>5</v>
      </c>
      <c r="V38">
        <f t="shared" si="3"/>
        <v>2044</v>
      </c>
      <c r="W38">
        <f t="shared" si="4"/>
        <v>2</v>
      </c>
      <c r="X38">
        <f t="shared" si="5"/>
        <v>4</v>
      </c>
      <c r="Y38">
        <f t="shared" si="6"/>
        <v>0</v>
      </c>
      <c r="AE38" s="2" t="str" cm="1">
        <f t="array" ref="AE38">CONCATENATE($AE$2,Liste(S38:U38),";")</f>
        <v>INSERT INTO WD_Workdays (CalendarDay, CalendarWeekday, CalendarWeek) VALUES ('2044-02-04', 3, 5);</v>
      </c>
      <c r="AF38" s="2"/>
      <c r="AG38" s="2" t="str" cm="1">
        <f t="array" ref="AG38">CONCATENATE($AG$2,Liste(L38:O38),";")</f>
        <v>INSERT INTO WD_Holidays (CalendarDay, Donation, Share) VALUES ('2016-10-03', 'Tag der Deutschen Einheit', 100);</v>
      </c>
    </row>
    <row r="39" spans="11:33" x14ac:dyDescent="0.45">
      <c r="K39" s="10">
        <v>42728</v>
      </c>
      <c r="L39" t="str">
        <f t="shared" si="9"/>
        <v>'2016-12-24'</v>
      </c>
      <c r="M39" s="3" t="s">
        <v>562</v>
      </c>
      <c r="N39">
        <v>50</v>
      </c>
      <c r="R39" s="10">
        <f t="shared" si="7"/>
        <v>52632</v>
      </c>
      <c r="S39" t="str">
        <f t="shared" si="1"/>
        <v>'2044-02-05'</v>
      </c>
      <c r="T39">
        <f t="shared" si="8"/>
        <v>4</v>
      </c>
      <c r="U39">
        <f t="shared" si="2"/>
        <v>5</v>
      </c>
      <c r="V39">
        <f t="shared" si="3"/>
        <v>2044</v>
      </c>
      <c r="W39">
        <f t="shared" si="4"/>
        <v>2</v>
      </c>
      <c r="X39">
        <f t="shared" si="5"/>
        <v>5</v>
      </c>
      <c r="Y39">
        <f t="shared" si="6"/>
        <v>0</v>
      </c>
      <c r="AE39" s="2" t="str" cm="1">
        <f t="array" ref="AE39">CONCATENATE($AE$2,Liste(S39:U39),";")</f>
        <v>INSERT INTO WD_Workdays (CalendarDay, CalendarWeekday, CalendarWeek) VALUES ('2044-02-05', 4, 5);</v>
      </c>
      <c r="AF39" s="2"/>
      <c r="AG39" s="2" t="str" cm="1">
        <f t="array" ref="AG39">CONCATENATE($AG$2,Liste(L39:O39),";")</f>
        <v>INSERT INTO WD_Holidays (CalendarDay, Donation, Share) VALUES ('2016-12-24', 'Heiligabend', 50);</v>
      </c>
    </row>
    <row r="40" spans="11:33" x14ac:dyDescent="0.45">
      <c r="K40" s="10">
        <v>42729</v>
      </c>
      <c r="L40" t="str">
        <f t="shared" si="9"/>
        <v>'2016-12-25'</v>
      </c>
      <c r="M40" s="3" t="s">
        <v>563</v>
      </c>
      <c r="N40">
        <v>100</v>
      </c>
      <c r="R40" s="10">
        <f t="shared" si="7"/>
        <v>52633</v>
      </c>
      <c r="S40" t="str">
        <f t="shared" si="1"/>
        <v>'2044-02-06'</v>
      </c>
      <c r="T40">
        <f t="shared" si="8"/>
        <v>5</v>
      </c>
      <c r="U40">
        <f t="shared" si="2"/>
        <v>5</v>
      </c>
      <c r="V40">
        <f t="shared" si="3"/>
        <v>2044</v>
      </c>
      <c r="W40">
        <f t="shared" si="4"/>
        <v>2</v>
      </c>
      <c r="X40">
        <f t="shared" si="5"/>
        <v>6</v>
      </c>
      <c r="Y40">
        <f t="shared" si="6"/>
        <v>0</v>
      </c>
      <c r="AE40" s="2" t="str" cm="1">
        <f t="array" ref="AE40">CONCATENATE($AE$2,Liste(S40:U40),";")</f>
        <v>INSERT INTO WD_Workdays (CalendarDay, CalendarWeekday, CalendarWeek) VALUES ('2044-02-06', 5, 5);</v>
      </c>
      <c r="AF40" s="2"/>
      <c r="AG40" s="2" t="str" cm="1">
        <f t="array" ref="AG40">CONCATENATE($AG$2,Liste(L40:O40),";")</f>
        <v>INSERT INTO WD_Holidays (CalendarDay, Donation, Share) VALUES ('2016-12-25', '1. Weihnachtsfeiertag', 100);</v>
      </c>
    </row>
    <row r="41" spans="11:33" x14ac:dyDescent="0.45">
      <c r="K41" s="10">
        <v>42730</v>
      </c>
      <c r="L41" t="str">
        <f t="shared" si="9"/>
        <v>'2016-12-26'</v>
      </c>
      <c r="M41" s="3" t="s">
        <v>564</v>
      </c>
      <c r="N41">
        <v>100</v>
      </c>
      <c r="R41" s="10">
        <f t="shared" si="7"/>
        <v>52634</v>
      </c>
      <c r="S41" t="str">
        <f t="shared" si="1"/>
        <v>'2044-02-07'</v>
      </c>
      <c r="T41">
        <f t="shared" si="8"/>
        <v>6</v>
      </c>
      <c r="U41">
        <f t="shared" si="2"/>
        <v>5</v>
      </c>
      <c r="V41">
        <f t="shared" si="3"/>
        <v>2044</v>
      </c>
      <c r="W41">
        <f t="shared" si="4"/>
        <v>2</v>
      </c>
      <c r="X41">
        <f t="shared" si="5"/>
        <v>7</v>
      </c>
      <c r="Y41">
        <f t="shared" si="6"/>
        <v>0</v>
      </c>
      <c r="AE41" s="2" t="str" cm="1">
        <f t="array" ref="AE41">CONCATENATE($AE$2,Liste(S41:U41),";")</f>
        <v>INSERT INTO WD_Workdays (CalendarDay, CalendarWeekday, CalendarWeek) VALUES ('2044-02-07', 6, 5);</v>
      </c>
      <c r="AF41" s="2"/>
      <c r="AG41" s="2" t="str" cm="1">
        <f t="array" ref="AG41">CONCATENATE($AG$2,Liste(L41:O41),";")</f>
        <v>INSERT INTO WD_Holidays (CalendarDay, Donation, Share) VALUES ('2016-12-26', '2. Weihnachtsfeiertag', 100);</v>
      </c>
    </row>
    <row r="42" spans="11:33" x14ac:dyDescent="0.45">
      <c r="K42" s="10">
        <v>42735</v>
      </c>
      <c r="L42" t="str">
        <f t="shared" si="9"/>
        <v>'2016-12-31'</v>
      </c>
      <c r="M42" s="3" t="s">
        <v>565</v>
      </c>
      <c r="N42">
        <v>50</v>
      </c>
      <c r="R42" s="10">
        <f t="shared" si="7"/>
        <v>52635</v>
      </c>
      <c r="S42" t="str">
        <f t="shared" si="1"/>
        <v>'2044-02-08'</v>
      </c>
      <c r="T42">
        <f t="shared" si="8"/>
        <v>0</v>
      </c>
      <c r="U42">
        <f t="shared" si="2"/>
        <v>6</v>
      </c>
      <c r="V42">
        <f t="shared" si="3"/>
        <v>2044</v>
      </c>
      <c r="W42">
        <f t="shared" si="4"/>
        <v>2</v>
      </c>
      <c r="X42">
        <f t="shared" si="5"/>
        <v>8</v>
      </c>
      <c r="Y42">
        <f t="shared" si="6"/>
        <v>0</v>
      </c>
      <c r="AE42" s="2" t="str" cm="1">
        <f t="array" ref="AE42">CONCATENATE($AE$2,Liste(S42:U42),";")</f>
        <v>INSERT INTO WD_Workdays (CalendarDay, CalendarWeekday, CalendarWeek) VALUES ('2044-02-08', 0, 6);</v>
      </c>
      <c r="AF42" s="2"/>
      <c r="AG42" s="2" t="str" cm="1">
        <f t="array" ref="AG42">CONCATENATE($AG$2,Liste(L42:O42),";")</f>
        <v>INSERT INTO WD_Holidays (CalendarDay, Donation, Share) VALUES ('2016-12-31', 'Silvester', 50);</v>
      </c>
    </row>
    <row r="43" spans="11:33" x14ac:dyDescent="0.45">
      <c r="K43" s="10">
        <v>42736</v>
      </c>
      <c r="L43" t="str">
        <f>CONCATENATE("'",TEXT(K43,"jjjj-MM-tt"),"'")</f>
        <v>'2017-01-01'</v>
      </c>
      <c r="M43" s="3" t="s">
        <v>481</v>
      </c>
      <c r="N43">
        <v>100</v>
      </c>
      <c r="R43" s="10">
        <f t="shared" si="7"/>
        <v>52636</v>
      </c>
      <c r="S43" t="str">
        <f t="shared" si="1"/>
        <v>'2044-02-09'</v>
      </c>
      <c r="T43">
        <f t="shared" si="8"/>
        <v>1</v>
      </c>
      <c r="U43">
        <f t="shared" si="2"/>
        <v>6</v>
      </c>
      <c r="V43">
        <f t="shared" si="3"/>
        <v>2044</v>
      </c>
      <c r="W43">
        <f t="shared" si="4"/>
        <v>2</v>
      </c>
      <c r="X43">
        <f t="shared" si="5"/>
        <v>9</v>
      </c>
      <c r="Y43">
        <f t="shared" si="6"/>
        <v>0</v>
      </c>
      <c r="AE43" s="2" t="str" cm="1">
        <f t="array" ref="AE43">CONCATENATE($AE$2,Liste(S43:U43),";")</f>
        <v>INSERT INTO WD_Workdays (CalendarDay, CalendarWeekday, CalendarWeek) VALUES ('2044-02-09', 1, 6);</v>
      </c>
      <c r="AF43" s="2"/>
      <c r="AG43" s="2" t="str" cm="1">
        <f t="array" ref="AG43">CONCATENATE($AG$2,Liste(L43:O43),";")</f>
        <v>INSERT INTO WD_Holidays (CalendarDay, Donation, Share) VALUES ('2017-01-01', 'Neujahr', 100);</v>
      </c>
    </row>
    <row r="44" spans="11:33" x14ac:dyDescent="0.45">
      <c r="K44" s="10">
        <v>42839</v>
      </c>
      <c r="L44" t="str">
        <f t="shared" ref="L44:L56" si="10">CONCATENATE("'",TEXT(K44,"jjjj-MM-tt"),"'")</f>
        <v>'2017-04-14'</v>
      </c>
      <c r="M44" s="3" t="s">
        <v>555</v>
      </c>
      <c r="N44">
        <v>100</v>
      </c>
      <c r="R44" s="10">
        <f t="shared" si="7"/>
        <v>52637</v>
      </c>
      <c r="S44" t="str">
        <f t="shared" si="1"/>
        <v>'2044-02-10'</v>
      </c>
      <c r="T44">
        <f t="shared" si="8"/>
        <v>2</v>
      </c>
      <c r="U44">
        <f t="shared" si="2"/>
        <v>6</v>
      </c>
      <c r="V44">
        <f t="shared" si="3"/>
        <v>2044</v>
      </c>
      <c r="W44">
        <f t="shared" si="4"/>
        <v>2</v>
      </c>
      <c r="X44">
        <f t="shared" si="5"/>
        <v>10</v>
      </c>
      <c r="Y44">
        <f t="shared" si="6"/>
        <v>0</v>
      </c>
      <c r="AE44" s="2" t="str" cm="1">
        <f t="array" ref="AE44">CONCATENATE($AE$2,Liste(S44:U44),";")</f>
        <v>INSERT INTO WD_Workdays (CalendarDay, CalendarWeekday, CalendarWeek) VALUES ('2044-02-10', 2, 6);</v>
      </c>
      <c r="AF44" s="2"/>
      <c r="AG44" s="2" t="str" cm="1">
        <f t="array" ref="AG44">CONCATENATE($AG$2,Liste(L44:O44),";")</f>
        <v>INSERT INTO WD_Holidays (CalendarDay, Donation, Share) VALUES ('2017-04-14', 'Karfreitag', 100);</v>
      </c>
    </row>
    <row r="45" spans="11:33" x14ac:dyDescent="0.45">
      <c r="K45" s="10">
        <v>42841</v>
      </c>
      <c r="L45" t="str">
        <f t="shared" si="10"/>
        <v>'2017-04-16'</v>
      </c>
      <c r="M45" s="3" t="s">
        <v>556</v>
      </c>
      <c r="N45">
        <v>100</v>
      </c>
      <c r="R45" s="10">
        <f t="shared" si="7"/>
        <v>52638</v>
      </c>
      <c r="S45" t="str">
        <f t="shared" si="1"/>
        <v>'2044-02-11'</v>
      </c>
      <c r="T45">
        <f t="shared" si="8"/>
        <v>3</v>
      </c>
      <c r="U45">
        <f t="shared" si="2"/>
        <v>6</v>
      </c>
      <c r="V45">
        <f t="shared" si="3"/>
        <v>2044</v>
      </c>
      <c r="W45">
        <f t="shared" si="4"/>
        <v>2</v>
      </c>
      <c r="X45">
        <f t="shared" si="5"/>
        <v>11</v>
      </c>
      <c r="Y45">
        <f t="shared" si="6"/>
        <v>0</v>
      </c>
      <c r="AE45" s="2" t="str" cm="1">
        <f t="array" ref="AE45">CONCATENATE($AE$2,Liste(S45:U45),";")</f>
        <v>INSERT INTO WD_Workdays (CalendarDay, CalendarWeekday, CalendarWeek) VALUES ('2044-02-11', 3, 6);</v>
      </c>
      <c r="AF45" s="2"/>
      <c r="AG45" s="2" t="str" cm="1">
        <f t="array" ref="AG45">CONCATENATE($AG$2,Liste(L45:O45),";")</f>
        <v>INSERT INTO WD_Holidays (CalendarDay, Donation, Share) VALUES ('2017-04-16', 'Ostersonntag', 100);</v>
      </c>
    </row>
    <row r="46" spans="11:33" x14ac:dyDescent="0.45">
      <c r="K46" s="10">
        <v>42842</v>
      </c>
      <c r="L46" t="str">
        <f t="shared" si="10"/>
        <v>'2017-04-17'</v>
      </c>
      <c r="M46" s="3" t="s">
        <v>557</v>
      </c>
      <c r="N46">
        <v>100</v>
      </c>
      <c r="R46" s="10">
        <f t="shared" si="7"/>
        <v>52639</v>
      </c>
      <c r="S46" t="str">
        <f t="shared" si="1"/>
        <v>'2044-02-12'</v>
      </c>
      <c r="T46">
        <f t="shared" si="8"/>
        <v>4</v>
      </c>
      <c r="U46">
        <f t="shared" si="2"/>
        <v>6</v>
      </c>
      <c r="V46">
        <f t="shared" si="3"/>
        <v>2044</v>
      </c>
      <c r="W46">
        <f t="shared" si="4"/>
        <v>2</v>
      </c>
      <c r="X46">
        <f t="shared" si="5"/>
        <v>12</v>
      </c>
      <c r="Y46">
        <f t="shared" si="6"/>
        <v>0</v>
      </c>
      <c r="AE46" s="2" t="str" cm="1">
        <f t="array" ref="AE46">CONCATENATE($AE$2,Liste(S46:U46),";")</f>
        <v>INSERT INTO WD_Workdays (CalendarDay, CalendarWeekday, CalendarWeek) VALUES ('2044-02-12', 4, 6);</v>
      </c>
      <c r="AF46" s="2"/>
      <c r="AG46" s="2" t="str" cm="1">
        <f t="array" ref="AG46">CONCATENATE($AG$2,Liste(L46:O46),";")</f>
        <v>INSERT INTO WD_Holidays (CalendarDay, Donation, Share) VALUES ('2017-04-17', 'Ostermontag', 100);</v>
      </c>
    </row>
    <row r="47" spans="11:33" x14ac:dyDescent="0.45">
      <c r="K47" s="10">
        <v>42856</v>
      </c>
      <c r="L47" t="str">
        <f t="shared" si="10"/>
        <v>'2017-05-01'</v>
      </c>
      <c r="M47" s="3" t="s">
        <v>558</v>
      </c>
      <c r="N47">
        <v>100</v>
      </c>
      <c r="R47" s="10">
        <f t="shared" si="7"/>
        <v>52640</v>
      </c>
      <c r="S47" t="str">
        <f t="shared" si="1"/>
        <v>'2044-02-13'</v>
      </c>
      <c r="T47">
        <f t="shared" si="8"/>
        <v>5</v>
      </c>
      <c r="U47">
        <f t="shared" si="2"/>
        <v>6</v>
      </c>
      <c r="V47">
        <f t="shared" si="3"/>
        <v>2044</v>
      </c>
      <c r="W47">
        <f t="shared" si="4"/>
        <v>2</v>
      </c>
      <c r="X47">
        <f t="shared" si="5"/>
        <v>13</v>
      </c>
      <c r="Y47">
        <f t="shared" si="6"/>
        <v>0</v>
      </c>
      <c r="AE47" s="2" t="str" cm="1">
        <f t="array" ref="AE47">CONCATENATE($AE$2,Liste(S47:U47),";")</f>
        <v>INSERT INTO WD_Workdays (CalendarDay, CalendarWeekday, CalendarWeek) VALUES ('2044-02-13', 5, 6);</v>
      </c>
      <c r="AF47" s="2"/>
      <c r="AG47" s="2" t="str" cm="1">
        <f t="array" ref="AG47">CONCATENATE($AG$2,Liste(L47:O47),";")</f>
        <v>INSERT INTO WD_Holidays (CalendarDay, Donation, Share) VALUES ('2017-05-01', 'Tag der Arbeit', 100);</v>
      </c>
    </row>
    <row r="48" spans="11:33" x14ac:dyDescent="0.45">
      <c r="K48" s="10">
        <v>42880</v>
      </c>
      <c r="L48" t="str">
        <f t="shared" si="10"/>
        <v>'2017-05-25'</v>
      </c>
      <c r="M48" s="3" t="s">
        <v>559</v>
      </c>
      <c r="N48">
        <v>100</v>
      </c>
      <c r="R48" s="10">
        <f t="shared" si="7"/>
        <v>52641</v>
      </c>
      <c r="S48" t="str">
        <f t="shared" si="1"/>
        <v>'2044-02-14'</v>
      </c>
      <c r="T48">
        <f t="shared" si="8"/>
        <v>6</v>
      </c>
      <c r="U48">
        <f t="shared" si="2"/>
        <v>6</v>
      </c>
      <c r="V48">
        <f t="shared" si="3"/>
        <v>2044</v>
      </c>
      <c r="W48">
        <f t="shared" si="4"/>
        <v>2</v>
      </c>
      <c r="X48">
        <f t="shared" si="5"/>
        <v>14</v>
      </c>
      <c r="Y48">
        <f t="shared" si="6"/>
        <v>0</v>
      </c>
      <c r="AE48" s="2" t="str" cm="1">
        <f t="array" ref="AE48">CONCATENATE($AE$2,Liste(S48:U48),";")</f>
        <v>INSERT INTO WD_Workdays (CalendarDay, CalendarWeekday, CalendarWeek) VALUES ('2044-02-14', 6, 6);</v>
      </c>
      <c r="AF48" s="2"/>
      <c r="AG48" s="2" t="str" cm="1">
        <f t="array" ref="AG48">CONCATENATE($AG$2,Liste(L48:O48),";")</f>
        <v>INSERT INTO WD_Holidays (CalendarDay, Donation, Share) VALUES ('2017-05-25', 'Christi Himmelfahrt', 100);</v>
      </c>
    </row>
    <row r="49" spans="11:33" x14ac:dyDescent="0.45">
      <c r="K49" s="10">
        <v>42890</v>
      </c>
      <c r="L49" t="str">
        <f t="shared" si="10"/>
        <v>'2017-06-04'</v>
      </c>
      <c r="M49" s="3" t="s">
        <v>779</v>
      </c>
      <c r="N49">
        <v>100</v>
      </c>
      <c r="R49" s="10">
        <f t="shared" si="7"/>
        <v>52642</v>
      </c>
      <c r="S49" t="str">
        <f t="shared" si="1"/>
        <v>'2044-02-15'</v>
      </c>
      <c r="T49">
        <f t="shared" si="8"/>
        <v>0</v>
      </c>
      <c r="U49">
        <f t="shared" si="2"/>
        <v>7</v>
      </c>
      <c r="V49">
        <f t="shared" si="3"/>
        <v>2044</v>
      </c>
      <c r="W49">
        <f t="shared" si="4"/>
        <v>2</v>
      </c>
      <c r="X49">
        <f t="shared" si="5"/>
        <v>15</v>
      </c>
      <c r="Y49">
        <f t="shared" si="6"/>
        <v>0</v>
      </c>
      <c r="AE49" s="2" t="str" cm="1">
        <f t="array" ref="AE49">CONCATENATE($AE$2,Liste(S49:U49),";")</f>
        <v>INSERT INTO WD_Workdays (CalendarDay, CalendarWeekday, CalendarWeek) VALUES ('2044-02-15', 0, 7);</v>
      </c>
      <c r="AF49" s="2"/>
      <c r="AG49" s="2" t="str" cm="1">
        <f t="array" ref="AG49">CONCATENATE($AG$2,Liste(L49:O49),";")</f>
        <v>INSERT INTO WD_Holidays (CalendarDay, Donation, Share) VALUES ('2017-06-04', 'Pfingstsonntag', 100);</v>
      </c>
    </row>
    <row r="50" spans="11:33" x14ac:dyDescent="0.45">
      <c r="K50" s="10">
        <v>42891</v>
      </c>
      <c r="L50" t="str">
        <f t="shared" si="10"/>
        <v>'2017-06-05'</v>
      </c>
      <c r="M50" s="3" t="s">
        <v>560</v>
      </c>
      <c r="N50">
        <v>100</v>
      </c>
      <c r="R50" s="10">
        <f t="shared" si="7"/>
        <v>52643</v>
      </c>
      <c r="S50" t="str">
        <f t="shared" si="1"/>
        <v>'2044-02-16'</v>
      </c>
      <c r="T50">
        <f t="shared" si="8"/>
        <v>1</v>
      </c>
      <c r="U50">
        <f t="shared" si="2"/>
        <v>7</v>
      </c>
      <c r="V50">
        <f t="shared" si="3"/>
        <v>2044</v>
      </c>
      <c r="W50">
        <f t="shared" si="4"/>
        <v>2</v>
      </c>
      <c r="X50">
        <f t="shared" si="5"/>
        <v>16</v>
      </c>
      <c r="Y50">
        <f t="shared" si="6"/>
        <v>0</v>
      </c>
      <c r="AE50" s="2" t="str" cm="1">
        <f t="array" ref="AE50">CONCATENATE($AE$2,Liste(S50:U50),";")</f>
        <v>INSERT INTO WD_Workdays (CalendarDay, CalendarWeekday, CalendarWeek) VALUES ('2044-02-16', 1, 7);</v>
      </c>
      <c r="AF50" s="2"/>
      <c r="AG50" s="2" t="str" cm="1">
        <f t="array" ref="AG50">CONCATENATE($AG$2,Liste(L50:O50),";")</f>
        <v>INSERT INTO WD_Holidays (CalendarDay, Donation, Share) VALUES ('2017-06-05', 'Pfingstmontag', 100);</v>
      </c>
    </row>
    <row r="51" spans="11:33" x14ac:dyDescent="0.45">
      <c r="K51" s="10">
        <v>43011</v>
      </c>
      <c r="L51" t="str">
        <f t="shared" si="10"/>
        <v>'2017-10-03'</v>
      </c>
      <c r="M51" s="3" t="s">
        <v>561</v>
      </c>
      <c r="N51">
        <v>100</v>
      </c>
      <c r="R51" s="10">
        <f t="shared" si="7"/>
        <v>52644</v>
      </c>
      <c r="S51" t="str">
        <f t="shared" si="1"/>
        <v>'2044-02-17'</v>
      </c>
      <c r="T51">
        <f t="shared" si="8"/>
        <v>2</v>
      </c>
      <c r="U51">
        <f t="shared" si="2"/>
        <v>7</v>
      </c>
      <c r="V51">
        <f t="shared" si="3"/>
        <v>2044</v>
      </c>
      <c r="W51">
        <f t="shared" si="4"/>
        <v>2</v>
      </c>
      <c r="X51">
        <f t="shared" si="5"/>
        <v>17</v>
      </c>
      <c r="Y51">
        <f t="shared" si="6"/>
        <v>0</v>
      </c>
      <c r="AE51" s="2" t="str" cm="1">
        <f t="array" ref="AE51">CONCATENATE($AE$2,Liste(S51:U51),";")</f>
        <v>INSERT INTO WD_Workdays (CalendarDay, CalendarWeekday, CalendarWeek) VALUES ('2044-02-17', 2, 7);</v>
      </c>
      <c r="AF51" s="2"/>
      <c r="AG51" s="2" t="str" cm="1">
        <f t="array" ref="AG51">CONCATENATE($AG$2,Liste(L51:O51),";")</f>
        <v>INSERT INTO WD_Holidays (CalendarDay, Donation, Share) VALUES ('2017-10-03', 'Tag der Deutschen Einheit', 100);</v>
      </c>
    </row>
    <row r="52" spans="11:33" x14ac:dyDescent="0.45">
      <c r="K52" s="20">
        <v>43039</v>
      </c>
      <c r="L52" s="21" t="str">
        <f t="shared" si="10"/>
        <v>'2017-10-31'</v>
      </c>
      <c r="M52" s="22" t="s">
        <v>953</v>
      </c>
      <c r="N52" s="21">
        <v>100</v>
      </c>
      <c r="R52" s="10">
        <f t="shared" si="7"/>
        <v>52645</v>
      </c>
      <c r="S52" t="str">
        <f t="shared" si="1"/>
        <v>'2044-02-18'</v>
      </c>
      <c r="T52">
        <f t="shared" si="8"/>
        <v>3</v>
      </c>
      <c r="U52">
        <f t="shared" si="2"/>
        <v>7</v>
      </c>
      <c r="V52">
        <f t="shared" si="3"/>
        <v>2044</v>
      </c>
      <c r="W52">
        <f t="shared" si="4"/>
        <v>2</v>
      </c>
      <c r="X52">
        <f t="shared" si="5"/>
        <v>18</v>
      </c>
      <c r="Y52">
        <f t="shared" si="6"/>
        <v>0</v>
      </c>
      <c r="AE52" s="2" t="str" cm="1">
        <f t="array" ref="AE52">CONCATENATE($AE$2,Liste(S52:U52),";")</f>
        <v>INSERT INTO WD_Workdays (CalendarDay, CalendarWeekday, CalendarWeek) VALUES ('2044-02-18', 3, 7);</v>
      </c>
      <c r="AF52" s="2"/>
      <c r="AG52" s="2" t="str" cm="1">
        <f t="array" ref="AG52">CONCATENATE($AG$2,Liste(L52:O52),";")</f>
        <v>INSERT INTO WD_Holidays (CalendarDay, Donation, Share) VALUES ('2017-10-31', 'Reformationstag', 100);</v>
      </c>
    </row>
    <row r="53" spans="11:33" x14ac:dyDescent="0.45">
      <c r="K53" s="10">
        <v>43093</v>
      </c>
      <c r="L53" t="str">
        <f t="shared" si="10"/>
        <v>'2017-12-24'</v>
      </c>
      <c r="M53" s="3" t="s">
        <v>562</v>
      </c>
      <c r="N53">
        <v>50</v>
      </c>
      <c r="R53" s="10">
        <f t="shared" si="7"/>
        <v>52646</v>
      </c>
      <c r="S53" t="str">
        <f t="shared" si="1"/>
        <v>'2044-02-19'</v>
      </c>
      <c r="T53">
        <f t="shared" si="8"/>
        <v>4</v>
      </c>
      <c r="U53">
        <f t="shared" si="2"/>
        <v>7</v>
      </c>
      <c r="V53">
        <f t="shared" si="3"/>
        <v>2044</v>
      </c>
      <c r="W53">
        <f t="shared" si="4"/>
        <v>2</v>
      </c>
      <c r="X53">
        <f t="shared" si="5"/>
        <v>19</v>
      </c>
      <c r="Y53">
        <f t="shared" si="6"/>
        <v>0</v>
      </c>
      <c r="AE53" s="2" t="str" cm="1">
        <f t="array" ref="AE53">CONCATENATE($AE$2,Liste(S53:U53),";")</f>
        <v>INSERT INTO WD_Workdays (CalendarDay, CalendarWeekday, CalendarWeek) VALUES ('2044-02-19', 4, 7);</v>
      </c>
      <c r="AF53" s="2"/>
      <c r="AG53" s="2" t="str" cm="1">
        <f t="array" ref="AG53">CONCATENATE($AG$2,Liste(L53:O53),";")</f>
        <v>INSERT INTO WD_Holidays (CalendarDay, Donation, Share) VALUES ('2017-12-24', 'Heiligabend', 50);</v>
      </c>
    </row>
    <row r="54" spans="11:33" x14ac:dyDescent="0.45">
      <c r="K54" s="10">
        <v>43094</v>
      </c>
      <c r="L54" t="str">
        <f t="shared" si="10"/>
        <v>'2017-12-25'</v>
      </c>
      <c r="M54" s="3" t="s">
        <v>563</v>
      </c>
      <c r="N54">
        <v>100</v>
      </c>
      <c r="R54" s="10">
        <f t="shared" si="7"/>
        <v>52647</v>
      </c>
      <c r="S54" t="str">
        <f t="shared" si="1"/>
        <v>'2044-02-20'</v>
      </c>
      <c r="T54">
        <f t="shared" si="8"/>
        <v>5</v>
      </c>
      <c r="U54">
        <f t="shared" si="2"/>
        <v>7</v>
      </c>
      <c r="V54">
        <f t="shared" si="3"/>
        <v>2044</v>
      </c>
      <c r="W54">
        <f t="shared" si="4"/>
        <v>2</v>
      </c>
      <c r="X54">
        <f t="shared" si="5"/>
        <v>20</v>
      </c>
      <c r="Y54">
        <f t="shared" si="6"/>
        <v>0</v>
      </c>
      <c r="AE54" s="2" t="str" cm="1">
        <f t="array" ref="AE54">CONCATENATE($AE$2,Liste(S54:U54),";")</f>
        <v>INSERT INTO WD_Workdays (CalendarDay, CalendarWeekday, CalendarWeek) VALUES ('2044-02-20', 5, 7);</v>
      </c>
      <c r="AF54" s="2"/>
      <c r="AG54" s="2" t="str" cm="1">
        <f t="array" ref="AG54">CONCATENATE($AG$2,Liste(L54:O54),";")</f>
        <v>INSERT INTO WD_Holidays (CalendarDay, Donation, Share) VALUES ('2017-12-25', '1. Weihnachtsfeiertag', 100);</v>
      </c>
    </row>
    <row r="55" spans="11:33" x14ac:dyDescent="0.45">
      <c r="K55" s="10">
        <v>43095</v>
      </c>
      <c r="L55" t="str">
        <f t="shared" si="10"/>
        <v>'2017-12-26'</v>
      </c>
      <c r="M55" s="3" t="s">
        <v>564</v>
      </c>
      <c r="N55">
        <v>100</v>
      </c>
      <c r="R55" s="10">
        <f t="shared" si="7"/>
        <v>52648</v>
      </c>
      <c r="S55" t="str">
        <f t="shared" si="1"/>
        <v>'2044-02-21'</v>
      </c>
      <c r="T55">
        <f t="shared" si="8"/>
        <v>6</v>
      </c>
      <c r="U55">
        <f t="shared" si="2"/>
        <v>7</v>
      </c>
      <c r="V55">
        <f t="shared" si="3"/>
        <v>2044</v>
      </c>
      <c r="W55">
        <f t="shared" si="4"/>
        <v>2</v>
      </c>
      <c r="X55">
        <f t="shared" si="5"/>
        <v>21</v>
      </c>
      <c r="Y55">
        <f t="shared" si="6"/>
        <v>0</v>
      </c>
      <c r="AE55" s="2" t="str" cm="1">
        <f t="array" ref="AE55">CONCATENATE($AE$2,Liste(S55:U55),";")</f>
        <v>INSERT INTO WD_Workdays (CalendarDay, CalendarWeekday, CalendarWeek) VALUES ('2044-02-21', 6, 7);</v>
      </c>
      <c r="AF55" s="2"/>
      <c r="AG55" s="2" t="str" cm="1">
        <f t="array" ref="AG55">CONCATENATE($AG$2,Liste(L55:O55),";")</f>
        <v>INSERT INTO WD_Holidays (CalendarDay, Donation, Share) VALUES ('2017-12-26', '2. Weihnachtsfeiertag', 100);</v>
      </c>
    </row>
    <row r="56" spans="11:33" x14ac:dyDescent="0.45">
      <c r="K56" s="10">
        <v>43100</v>
      </c>
      <c r="L56" t="str">
        <f t="shared" si="10"/>
        <v>'2017-12-31'</v>
      </c>
      <c r="M56" s="3" t="s">
        <v>565</v>
      </c>
      <c r="N56">
        <v>50</v>
      </c>
      <c r="R56" s="10">
        <f t="shared" si="7"/>
        <v>52649</v>
      </c>
      <c r="S56" t="str">
        <f t="shared" si="1"/>
        <v>'2044-02-22'</v>
      </c>
      <c r="T56">
        <f t="shared" si="8"/>
        <v>0</v>
      </c>
      <c r="U56">
        <f t="shared" si="2"/>
        <v>8</v>
      </c>
      <c r="V56">
        <f t="shared" si="3"/>
        <v>2044</v>
      </c>
      <c r="W56">
        <f t="shared" si="4"/>
        <v>2</v>
      </c>
      <c r="X56">
        <f t="shared" si="5"/>
        <v>22</v>
      </c>
      <c r="Y56">
        <f t="shared" si="6"/>
        <v>0</v>
      </c>
      <c r="AE56" s="2" t="str" cm="1">
        <f t="array" ref="AE56">CONCATENATE($AE$2,Liste(S56:U56),";")</f>
        <v>INSERT INTO WD_Workdays (CalendarDay, CalendarWeekday, CalendarWeek) VALUES ('2044-02-22', 0, 8);</v>
      </c>
      <c r="AF56" s="2"/>
      <c r="AG56" s="2" t="str" cm="1">
        <f t="array" ref="AG56">CONCATENATE($AG$2,Liste(L56:O56),";")</f>
        <v>INSERT INTO WD_Holidays (CalendarDay, Donation, Share) VALUES ('2017-12-31', 'Silvester', 50);</v>
      </c>
    </row>
    <row r="57" spans="11:33" x14ac:dyDescent="0.45">
      <c r="K57" s="10">
        <v>43101</v>
      </c>
      <c r="L57" t="str">
        <f t="shared" ref="L57:L70" si="11">CONCATENATE("'",TEXT(K57,"jjjj-MM-tt"),"'")</f>
        <v>'2018-01-01'</v>
      </c>
      <c r="M57" s="3" t="s">
        <v>481</v>
      </c>
      <c r="N57">
        <v>100</v>
      </c>
      <c r="R57" s="10">
        <f t="shared" si="7"/>
        <v>52650</v>
      </c>
      <c r="S57" t="str">
        <f t="shared" si="1"/>
        <v>'2044-02-23'</v>
      </c>
      <c r="T57">
        <f t="shared" si="8"/>
        <v>1</v>
      </c>
      <c r="U57">
        <f t="shared" si="2"/>
        <v>8</v>
      </c>
      <c r="V57">
        <f t="shared" si="3"/>
        <v>2044</v>
      </c>
      <c r="W57">
        <f t="shared" si="4"/>
        <v>2</v>
      </c>
      <c r="X57">
        <f t="shared" si="5"/>
        <v>23</v>
      </c>
      <c r="Y57">
        <f t="shared" si="6"/>
        <v>0</v>
      </c>
      <c r="AE57" s="2" t="str" cm="1">
        <f t="array" ref="AE57">CONCATENATE($AE$2,Liste(S57:U57),";")</f>
        <v>INSERT INTO WD_Workdays (CalendarDay, CalendarWeekday, CalendarWeek) VALUES ('2044-02-23', 1, 8);</v>
      </c>
      <c r="AF57" s="2"/>
      <c r="AG57" s="2" t="str" cm="1">
        <f t="array" ref="AG57">CONCATENATE($AG$2,Liste(L57:O57),";")</f>
        <v>INSERT INTO WD_Holidays (CalendarDay, Donation, Share) VALUES ('2018-01-01', 'Neujahr', 100);</v>
      </c>
    </row>
    <row r="58" spans="11:33" x14ac:dyDescent="0.45">
      <c r="K58" s="10">
        <v>43189</v>
      </c>
      <c r="L58" t="str">
        <f t="shared" si="11"/>
        <v>'2018-03-30'</v>
      </c>
      <c r="M58" s="3" t="s">
        <v>555</v>
      </c>
      <c r="N58">
        <v>100</v>
      </c>
      <c r="R58" s="10">
        <f t="shared" si="7"/>
        <v>52651</v>
      </c>
      <c r="S58" t="str">
        <f t="shared" si="1"/>
        <v>'2044-02-24'</v>
      </c>
      <c r="T58">
        <f t="shared" si="8"/>
        <v>2</v>
      </c>
      <c r="U58">
        <f t="shared" si="2"/>
        <v>8</v>
      </c>
      <c r="V58">
        <f t="shared" si="3"/>
        <v>2044</v>
      </c>
      <c r="W58">
        <f t="shared" si="4"/>
        <v>2</v>
      </c>
      <c r="X58">
        <f t="shared" si="5"/>
        <v>24</v>
      </c>
      <c r="Y58">
        <f t="shared" si="6"/>
        <v>0</v>
      </c>
      <c r="AE58" s="2" t="str" cm="1">
        <f t="array" ref="AE58">CONCATENATE($AE$2,Liste(S58:U58),";")</f>
        <v>INSERT INTO WD_Workdays (CalendarDay, CalendarWeekday, CalendarWeek) VALUES ('2044-02-24', 2, 8);</v>
      </c>
      <c r="AF58" s="2"/>
      <c r="AG58" s="2" t="str" cm="1">
        <f t="array" ref="AG58">CONCATENATE($AG$2,Liste(L58:O58),";")</f>
        <v>INSERT INTO WD_Holidays (CalendarDay, Donation, Share) VALUES ('2018-03-30', 'Karfreitag', 100);</v>
      </c>
    </row>
    <row r="59" spans="11:33" x14ac:dyDescent="0.45">
      <c r="K59" s="10">
        <v>43191</v>
      </c>
      <c r="L59" t="str">
        <f t="shared" si="11"/>
        <v>'2018-04-01'</v>
      </c>
      <c r="M59" s="3" t="s">
        <v>556</v>
      </c>
      <c r="N59">
        <v>100</v>
      </c>
      <c r="R59" s="10">
        <f t="shared" si="7"/>
        <v>52652</v>
      </c>
      <c r="S59" t="str">
        <f t="shared" si="1"/>
        <v>'2044-02-25'</v>
      </c>
      <c r="T59">
        <f t="shared" si="8"/>
        <v>3</v>
      </c>
      <c r="U59">
        <f t="shared" si="2"/>
        <v>8</v>
      </c>
      <c r="V59">
        <f t="shared" si="3"/>
        <v>2044</v>
      </c>
      <c r="W59">
        <f t="shared" si="4"/>
        <v>2</v>
      </c>
      <c r="X59">
        <f t="shared" si="5"/>
        <v>25</v>
      </c>
      <c r="Y59">
        <f t="shared" si="6"/>
        <v>0</v>
      </c>
      <c r="AE59" s="2" t="str" cm="1">
        <f t="array" ref="AE59">CONCATENATE($AE$2,Liste(S59:U59),";")</f>
        <v>INSERT INTO WD_Workdays (CalendarDay, CalendarWeekday, CalendarWeek) VALUES ('2044-02-25', 3, 8);</v>
      </c>
      <c r="AF59" s="2"/>
      <c r="AG59" s="2" t="str" cm="1">
        <f t="array" ref="AG59">CONCATENATE($AG$2,Liste(L59:O59),";")</f>
        <v>INSERT INTO WD_Holidays (CalendarDay, Donation, Share) VALUES ('2018-04-01', 'Ostersonntag', 100);</v>
      </c>
    </row>
    <row r="60" spans="11:33" x14ac:dyDescent="0.45">
      <c r="K60" s="10">
        <v>43192</v>
      </c>
      <c r="L60" t="str">
        <f t="shared" si="11"/>
        <v>'2018-04-02'</v>
      </c>
      <c r="M60" s="3" t="s">
        <v>557</v>
      </c>
      <c r="N60">
        <v>100</v>
      </c>
      <c r="R60" s="10">
        <f t="shared" si="7"/>
        <v>52653</v>
      </c>
      <c r="S60" t="str">
        <f t="shared" si="1"/>
        <v>'2044-02-26'</v>
      </c>
      <c r="T60">
        <f t="shared" si="8"/>
        <v>4</v>
      </c>
      <c r="U60">
        <f t="shared" si="2"/>
        <v>8</v>
      </c>
      <c r="V60">
        <f t="shared" si="3"/>
        <v>2044</v>
      </c>
      <c r="W60">
        <f t="shared" si="4"/>
        <v>2</v>
      </c>
      <c r="X60">
        <f t="shared" si="5"/>
        <v>26</v>
      </c>
      <c r="Y60">
        <f t="shared" si="6"/>
        <v>0</v>
      </c>
      <c r="AE60" s="2" t="str" cm="1">
        <f t="array" ref="AE60">CONCATENATE($AE$2,Liste(S60:U60),";")</f>
        <v>INSERT INTO WD_Workdays (CalendarDay, CalendarWeekday, CalendarWeek) VALUES ('2044-02-26', 4, 8);</v>
      </c>
      <c r="AF60" s="2"/>
      <c r="AG60" s="2" t="str" cm="1">
        <f t="array" ref="AG60">CONCATENATE($AG$2,Liste(L60:O60),";")</f>
        <v>INSERT INTO WD_Holidays (CalendarDay, Donation, Share) VALUES ('2018-04-02', 'Ostermontag', 100);</v>
      </c>
    </row>
    <row r="61" spans="11:33" x14ac:dyDescent="0.45">
      <c r="K61" s="10">
        <v>43221</v>
      </c>
      <c r="L61" t="str">
        <f t="shared" si="11"/>
        <v>'2018-05-01'</v>
      </c>
      <c r="M61" s="3" t="s">
        <v>558</v>
      </c>
      <c r="N61">
        <v>100</v>
      </c>
      <c r="R61" s="10">
        <f t="shared" si="7"/>
        <v>52654</v>
      </c>
      <c r="S61" t="str">
        <f t="shared" si="1"/>
        <v>'2044-02-27'</v>
      </c>
      <c r="T61">
        <f t="shared" si="8"/>
        <v>5</v>
      </c>
      <c r="U61">
        <f t="shared" si="2"/>
        <v>8</v>
      </c>
      <c r="V61">
        <f t="shared" si="3"/>
        <v>2044</v>
      </c>
      <c r="W61">
        <f t="shared" si="4"/>
        <v>2</v>
      </c>
      <c r="X61">
        <f t="shared" si="5"/>
        <v>27</v>
      </c>
      <c r="Y61">
        <f t="shared" si="6"/>
        <v>0</v>
      </c>
      <c r="AE61" s="2" t="str" cm="1">
        <f t="array" ref="AE61">CONCATENATE($AE$2,Liste(S61:U61),";")</f>
        <v>INSERT INTO WD_Workdays (CalendarDay, CalendarWeekday, CalendarWeek) VALUES ('2044-02-27', 5, 8);</v>
      </c>
      <c r="AF61" s="2"/>
      <c r="AG61" s="2" t="str" cm="1">
        <f t="array" ref="AG61">CONCATENATE($AG$2,Liste(L61:O61),";")</f>
        <v>INSERT INTO WD_Holidays (CalendarDay, Donation, Share) VALUES ('2018-05-01', 'Tag der Arbeit', 100);</v>
      </c>
    </row>
    <row r="62" spans="11:33" x14ac:dyDescent="0.45">
      <c r="K62" s="10">
        <v>43230</v>
      </c>
      <c r="L62" t="str">
        <f t="shared" si="11"/>
        <v>'2018-05-10'</v>
      </c>
      <c r="M62" s="3" t="s">
        <v>559</v>
      </c>
      <c r="N62">
        <v>100</v>
      </c>
      <c r="R62" s="10">
        <f t="shared" si="7"/>
        <v>52655</v>
      </c>
      <c r="S62" t="str">
        <f t="shared" si="1"/>
        <v>'2044-02-28'</v>
      </c>
      <c r="T62">
        <f t="shared" si="8"/>
        <v>6</v>
      </c>
      <c r="U62">
        <f t="shared" si="2"/>
        <v>8</v>
      </c>
      <c r="V62">
        <f t="shared" si="3"/>
        <v>2044</v>
      </c>
      <c r="W62">
        <f t="shared" si="4"/>
        <v>2</v>
      </c>
      <c r="X62">
        <f t="shared" si="5"/>
        <v>28</v>
      </c>
      <c r="Y62">
        <f t="shared" si="6"/>
        <v>0</v>
      </c>
      <c r="AE62" s="2" t="str" cm="1">
        <f t="array" ref="AE62">CONCATENATE($AE$2,Liste(S62:U62),";")</f>
        <v>INSERT INTO WD_Workdays (CalendarDay, CalendarWeekday, CalendarWeek) VALUES ('2044-02-28', 6, 8);</v>
      </c>
      <c r="AF62" s="2"/>
      <c r="AG62" s="2" t="str" cm="1">
        <f t="array" ref="AG62">CONCATENATE($AG$2,Liste(L62:O62),";")</f>
        <v>INSERT INTO WD_Holidays (CalendarDay, Donation, Share) VALUES ('2018-05-10', 'Christi Himmelfahrt', 100);</v>
      </c>
    </row>
    <row r="63" spans="11:33" x14ac:dyDescent="0.45">
      <c r="K63" s="10">
        <v>43240</v>
      </c>
      <c r="L63" t="str">
        <f t="shared" si="11"/>
        <v>'2018-05-20'</v>
      </c>
      <c r="M63" s="3" t="s">
        <v>779</v>
      </c>
      <c r="N63">
        <v>100</v>
      </c>
      <c r="R63" s="10">
        <f t="shared" si="7"/>
        <v>52656</v>
      </c>
      <c r="S63" t="str">
        <f t="shared" si="1"/>
        <v>'2044-02-29'</v>
      </c>
      <c r="T63">
        <f t="shared" si="8"/>
        <v>0</v>
      </c>
      <c r="U63">
        <f t="shared" si="2"/>
        <v>9</v>
      </c>
      <c r="V63">
        <f t="shared" si="3"/>
        <v>2044</v>
      </c>
      <c r="W63">
        <f t="shared" si="4"/>
        <v>2</v>
      </c>
      <c r="X63">
        <f t="shared" si="5"/>
        <v>29</v>
      </c>
      <c r="Y63">
        <f t="shared" si="6"/>
        <v>0</v>
      </c>
      <c r="AE63" s="2" t="str" cm="1">
        <f t="array" ref="AE63">CONCATENATE($AE$2,Liste(S63:U63),";")</f>
        <v>INSERT INTO WD_Workdays (CalendarDay, CalendarWeekday, CalendarWeek) VALUES ('2044-02-29', 0, 9);</v>
      </c>
      <c r="AF63" s="2"/>
      <c r="AG63" s="2" t="str" cm="1">
        <f t="array" ref="AG63">CONCATENATE($AG$2,Liste(L63:O63),";")</f>
        <v>INSERT INTO WD_Holidays (CalendarDay, Donation, Share) VALUES ('2018-05-20', 'Pfingstsonntag', 100);</v>
      </c>
    </row>
    <row r="64" spans="11:33" x14ac:dyDescent="0.45">
      <c r="K64" s="10">
        <v>43241</v>
      </c>
      <c r="L64" t="str">
        <f t="shared" si="11"/>
        <v>'2018-05-21'</v>
      </c>
      <c r="M64" s="3" t="s">
        <v>560</v>
      </c>
      <c r="N64">
        <v>100</v>
      </c>
      <c r="R64" s="10">
        <f t="shared" si="7"/>
        <v>52657</v>
      </c>
      <c r="S64" t="str">
        <f t="shared" si="1"/>
        <v>'2044-03-01'</v>
      </c>
      <c r="T64">
        <f t="shared" si="8"/>
        <v>1</v>
      </c>
      <c r="U64">
        <f t="shared" si="2"/>
        <v>9</v>
      </c>
      <c r="V64">
        <f t="shared" si="3"/>
        <v>2044</v>
      </c>
      <c r="W64">
        <f t="shared" si="4"/>
        <v>3</v>
      </c>
      <c r="X64">
        <f t="shared" si="5"/>
        <v>1</v>
      </c>
      <c r="Y64">
        <f t="shared" si="6"/>
        <v>0</v>
      </c>
      <c r="AE64" s="2" t="str" cm="1">
        <f t="array" ref="AE64">CONCATENATE($AE$2,Liste(S64:U64),";")</f>
        <v>INSERT INTO WD_Workdays (CalendarDay, CalendarWeekday, CalendarWeek) VALUES ('2044-03-01', 1, 9);</v>
      </c>
      <c r="AF64" s="2"/>
      <c r="AG64" s="2" t="str" cm="1">
        <f t="array" ref="AG64">CONCATENATE($AG$2,Liste(L64:O64),";")</f>
        <v>INSERT INTO WD_Holidays (CalendarDay, Donation, Share) VALUES ('2018-05-21', 'Pfingstmontag', 100);</v>
      </c>
    </row>
    <row r="65" spans="11:33" x14ac:dyDescent="0.45">
      <c r="K65" s="10">
        <v>43376</v>
      </c>
      <c r="L65" t="str">
        <f t="shared" si="11"/>
        <v>'2018-10-03'</v>
      </c>
      <c r="M65" s="3" t="s">
        <v>561</v>
      </c>
      <c r="N65">
        <v>100</v>
      </c>
      <c r="R65" s="10">
        <f t="shared" si="7"/>
        <v>52658</v>
      </c>
      <c r="S65" t="str">
        <f t="shared" si="1"/>
        <v>'2044-03-02'</v>
      </c>
      <c r="T65">
        <f t="shared" si="8"/>
        <v>2</v>
      </c>
      <c r="U65">
        <f t="shared" si="2"/>
        <v>9</v>
      </c>
      <c r="V65">
        <f t="shared" si="3"/>
        <v>2044</v>
      </c>
      <c r="W65">
        <f t="shared" si="4"/>
        <v>3</v>
      </c>
      <c r="X65">
        <f t="shared" si="5"/>
        <v>2</v>
      </c>
      <c r="Y65">
        <f t="shared" si="6"/>
        <v>0</v>
      </c>
      <c r="AE65" s="2" t="str" cm="1">
        <f t="array" ref="AE65">CONCATENATE($AE$2,Liste(S65:U65),";")</f>
        <v>INSERT INTO WD_Workdays (CalendarDay, CalendarWeekday, CalendarWeek) VALUES ('2044-03-02', 2, 9);</v>
      </c>
      <c r="AF65" s="2"/>
      <c r="AG65" s="2" t="str" cm="1">
        <f t="array" ref="AG65">CONCATENATE($AG$2,Liste(L65:O65),";")</f>
        <v>INSERT INTO WD_Holidays (CalendarDay, Donation, Share) VALUES ('2018-10-03', 'Tag der Deutschen Einheit', 100);</v>
      </c>
    </row>
    <row r="66" spans="11:33" x14ac:dyDescent="0.45">
      <c r="K66" s="10">
        <v>43458</v>
      </c>
      <c r="L66" t="str">
        <f t="shared" si="11"/>
        <v>'2018-12-24'</v>
      </c>
      <c r="M66" s="3" t="s">
        <v>562</v>
      </c>
      <c r="N66">
        <v>50</v>
      </c>
      <c r="R66" s="10">
        <f t="shared" si="7"/>
        <v>52659</v>
      </c>
      <c r="S66" t="str">
        <f t="shared" si="1"/>
        <v>'2044-03-03'</v>
      </c>
      <c r="T66">
        <f t="shared" si="8"/>
        <v>3</v>
      </c>
      <c r="U66">
        <f t="shared" si="2"/>
        <v>9</v>
      </c>
      <c r="V66">
        <f t="shared" si="3"/>
        <v>2044</v>
      </c>
      <c r="W66">
        <f t="shared" si="4"/>
        <v>3</v>
      </c>
      <c r="X66">
        <f t="shared" si="5"/>
        <v>3</v>
      </c>
      <c r="Y66">
        <f t="shared" si="6"/>
        <v>0</v>
      </c>
      <c r="AE66" s="2" t="str" cm="1">
        <f t="array" ref="AE66">CONCATENATE($AE$2,Liste(S66:U66),";")</f>
        <v>INSERT INTO WD_Workdays (CalendarDay, CalendarWeekday, CalendarWeek) VALUES ('2044-03-03', 3, 9);</v>
      </c>
      <c r="AF66" s="2"/>
      <c r="AG66" s="2" t="str" cm="1">
        <f t="array" ref="AG66">CONCATENATE($AG$2,Liste(L66:O66),";")</f>
        <v>INSERT INTO WD_Holidays (CalendarDay, Donation, Share) VALUES ('2018-12-24', 'Heiligabend', 50);</v>
      </c>
    </row>
    <row r="67" spans="11:33" x14ac:dyDescent="0.45">
      <c r="K67" s="10">
        <v>43459</v>
      </c>
      <c r="L67" t="str">
        <f t="shared" si="11"/>
        <v>'2018-12-25'</v>
      </c>
      <c r="M67" s="3" t="s">
        <v>563</v>
      </c>
      <c r="N67">
        <v>100</v>
      </c>
      <c r="R67" s="10">
        <f t="shared" si="7"/>
        <v>52660</v>
      </c>
      <c r="S67" t="str">
        <f t="shared" si="1"/>
        <v>'2044-03-04'</v>
      </c>
      <c r="T67">
        <f t="shared" si="8"/>
        <v>4</v>
      </c>
      <c r="U67">
        <f t="shared" si="2"/>
        <v>9</v>
      </c>
      <c r="V67">
        <f t="shared" si="3"/>
        <v>2044</v>
      </c>
      <c r="W67">
        <f t="shared" si="4"/>
        <v>3</v>
      </c>
      <c r="X67">
        <f t="shared" si="5"/>
        <v>4</v>
      </c>
      <c r="Y67">
        <f t="shared" si="6"/>
        <v>0</v>
      </c>
      <c r="AE67" s="2" t="str" cm="1">
        <f t="array" ref="AE67">CONCATENATE($AE$2,Liste(S67:U67),";")</f>
        <v>INSERT INTO WD_Workdays (CalendarDay, CalendarWeekday, CalendarWeek) VALUES ('2044-03-04', 4, 9);</v>
      </c>
      <c r="AF67" s="2"/>
      <c r="AG67" s="2" t="str" cm="1">
        <f t="array" ref="AG67">CONCATENATE($AG$2,Liste(L67:O67),";")</f>
        <v>INSERT INTO WD_Holidays (CalendarDay, Donation, Share) VALUES ('2018-12-25', '1. Weihnachtsfeiertag', 100);</v>
      </c>
    </row>
    <row r="68" spans="11:33" x14ac:dyDescent="0.45">
      <c r="K68" s="10">
        <v>43460</v>
      </c>
      <c r="L68" t="str">
        <f t="shared" si="11"/>
        <v>'2018-12-26'</v>
      </c>
      <c r="M68" s="3" t="s">
        <v>564</v>
      </c>
      <c r="N68">
        <v>100</v>
      </c>
      <c r="R68" s="10">
        <f t="shared" si="7"/>
        <v>52661</v>
      </c>
      <c r="S68" t="str">
        <f t="shared" si="1"/>
        <v>'2044-03-05'</v>
      </c>
      <c r="T68">
        <f t="shared" si="8"/>
        <v>5</v>
      </c>
      <c r="U68">
        <f t="shared" si="2"/>
        <v>9</v>
      </c>
      <c r="V68">
        <f t="shared" si="3"/>
        <v>2044</v>
      </c>
      <c r="W68">
        <f t="shared" si="4"/>
        <v>3</v>
      </c>
      <c r="X68">
        <f t="shared" si="5"/>
        <v>5</v>
      </c>
      <c r="Y68">
        <f t="shared" si="6"/>
        <v>0</v>
      </c>
      <c r="AE68" s="2" t="str" cm="1">
        <f t="array" ref="AE68">CONCATENATE($AE$2,Liste(S68:U68),";")</f>
        <v>INSERT INTO WD_Workdays (CalendarDay, CalendarWeekday, CalendarWeek) VALUES ('2044-03-05', 5, 9);</v>
      </c>
      <c r="AF68" s="2"/>
      <c r="AG68" s="2" t="str" cm="1">
        <f t="array" ref="AG68">CONCATENATE($AG$2,Liste(L68:O68),";")</f>
        <v>INSERT INTO WD_Holidays (CalendarDay, Donation, Share) VALUES ('2018-12-26', '2. Weihnachtsfeiertag', 100);</v>
      </c>
    </row>
    <row r="69" spans="11:33" x14ac:dyDescent="0.45">
      <c r="K69" s="10">
        <v>43465</v>
      </c>
      <c r="L69" t="str">
        <f t="shared" si="11"/>
        <v>'2018-12-31'</v>
      </c>
      <c r="M69" s="3" t="s">
        <v>565</v>
      </c>
      <c r="N69">
        <v>50</v>
      </c>
      <c r="R69" s="10">
        <f t="shared" si="7"/>
        <v>52662</v>
      </c>
      <c r="S69" t="str">
        <f t="shared" ref="S69:S132" si="12">CONCATENATE("'",TEXT(R69,"jjjj-MM-tt"),"'")</f>
        <v>'2044-03-06'</v>
      </c>
      <c r="T69">
        <f t="shared" ref="T69:T132" si="13">WEEKDAY(R69,3)</f>
        <v>6</v>
      </c>
      <c r="U69">
        <f t="shared" ref="U69:U132" si="14">_xlfn.ISOWEEKNUM(R69)</f>
        <v>9</v>
      </c>
      <c r="V69">
        <f t="shared" ref="V69:V132" si="15">YEAR(R69)</f>
        <v>2044</v>
      </c>
      <c r="W69">
        <f t="shared" ref="W69:W132" si="16">MONTH(R69)</f>
        <v>3</v>
      </c>
      <c r="X69">
        <f t="shared" ref="X69:X132" si="17">DAY(R69)</f>
        <v>6</v>
      </c>
      <c r="Y69">
        <f t="shared" ref="Y69:Y132" si="18">IF(AND(W69&gt;=1,W69&lt;=3),0,IF(AND(W69&gt;=4,W69&lt;=6),1,IF(AND(W69&gt;=7,W69&lt;=8),2,IF(AND(W69&gt;=9,W69&lt;=12),3,-1))))</f>
        <v>0</v>
      </c>
      <c r="AE69" s="2" t="str" cm="1">
        <f t="array" ref="AE69">CONCATENATE($AE$2,Liste(S69:U69),";")</f>
        <v>INSERT INTO WD_Workdays (CalendarDay, CalendarWeekday, CalendarWeek) VALUES ('2044-03-06', 6, 9);</v>
      </c>
      <c r="AF69" s="2"/>
      <c r="AG69" s="2" t="str" cm="1">
        <f t="array" ref="AG69">CONCATENATE($AG$2,Liste(L69:O69),";")</f>
        <v>INSERT INTO WD_Holidays (CalendarDay, Donation, Share) VALUES ('2018-12-31', 'Silvester', 50);</v>
      </c>
    </row>
    <row r="70" spans="11:33" x14ac:dyDescent="0.45">
      <c r="K70" s="10">
        <v>43466</v>
      </c>
      <c r="L70" t="str">
        <f t="shared" si="11"/>
        <v>'2019-01-01'</v>
      </c>
      <c r="M70" s="3" t="s">
        <v>481</v>
      </c>
      <c r="N70">
        <v>100</v>
      </c>
      <c r="R70" s="10">
        <f t="shared" ref="R70:R133" si="19">R69+1</f>
        <v>52663</v>
      </c>
      <c r="S70" t="str">
        <f t="shared" si="12"/>
        <v>'2044-03-07'</v>
      </c>
      <c r="T70">
        <f t="shared" si="13"/>
        <v>0</v>
      </c>
      <c r="U70">
        <f t="shared" si="14"/>
        <v>10</v>
      </c>
      <c r="V70">
        <f t="shared" si="15"/>
        <v>2044</v>
      </c>
      <c r="W70">
        <f t="shared" si="16"/>
        <v>3</v>
      </c>
      <c r="X70">
        <f t="shared" si="17"/>
        <v>7</v>
      </c>
      <c r="Y70">
        <f t="shared" si="18"/>
        <v>0</v>
      </c>
      <c r="AE70" s="2" t="str" cm="1">
        <f t="array" ref="AE70">CONCATENATE($AE$2,Liste(S70:U70),";")</f>
        <v>INSERT INTO WD_Workdays (CalendarDay, CalendarWeekday, CalendarWeek) VALUES ('2044-03-07', 0, 10);</v>
      </c>
      <c r="AF70" s="2"/>
      <c r="AG70" s="2" t="str" cm="1">
        <f t="array" ref="AG70">CONCATENATE($AG$2,Liste(L70:O70),";")</f>
        <v>INSERT INTO WD_Holidays (CalendarDay, Donation, Share) VALUES ('2019-01-01', 'Neujahr', 100);</v>
      </c>
    </row>
    <row r="71" spans="11:33" x14ac:dyDescent="0.45">
      <c r="K71" s="20">
        <v>43532</v>
      </c>
      <c r="L71" s="21" t="str">
        <f t="shared" ref="L71:L83" si="20">CONCATENATE("'",TEXT(K71,"jjjj-MM-tt"),"'")</f>
        <v>'2019-03-08'</v>
      </c>
      <c r="M71" s="22" t="s">
        <v>554</v>
      </c>
      <c r="N71" s="21">
        <v>100</v>
      </c>
      <c r="R71" s="10">
        <f t="shared" si="19"/>
        <v>52664</v>
      </c>
      <c r="S71" t="str">
        <f t="shared" si="12"/>
        <v>'2044-03-08'</v>
      </c>
      <c r="T71">
        <f t="shared" si="13"/>
        <v>1</v>
      </c>
      <c r="U71">
        <f t="shared" si="14"/>
        <v>10</v>
      </c>
      <c r="V71">
        <f t="shared" si="15"/>
        <v>2044</v>
      </c>
      <c r="W71">
        <f t="shared" si="16"/>
        <v>3</v>
      </c>
      <c r="X71">
        <f t="shared" si="17"/>
        <v>8</v>
      </c>
      <c r="Y71">
        <f t="shared" si="18"/>
        <v>0</v>
      </c>
      <c r="AE71" s="2" t="str" cm="1">
        <f t="array" ref="AE71">CONCATENATE($AE$2,Liste(S71:U71),";")</f>
        <v>INSERT INTO WD_Workdays (CalendarDay, CalendarWeekday, CalendarWeek) VALUES ('2044-03-08', 1, 10);</v>
      </c>
      <c r="AF71" s="2"/>
      <c r="AG71" s="2" t="str" cm="1">
        <f t="array" ref="AG71">CONCATENATE($AG$2,Liste(L71:O71),";")</f>
        <v>INSERT INTO WD_Holidays (CalendarDay, Donation, Share) VALUES ('2019-03-08', 'Internationaler Frauentag', 100);</v>
      </c>
    </row>
    <row r="72" spans="11:33" x14ac:dyDescent="0.45">
      <c r="K72" s="10">
        <v>43574</v>
      </c>
      <c r="L72" t="str">
        <f t="shared" si="20"/>
        <v>'2019-04-19'</v>
      </c>
      <c r="M72" s="3" t="s">
        <v>555</v>
      </c>
      <c r="N72">
        <v>100</v>
      </c>
      <c r="R72" s="10">
        <f t="shared" si="19"/>
        <v>52665</v>
      </c>
      <c r="S72" t="str">
        <f t="shared" si="12"/>
        <v>'2044-03-09'</v>
      </c>
      <c r="T72">
        <f t="shared" si="13"/>
        <v>2</v>
      </c>
      <c r="U72">
        <f t="shared" si="14"/>
        <v>10</v>
      </c>
      <c r="V72">
        <f t="shared" si="15"/>
        <v>2044</v>
      </c>
      <c r="W72">
        <f t="shared" si="16"/>
        <v>3</v>
      </c>
      <c r="X72">
        <f t="shared" si="17"/>
        <v>9</v>
      </c>
      <c r="Y72">
        <f t="shared" si="18"/>
        <v>0</v>
      </c>
      <c r="AE72" s="2" t="str" cm="1">
        <f t="array" ref="AE72">CONCATENATE($AE$2,Liste(S72:U72),";")</f>
        <v>INSERT INTO WD_Workdays (CalendarDay, CalendarWeekday, CalendarWeek) VALUES ('2044-03-09', 2, 10);</v>
      </c>
      <c r="AF72" s="2"/>
      <c r="AG72" s="2" t="str" cm="1">
        <f t="array" ref="AG72">CONCATENATE($AG$2,Liste(L72:O72),";")</f>
        <v>INSERT INTO WD_Holidays (CalendarDay, Donation, Share) VALUES ('2019-04-19', 'Karfreitag', 100);</v>
      </c>
    </row>
    <row r="73" spans="11:33" x14ac:dyDescent="0.45">
      <c r="K73" s="10">
        <v>43576</v>
      </c>
      <c r="L73" t="str">
        <f t="shared" si="20"/>
        <v>'2019-04-21'</v>
      </c>
      <c r="M73" s="3" t="s">
        <v>556</v>
      </c>
      <c r="N73">
        <v>100</v>
      </c>
      <c r="R73" s="10">
        <f t="shared" si="19"/>
        <v>52666</v>
      </c>
      <c r="S73" t="str">
        <f t="shared" si="12"/>
        <v>'2044-03-10'</v>
      </c>
      <c r="T73">
        <f t="shared" si="13"/>
        <v>3</v>
      </c>
      <c r="U73">
        <f t="shared" si="14"/>
        <v>10</v>
      </c>
      <c r="V73">
        <f t="shared" si="15"/>
        <v>2044</v>
      </c>
      <c r="W73">
        <f t="shared" si="16"/>
        <v>3</v>
      </c>
      <c r="X73">
        <f t="shared" si="17"/>
        <v>10</v>
      </c>
      <c r="Y73">
        <f t="shared" si="18"/>
        <v>0</v>
      </c>
      <c r="AE73" s="2" t="str" cm="1">
        <f t="array" ref="AE73">CONCATENATE($AE$2,Liste(S73:U73),";")</f>
        <v>INSERT INTO WD_Workdays (CalendarDay, CalendarWeekday, CalendarWeek) VALUES ('2044-03-10', 3, 10);</v>
      </c>
      <c r="AF73" s="2"/>
      <c r="AG73" s="2" t="str" cm="1">
        <f t="array" ref="AG73">CONCATENATE($AG$2,Liste(L73:O73),";")</f>
        <v>INSERT INTO WD_Holidays (CalendarDay, Donation, Share) VALUES ('2019-04-21', 'Ostersonntag', 100);</v>
      </c>
    </row>
    <row r="74" spans="11:33" x14ac:dyDescent="0.45">
      <c r="K74" s="10">
        <v>43577</v>
      </c>
      <c r="L74" t="str">
        <f t="shared" si="20"/>
        <v>'2019-04-22'</v>
      </c>
      <c r="M74" s="3" t="s">
        <v>557</v>
      </c>
      <c r="N74">
        <v>100</v>
      </c>
      <c r="R74" s="10">
        <f t="shared" si="19"/>
        <v>52667</v>
      </c>
      <c r="S74" t="str">
        <f t="shared" si="12"/>
        <v>'2044-03-11'</v>
      </c>
      <c r="T74">
        <f t="shared" si="13"/>
        <v>4</v>
      </c>
      <c r="U74">
        <f t="shared" si="14"/>
        <v>10</v>
      </c>
      <c r="V74">
        <f t="shared" si="15"/>
        <v>2044</v>
      </c>
      <c r="W74">
        <f t="shared" si="16"/>
        <v>3</v>
      </c>
      <c r="X74">
        <f t="shared" si="17"/>
        <v>11</v>
      </c>
      <c r="Y74">
        <f t="shared" si="18"/>
        <v>0</v>
      </c>
      <c r="AE74" s="2" t="str" cm="1">
        <f t="array" ref="AE74">CONCATENATE($AE$2,Liste(S74:U74),";")</f>
        <v>INSERT INTO WD_Workdays (CalendarDay, CalendarWeekday, CalendarWeek) VALUES ('2044-03-11', 4, 10);</v>
      </c>
      <c r="AF74" s="2"/>
      <c r="AG74" s="2" t="str" cm="1">
        <f t="array" ref="AG74">CONCATENATE($AG$2,Liste(L74:O74),";")</f>
        <v>INSERT INTO WD_Holidays (CalendarDay, Donation, Share) VALUES ('2019-04-22', 'Ostermontag', 100);</v>
      </c>
    </row>
    <row r="75" spans="11:33" x14ac:dyDescent="0.45">
      <c r="K75" s="10">
        <v>43586</v>
      </c>
      <c r="L75" t="str">
        <f t="shared" si="20"/>
        <v>'2019-05-01'</v>
      </c>
      <c r="M75" s="3" t="s">
        <v>558</v>
      </c>
      <c r="N75">
        <v>100</v>
      </c>
      <c r="R75" s="10">
        <f t="shared" si="19"/>
        <v>52668</v>
      </c>
      <c r="S75" t="str">
        <f t="shared" si="12"/>
        <v>'2044-03-12'</v>
      </c>
      <c r="T75">
        <f t="shared" si="13"/>
        <v>5</v>
      </c>
      <c r="U75">
        <f t="shared" si="14"/>
        <v>10</v>
      </c>
      <c r="V75">
        <f t="shared" si="15"/>
        <v>2044</v>
      </c>
      <c r="W75">
        <f t="shared" si="16"/>
        <v>3</v>
      </c>
      <c r="X75">
        <f t="shared" si="17"/>
        <v>12</v>
      </c>
      <c r="Y75">
        <f t="shared" si="18"/>
        <v>0</v>
      </c>
      <c r="AE75" s="2" t="str" cm="1">
        <f t="array" ref="AE75">CONCATENATE($AE$2,Liste(S75:U75),";")</f>
        <v>INSERT INTO WD_Workdays (CalendarDay, CalendarWeekday, CalendarWeek) VALUES ('2044-03-12', 5, 10);</v>
      </c>
      <c r="AF75" s="2"/>
      <c r="AG75" s="2" t="str" cm="1">
        <f t="array" ref="AG75">CONCATENATE($AG$2,Liste(L75:O75),";")</f>
        <v>INSERT INTO WD_Holidays (CalendarDay, Donation, Share) VALUES ('2019-05-01', 'Tag der Arbeit', 100);</v>
      </c>
    </row>
    <row r="76" spans="11:33" x14ac:dyDescent="0.45">
      <c r="K76" s="10">
        <v>43615</v>
      </c>
      <c r="L76" t="str">
        <f t="shared" si="20"/>
        <v>'2019-05-30'</v>
      </c>
      <c r="M76" s="3" t="s">
        <v>559</v>
      </c>
      <c r="N76">
        <v>100</v>
      </c>
      <c r="R76" s="10">
        <f t="shared" si="19"/>
        <v>52669</v>
      </c>
      <c r="S76" t="str">
        <f t="shared" si="12"/>
        <v>'2044-03-13'</v>
      </c>
      <c r="T76">
        <f t="shared" si="13"/>
        <v>6</v>
      </c>
      <c r="U76">
        <f t="shared" si="14"/>
        <v>10</v>
      </c>
      <c r="V76">
        <f t="shared" si="15"/>
        <v>2044</v>
      </c>
      <c r="W76">
        <f t="shared" si="16"/>
        <v>3</v>
      </c>
      <c r="X76">
        <f t="shared" si="17"/>
        <v>13</v>
      </c>
      <c r="Y76">
        <f t="shared" si="18"/>
        <v>0</v>
      </c>
      <c r="AE76" s="2" t="str" cm="1">
        <f t="array" ref="AE76">CONCATENATE($AE$2,Liste(S76:U76),";")</f>
        <v>INSERT INTO WD_Workdays (CalendarDay, CalendarWeekday, CalendarWeek) VALUES ('2044-03-13', 6, 10);</v>
      </c>
      <c r="AF76" s="2"/>
      <c r="AG76" s="2" t="str" cm="1">
        <f t="array" ref="AG76">CONCATENATE($AG$2,Liste(L76:O76),";")</f>
        <v>INSERT INTO WD_Holidays (CalendarDay, Donation, Share) VALUES ('2019-05-30', 'Christi Himmelfahrt', 100);</v>
      </c>
    </row>
    <row r="77" spans="11:33" x14ac:dyDescent="0.45">
      <c r="K77" s="10">
        <v>43625</v>
      </c>
      <c r="L77" t="str">
        <f t="shared" si="20"/>
        <v>'2019-06-09'</v>
      </c>
      <c r="M77" s="3" t="s">
        <v>779</v>
      </c>
      <c r="N77">
        <v>100</v>
      </c>
      <c r="R77" s="10">
        <f t="shared" si="19"/>
        <v>52670</v>
      </c>
      <c r="S77" t="str">
        <f t="shared" si="12"/>
        <v>'2044-03-14'</v>
      </c>
      <c r="T77">
        <f t="shared" si="13"/>
        <v>0</v>
      </c>
      <c r="U77">
        <f t="shared" si="14"/>
        <v>11</v>
      </c>
      <c r="V77">
        <f t="shared" si="15"/>
        <v>2044</v>
      </c>
      <c r="W77">
        <f t="shared" si="16"/>
        <v>3</v>
      </c>
      <c r="X77">
        <f t="shared" si="17"/>
        <v>14</v>
      </c>
      <c r="Y77">
        <f t="shared" si="18"/>
        <v>0</v>
      </c>
      <c r="AE77" s="2" t="str" cm="1">
        <f t="array" ref="AE77">CONCATENATE($AE$2,Liste(S77:U77),";")</f>
        <v>INSERT INTO WD_Workdays (CalendarDay, CalendarWeekday, CalendarWeek) VALUES ('2044-03-14', 0, 11);</v>
      </c>
      <c r="AF77" s="2"/>
      <c r="AG77" s="2" t="str" cm="1">
        <f t="array" ref="AG77">CONCATENATE($AG$2,Liste(L77:O77),";")</f>
        <v>INSERT INTO WD_Holidays (CalendarDay, Donation, Share) VALUES ('2019-06-09', 'Pfingstsonntag', 100);</v>
      </c>
    </row>
    <row r="78" spans="11:33" x14ac:dyDescent="0.45">
      <c r="K78" s="10">
        <v>43626</v>
      </c>
      <c r="L78" t="str">
        <f t="shared" si="20"/>
        <v>'2019-06-10'</v>
      </c>
      <c r="M78" s="3" t="s">
        <v>560</v>
      </c>
      <c r="N78">
        <v>100</v>
      </c>
      <c r="R78" s="10">
        <f t="shared" si="19"/>
        <v>52671</v>
      </c>
      <c r="S78" t="str">
        <f t="shared" si="12"/>
        <v>'2044-03-15'</v>
      </c>
      <c r="T78">
        <f t="shared" si="13"/>
        <v>1</v>
      </c>
      <c r="U78">
        <f t="shared" si="14"/>
        <v>11</v>
      </c>
      <c r="V78">
        <f t="shared" si="15"/>
        <v>2044</v>
      </c>
      <c r="W78">
        <f t="shared" si="16"/>
        <v>3</v>
      </c>
      <c r="X78">
        <f t="shared" si="17"/>
        <v>15</v>
      </c>
      <c r="Y78">
        <f t="shared" si="18"/>
        <v>0</v>
      </c>
      <c r="AE78" s="2" t="str" cm="1">
        <f t="array" ref="AE78">CONCATENATE($AE$2,Liste(S78:U78),";")</f>
        <v>INSERT INTO WD_Workdays (CalendarDay, CalendarWeekday, CalendarWeek) VALUES ('2044-03-15', 1, 11);</v>
      </c>
      <c r="AF78" s="2"/>
      <c r="AG78" s="2" t="str" cm="1">
        <f t="array" ref="AG78">CONCATENATE($AG$2,Liste(L78:O78),";")</f>
        <v>INSERT INTO WD_Holidays (CalendarDay, Donation, Share) VALUES ('2019-06-10', 'Pfingstmontag', 100);</v>
      </c>
    </row>
    <row r="79" spans="11:33" x14ac:dyDescent="0.45">
      <c r="K79" s="10">
        <v>43741</v>
      </c>
      <c r="L79" t="str">
        <f t="shared" si="20"/>
        <v>'2019-10-03'</v>
      </c>
      <c r="M79" s="3" t="s">
        <v>561</v>
      </c>
      <c r="N79">
        <v>100</v>
      </c>
      <c r="R79" s="10">
        <f t="shared" si="19"/>
        <v>52672</v>
      </c>
      <c r="S79" t="str">
        <f t="shared" si="12"/>
        <v>'2044-03-16'</v>
      </c>
      <c r="T79">
        <f t="shared" si="13"/>
        <v>2</v>
      </c>
      <c r="U79">
        <f t="shared" si="14"/>
        <v>11</v>
      </c>
      <c r="V79">
        <f t="shared" si="15"/>
        <v>2044</v>
      </c>
      <c r="W79">
        <f t="shared" si="16"/>
        <v>3</v>
      </c>
      <c r="X79">
        <f t="shared" si="17"/>
        <v>16</v>
      </c>
      <c r="Y79">
        <f t="shared" si="18"/>
        <v>0</v>
      </c>
      <c r="AE79" s="2" t="str" cm="1">
        <f t="array" ref="AE79">CONCATENATE($AE$2,Liste(S79:U79),";")</f>
        <v>INSERT INTO WD_Workdays (CalendarDay, CalendarWeekday, CalendarWeek) VALUES ('2044-03-16', 2, 11);</v>
      </c>
      <c r="AF79" s="2"/>
      <c r="AG79" s="2" t="str" cm="1">
        <f t="array" ref="AG79">CONCATENATE($AG$2,Liste(L79:O79),";")</f>
        <v>INSERT INTO WD_Holidays (CalendarDay, Donation, Share) VALUES ('2019-10-03', 'Tag der Deutschen Einheit', 100);</v>
      </c>
    </row>
    <row r="80" spans="11:33" x14ac:dyDescent="0.45">
      <c r="K80" s="10">
        <v>43823</v>
      </c>
      <c r="L80" t="str">
        <f t="shared" si="20"/>
        <v>'2019-12-24'</v>
      </c>
      <c r="M80" s="3" t="s">
        <v>562</v>
      </c>
      <c r="N80">
        <v>50</v>
      </c>
      <c r="R80" s="10">
        <f t="shared" si="19"/>
        <v>52673</v>
      </c>
      <c r="S80" t="str">
        <f t="shared" si="12"/>
        <v>'2044-03-17'</v>
      </c>
      <c r="T80">
        <f t="shared" si="13"/>
        <v>3</v>
      </c>
      <c r="U80">
        <f t="shared" si="14"/>
        <v>11</v>
      </c>
      <c r="V80">
        <f t="shared" si="15"/>
        <v>2044</v>
      </c>
      <c r="W80">
        <f t="shared" si="16"/>
        <v>3</v>
      </c>
      <c r="X80">
        <f t="shared" si="17"/>
        <v>17</v>
      </c>
      <c r="Y80">
        <f t="shared" si="18"/>
        <v>0</v>
      </c>
      <c r="AE80" s="2" t="str" cm="1">
        <f t="array" ref="AE80">CONCATENATE($AE$2,Liste(S80:U80),";")</f>
        <v>INSERT INTO WD_Workdays (CalendarDay, CalendarWeekday, CalendarWeek) VALUES ('2044-03-17', 3, 11);</v>
      </c>
      <c r="AF80" s="2"/>
      <c r="AG80" s="2" t="str" cm="1">
        <f t="array" ref="AG80">CONCATENATE($AG$2,Liste(L80:O80),";")</f>
        <v>INSERT INTO WD_Holidays (CalendarDay, Donation, Share) VALUES ('2019-12-24', 'Heiligabend', 50);</v>
      </c>
    </row>
    <row r="81" spans="11:33" x14ac:dyDescent="0.45">
      <c r="K81" s="10">
        <v>43521</v>
      </c>
      <c r="L81" t="str">
        <f t="shared" si="20"/>
        <v>'2019-02-25'</v>
      </c>
      <c r="M81" s="3" t="s">
        <v>563</v>
      </c>
      <c r="N81">
        <v>100</v>
      </c>
      <c r="R81" s="10">
        <f t="shared" si="19"/>
        <v>52674</v>
      </c>
      <c r="S81" t="str">
        <f t="shared" si="12"/>
        <v>'2044-03-18'</v>
      </c>
      <c r="T81">
        <f t="shared" si="13"/>
        <v>4</v>
      </c>
      <c r="U81">
        <f t="shared" si="14"/>
        <v>11</v>
      </c>
      <c r="V81">
        <f t="shared" si="15"/>
        <v>2044</v>
      </c>
      <c r="W81">
        <f t="shared" si="16"/>
        <v>3</v>
      </c>
      <c r="X81">
        <f t="shared" si="17"/>
        <v>18</v>
      </c>
      <c r="Y81">
        <f t="shared" si="18"/>
        <v>0</v>
      </c>
      <c r="AE81" s="2" t="str" cm="1">
        <f t="array" ref="AE81">CONCATENATE($AE$2,Liste(S81:U81),";")</f>
        <v>INSERT INTO WD_Workdays (CalendarDay, CalendarWeekday, CalendarWeek) VALUES ('2044-03-18', 4, 11);</v>
      </c>
      <c r="AF81" s="2"/>
      <c r="AG81" s="2" t="str" cm="1">
        <f t="array" ref="AG81">CONCATENATE($AG$2,Liste(L81:O81),";")</f>
        <v>INSERT INTO WD_Holidays (CalendarDay, Donation, Share) VALUES ('2019-02-25', '1. Weihnachtsfeiertag', 100);</v>
      </c>
    </row>
    <row r="82" spans="11:33" x14ac:dyDescent="0.45">
      <c r="K82" s="10">
        <v>43825</v>
      </c>
      <c r="L82" t="str">
        <f t="shared" si="20"/>
        <v>'2019-12-26'</v>
      </c>
      <c r="M82" s="3" t="s">
        <v>564</v>
      </c>
      <c r="N82">
        <v>100</v>
      </c>
      <c r="R82" s="10">
        <f t="shared" si="19"/>
        <v>52675</v>
      </c>
      <c r="S82" t="str">
        <f t="shared" si="12"/>
        <v>'2044-03-19'</v>
      </c>
      <c r="T82">
        <f t="shared" si="13"/>
        <v>5</v>
      </c>
      <c r="U82">
        <f t="shared" si="14"/>
        <v>11</v>
      </c>
      <c r="V82">
        <f t="shared" si="15"/>
        <v>2044</v>
      </c>
      <c r="W82">
        <f t="shared" si="16"/>
        <v>3</v>
      </c>
      <c r="X82">
        <f t="shared" si="17"/>
        <v>19</v>
      </c>
      <c r="Y82">
        <f t="shared" si="18"/>
        <v>0</v>
      </c>
      <c r="AE82" s="2" t="str" cm="1">
        <f t="array" ref="AE82">CONCATENATE($AE$2,Liste(S82:U82),";")</f>
        <v>INSERT INTO WD_Workdays (CalendarDay, CalendarWeekday, CalendarWeek) VALUES ('2044-03-19', 5, 11);</v>
      </c>
      <c r="AF82" s="2"/>
      <c r="AG82" s="2" t="str" cm="1">
        <f t="array" ref="AG82">CONCATENATE($AG$2,Liste(L82:O82),";")</f>
        <v>INSERT INTO WD_Holidays (CalendarDay, Donation, Share) VALUES ('2019-12-26', '2. Weihnachtsfeiertag', 100);</v>
      </c>
    </row>
    <row r="83" spans="11:33" x14ac:dyDescent="0.45">
      <c r="K83" s="10">
        <v>43830</v>
      </c>
      <c r="L83" t="str">
        <f t="shared" si="20"/>
        <v>'2019-12-31'</v>
      </c>
      <c r="M83" s="3" t="s">
        <v>565</v>
      </c>
      <c r="N83">
        <v>50</v>
      </c>
      <c r="R83" s="10">
        <f t="shared" si="19"/>
        <v>52676</v>
      </c>
      <c r="S83" t="str">
        <f t="shared" si="12"/>
        <v>'2044-03-20'</v>
      </c>
      <c r="T83">
        <f t="shared" si="13"/>
        <v>6</v>
      </c>
      <c r="U83">
        <f t="shared" si="14"/>
        <v>11</v>
      </c>
      <c r="V83">
        <f t="shared" si="15"/>
        <v>2044</v>
      </c>
      <c r="W83">
        <f t="shared" si="16"/>
        <v>3</v>
      </c>
      <c r="X83">
        <f t="shared" si="17"/>
        <v>20</v>
      </c>
      <c r="Y83">
        <f t="shared" si="18"/>
        <v>0</v>
      </c>
      <c r="AE83" s="2" t="str" cm="1">
        <f t="array" ref="AE83">CONCATENATE($AE$2,Liste(S83:U83),";")</f>
        <v>INSERT INTO WD_Workdays (CalendarDay, CalendarWeekday, CalendarWeek) VALUES ('2044-03-20', 6, 11);</v>
      </c>
      <c r="AF83" s="2"/>
      <c r="AG83" s="2" t="str" cm="1">
        <f t="array" ref="AG83">CONCATENATE($AG$2,Liste(L83:O83),";")</f>
        <v>INSERT INTO WD_Holidays (CalendarDay, Donation, Share) VALUES ('2019-12-31', 'Silvester', 50);</v>
      </c>
    </row>
    <row r="84" spans="11:33" x14ac:dyDescent="0.45">
      <c r="K84" s="10">
        <v>43831</v>
      </c>
      <c r="L84" t="str">
        <f>CONCATENATE("'",TEXT(K84,"jjjj-MM-tt"),"'")</f>
        <v>'2020-01-01'</v>
      </c>
      <c r="M84" s="3" t="s">
        <v>481</v>
      </c>
      <c r="N84">
        <v>100</v>
      </c>
      <c r="R84" s="10">
        <f t="shared" si="19"/>
        <v>52677</v>
      </c>
      <c r="S84" t="str">
        <f t="shared" si="12"/>
        <v>'2044-03-21'</v>
      </c>
      <c r="T84">
        <f t="shared" si="13"/>
        <v>0</v>
      </c>
      <c r="U84">
        <f t="shared" si="14"/>
        <v>12</v>
      </c>
      <c r="V84">
        <f t="shared" si="15"/>
        <v>2044</v>
      </c>
      <c r="W84">
        <f t="shared" si="16"/>
        <v>3</v>
      </c>
      <c r="X84">
        <f t="shared" si="17"/>
        <v>21</v>
      </c>
      <c r="Y84">
        <f t="shared" si="18"/>
        <v>0</v>
      </c>
      <c r="AE84" s="2" t="str" cm="1">
        <f t="array" ref="AE84">CONCATENATE($AE$2,Liste(S84:U84),";")</f>
        <v>INSERT INTO WD_Workdays (CalendarDay, CalendarWeekday, CalendarWeek) VALUES ('2044-03-21', 0, 12);</v>
      </c>
      <c r="AF84" s="2"/>
      <c r="AG84" s="2" t="str" cm="1">
        <f t="array" ref="AG84">CONCATENATE($AG$2,Liste(L84:O84),";")</f>
        <v>INSERT INTO WD_Holidays (CalendarDay, Donation, Share) VALUES ('2020-01-01', 'Neujahr', 100);</v>
      </c>
    </row>
    <row r="85" spans="11:33" x14ac:dyDescent="0.45">
      <c r="K85" s="10">
        <v>43898</v>
      </c>
      <c r="L85" t="str">
        <f t="shared" ref="L85:L90" si="21">CONCATENATE("'",TEXT(K85,"jjjj-MM-tt"),"'")</f>
        <v>'2020-03-08'</v>
      </c>
      <c r="M85" s="3" t="s">
        <v>554</v>
      </c>
      <c r="N85">
        <v>100</v>
      </c>
      <c r="R85" s="10">
        <f t="shared" si="19"/>
        <v>52678</v>
      </c>
      <c r="S85" t="str">
        <f t="shared" si="12"/>
        <v>'2044-03-22'</v>
      </c>
      <c r="T85">
        <f t="shared" si="13"/>
        <v>1</v>
      </c>
      <c r="U85">
        <f t="shared" si="14"/>
        <v>12</v>
      </c>
      <c r="V85">
        <f t="shared" si="15"/>
        <v>2044</v>
      </c>
      <c r="W85">
        <f t="shared" si="16"/>
        <v>3</v>
      </c>
      <c r="X85">
        <f t="shared" si="17"/>
        <v>22</v>
      </c>
      <c r="Y85">
        <f t="shared" si="18"/>
        <v>0</v>
      </c>
      <c r="AE85" s="2" t="str" cm="1">
        <f t="array" ref="AE85">CONCATENATE($AE$2,Liste(S85:U85),";")</f>
        <v>INSERT INTO WD_Workdays (CalendarDay, CalendarWeekday, CalendarWeek) VALUES ('2044-03-22', 1, 12);</v>
      </c>
      <c r="AF85" s="2"/>
      <c r="AG85" s="2" t="str" cm="1">
        <f t="array" ref="AG85">CONCATENATE($AG$2,Liste(L85:O85),";")</f>
        <v>INSERT INTO WD_Holidays (CalendarDay, Donation, Share) VALUES ('2020-03-08', 'Internationaler Frauentag', 100);</v>
      </c>
    </row>
    <row r="86" spans="11:33" x14ac:dyDescent="0.45">
      <c r="K86" s="10">
        <v>43931</v>
      </c>
      <c r="L86" t="str">
        <f t="shared" si="21"/>
        <v>'2020-04-10'</v>
      </c>
      <c r="M86" s="3" t="s">
        <v>555</v>
      </c>
      <c r="N86">
        <v>100</v>
      </c>
      <c r="R86" s="10">
        <f t="shared" si="19"/>
        <v>52679</v>
      </c>
      <c r="S86" t="str">
        <f t="shared" si="12"/>
        <v>'2044-03-23'</v>
      </c>
      <c r="T86">
        <f t="shared" si="13"/>
        <v>2</v>
      </c>
      <c r="U86">
        <f t="shared" si="14"/>
        <v>12</v>
      </c>
      <c r="V86">
        <f t="shared" si="15"/>
        <v>2044</v>
      </c>
      <c r="W86">
        <f t="shared" si="16"/>
        <v>3</v>
      </c>
      <c r="X86">
        <f t="shared" si="17"/>
        <v>23</v>
      </c>
      <c r="Y86">
        <f t="shared" si="18"/>
        <v>0</v>
      </c>
      <c r="AE86" s="2" t="str" cm="1">
        <f t="array" ref="AE86">CONCATENATE($AE$2,Liste(S86:U86),";")</f>
        <v>INSERT INTO WD_Workdays (CalendarDay, CalendarWeekday, CalendarWeek) VALUES ('2044-03-23', 2, 12);</v>
      </c>
      <c r="AF86" s="2"/>
      <c r="AG86" s="2" t="str" cm="1">
        <f t="array" ref="AG86">CONCATENATE($AG$2,Liste(L86:O86),";")</f>
        <v>INSERT INTO WD_Holidays (CalendarDay, Donation, Share) VALUES ('2020-04-10', 'Karfreitag', 100);</v>
      </c>
    </row>
    <row r="87" spans="11:33" x14ac:dyDescent="0.45">
      <c r="K87" s="10">
        <v>43933</v>
      </c>
      <c r="L87" t="str">
        <f t="shared" si="21"/>
        <v>'2020-04-12'</v>
      </c>
      <c r="M87" s="3" t="s">
        <v>556</v>
      </c>
      <c r="N87">
        <v>100</v>
      </c>
      <c r="R87" s="10">
        <f t="shared" si="19"/>
        <v>52680</v>
      </c>
      <c r="S87" t="str">
        <f t="shared" si="12"/>
        <v>'2044-03-24'</v>
      </c>
      <c r="T87">
        <f t="shared" si="13"/>
        <v>3</v>
      </c>
      <c r="U87">
        <f t="shared" si="14"/>
        <v>12</v>
      </c>
      <c r="V87">
        <f t="shared" si="15"/>
        <v>2044</v>
      </c>
      <c r="W87">
        <f t="shared" si="16"/>
        <v>3</v>
      </c>
      <c r="X87">
        <f t="shared" si="17"/>
        <v>24</v>
      </c>
      <c r="Y87">
        <f t="shared" si="18"/>
        <v>0</v>
      </c>
      <c r="AE87" s="2" t="str" cm="1">
        <f t="array" ref="AE87">CONCATENATE($AE$2,Liste(S87:U87),";")</f>
        <v>INSERT INTO WD_Workdays (CalendarDay, CalendarWeekday, CalendarWeek) VALUES ('2044-03-24', 3, 12);</v>
      </c>
      <c r="AF87" s="2"/>
      <c r="AG87" s="2" t="str" cm="1">
        <f t="array" ref="AG87">CONCATENATE($AG$2,Liste(L87:O87),";")</f>
        <v>INSERT INTO WD_Holidays (CalendarDay, Donation, Share) VALUES ('2020-04-12', 'Ostersonntag', 100);</v>
      </c>
    </row>
    <row r="88" spans="11:33" x14ac:dyDescent="0.45">
      <c r="K88" s="10">
        <v>43934</v>
      </c>
      <c r="L88" t="str">
        <f t="shared" si="21"/>
        <v>'2020-04-13'</v>
      </c>
      <c r="M88" s="3" t="s">
        <v>557</v>
      </c>
      <c r="N88">
        <v>100</v>
      </c>
      <c r="R88" s="10">
        <f t="shared" si="19"/>
        <v>52681</v>
      </c>
      <c r="S88" t="str">
        <f t="shared" si="12"/>
        <v>'2044-03-25'</v>
      </c>
      <c r="T88">
        <f t="shared" si="13"/>
        <v>4</v>
      </c>
      <c r="U88">
        <f t="shared" si="14"/>
        <v>12</v>
      </c>
      <c r="V88">
        <f t="shared" si="15"/>
        <v>2044</v>
      </c>
      <c r="W88">
        <f t="shared" si="16"/>
        <v>3</v>
      </c>
      <c r="X88">
        <f t="shared" si="17"/>
        <v>25</v>
      </c>
      <c r="Y88">
        <f t="shared" si="18"/>
        <v>0</v>
      </c>
      <c r="AE88" s="2" t="str" cm="1">
        <f t="array" ref="AE88">CONCATENATE($AE$2,Liste(S88:U88),";")</f>
        <v>INSERT INTO WD_Workdays (CalendarDay, CalendarWeekday, CalendarWeek) VALUES ('2044-03-25', 4, 12);</v>
      </c>
      <c r="AF88" s="2"/>
      <c r="AG88" s="2" t="str" cm="1">
        <f t="array" ref="AG88">CONCATENATE($AG$2,Liste(L88:O88),";")</f>
        <v>INSERT INTO WD_Holidays (CalendarDay, Donation, Share) VALUES ('2020-04-13', 'Ostermontag', 100);</v>
      </c>
    </row>
    <row r="89" spans="11:33" x14ac:dyDescent="0.45">
      <c r="K89" s="10">
        <v>43952</v>
      </c>
      <c r="L89" t="str">
        <f t="shared" si="21"/>
        <v>'2020-05-01'</v>
      </c>
      <c r="M89" s="3" t="s">
        <v>558</v>
      </c>
      <c r="N89">
        <v>100</v>
      </c>
      <c r="R89" s="10">
        <f t="shared" si="19"/>
        <v>52682</v>
      </c>
      <c r="S89" t="str">
        <f t="shared" si="12"/>
        <v>'2044-03-26'</v>
      </c>
      <c r="T89">
        <f t="shared" si="13"/>
        <v>5</v>
      </c>
      <c r="U89">
        <f t="shared" si="14"/>
        <v>12</v>
      </c>
      <c r="V89">
        <f t="shared" si="15"/>
        <v>2044</v>
      </c>
      <c r="W89">
        <f t="shared" si="16"/>
        <v>3</v>
      </c>
      <c r="X89">
        <f t="shared" si="17"/>
        <v>26</v>
      </c>
      <c r="Y89">
        <f t="shared" si="18"/>
        <v>0</v>
      </c>
      <c r="AE89" s="2" t="str" cm="1">
        <f t="array" ref="AE89">CONCATENATE($AE$2,Liste(S89:U89),";")</f>
        <v>INSERT INTO WD_Workdays (CalendarDay, CalendarWeekday, CalendarWeek) VALUES ('2044-03-26', 5, 12);</v>
      </c>
      <c r="AF89" s="2"/>
      <c r="AG89" s="2" t="str" cm="1">
        <f t="array" ref="AG89">CONCATENATE($AG$2,Liste(L89:O89),";")</f>
        <v>INSERT INTO WD_Holidays (CalendarDay, Donation, Share) VALUES ('2020-05-01', 'Tag der Arbeit', 100);</v>
      </c>
    </row>
    <row r="90" spans="11:33" x14ac:dyDescent="0.45">
      <c r="K90" s="20">
        <v>43959</v>
      </c>
      <c r="L90" s="21" t="str">
        <f t="shared" si="21"/>
        <v>'2020-05-08'</v>
      </c>
      <c r="M90" s="22" t="s">
        <v>952</v>
      </c>
      <c r="N90" s="21">
        <v>100</v>
      </c>
      <c r="R90" s="10">
        <f t="shared" si="19"/>
        <v>52683</v>
      </c>
      <c r="S90" t="str">
        <f t="shared" si="12"/>
        <v>'2044-03-27'</v>
      </c>
      <c r="T90">
        <f t="shared" si="13"/>
        <v>6</v>
      </c>
      <c r="U90">
        <f t="shared" si="14"/>
        <v>12</v>
      </c>
      <c r="V90">
        <f t="shared" si="15"/>
        <v>2044</v>
      </c>
      <c r="W90">
        <f t="shared" si="16"/>
        <v>3</v>
      </c>
      <c r="X90">
        <f t="shared" si="17"/>
        <v>27</v>
      </c>
      <c r="Y90">
        <f t="shared" si="18"/>
        <v>0</v>
      </c>
      <c r="AE90" s="2" t="str" cm="1">
        <f t="array" ref="AE90">CONCATENATE($AE$2,Liste(S90:U90),";")</f>
        <v>INSERT INTO WD_Workdays (CalendarDay, CalendarWeekday, CalendarWeek) VALUES ('2044-03-27', 6, 12);</v>
      </c>
      <c r="AF90" s="2"/>
      <c r="AG90" s="2" t="str" cm="1">
        <f t="array" ref="AG90">CONCATENATE($AG$2,Liste(L90:O90),";")</f>
        <v>INSERT INTO WD_Holidays (CalendarDay, Donation, Share) VALUES ('2020-05-08', 'Befreiung vom Nationalsozialismus', 100);</v>
      </c>
    </row>
    <row r="91" spans="11:33" x14ac:dyDescent="0.45">
      <c r="K91" s="10">
        <v>43972</v>
      </c>
      <c r="L91" t="str">
        <f t="shared" ref="L91:L99" si="22">CONCATENATE("'",TEXT(K91,"jjjj-MM-tt"),"'")</f>
        <v>'2020-05-21'</v>
      </c>
      <c r="M91" s="3" t="s">
        <v>559</v>
      </c>
      <c r="N91">
        <v>100</v>
      </c>
      <c r="R91" s="10">
        <f t="shared" si="19"/>
        <v>52684</v>
      </c>
      <c r="S91" t="str">
        <f t="shared" si="12"/>
        <v>'2044-03-28'</v>
      </c>
      <c r="T91">
        <f t="shared" si="13"/>
        <v>0</v>
      </c>
      <c r="U91">
        <f t="shared" si="14"/>
        <v>13</v>
      </c>
      <c r="V91">
        <f t="shared" si="15"/>
        <v>2044</v>
      </c>
      <c r="W91">
        <f t="shared" si="16"/>
        <v>3</v>
      </c>
      <c r="X91">
        <f t="shared" si="17"/>
        <v>28</v>
      </c>
      <c r="Y91">
        <f t="shared" si="18"/>
        <v>0</v>
      </c>
      <c r="AE91" s="2" t="str" cm="1">
        <f t="array" ref="AE91">CONCATENATE($AE$2,Liste(S91:U91),";")</f>
        <v>INSERT INTO WD_Workdays (CalendarDay, CalendarWeekday, CalendarWeek) VALUES ('2044-03-28', 0, 13);</v>
      </c>
      <c r="AF91" s="2"/>
      <c r="AG91" s="2" t="str" cm="1">
        <f t="array" ref="AG91">CONCATENATE($AG$2,Liste(L91:O91),";")</f>
        <v>INSERT INTO WD_Holidays (CalendarDay, Donation, Share) VALUES ('2020-05-21', 'Christi Himmelfahrt', 100);</v>
      </c>
    </row>
    <row r="92" spans="11:33" x14ac:dyDescent="0.45">
      <c r="K92" s="10">
        <v>43982</v>
      </c>
      <c r="L92" t="str">
        <f t="shared" si="22"/>
        <v>'2020-05-31'</v>
      </c>
      <c r="M92" s="3" t="s">
        <v>779</v>
      </c>
      <c r="N92">
        <v>100</v>
      </c>
      <c r="R92" s="10">
        <f t="shared" si="19"/>
        <v>52685</v>
      </c>
      <c r="S92" t="str">
        <f t="shared" si="12"/>
        <v>'2044-03-29'</v>
      </c>
      <c r="T92">
        <f t="shared" si="13"/>
        <v>1</v>
      </c>
      <c r="U92">
        <f t="shared" si="14"/>
        <v>13</v>
      </c>
      <c r="V92">
        <f t="shared" si="15"/>
        <v>2044</v>
      </c>
      <c r="W92">
        <f t="shared" si="16"/>
        <v>3</v>
      </c>
      <c r="X92">
        <f t="shared" si="17"/>
        <v>29</v>
      </c>
      <c r="Y92">
        <f t="shared" si="18"/>
        <v>0</v>
      </c>
      <c r="AE92" s="2" t="str" cm="1">
        <f t="array" ref="AE92">CONCATENATE($AE$2,Liste(S92:U92),";")</f>
        <v>INSERT INTO WD_Workdays (CalendarDay, CalendarWeekday, CalendarWeek) VALUES ('2044-03-29', 1, 13);</v>
      </c>
      <c r="AF92" s="2"/>
      <c r="AG92" s="2" t="str" cm="1">
        <f t="array" ref="AG92">CONCATENATE($AG$2,Liste(L92:O92),";")</f>
        <v>INSERT INTO WD_Holidays (CalendarDay, Donation, Share) VALUES ('2020-05-31', 'Pfingstsonntag', 100);</v>
      </c>
    </row>
    <row r="93" spans="11:33" x14ac:dyDescent="0.45">
      <c r="K93" s="10">
        <v>43983</v>
      </c>
      <c r="L93" t="str">
        <f t="shared" si="22"/>
        <v>'2020-06-01'</v>
      </c>
      <c r="M93" s="3" t="s">
        <v>560</v>
      </c>
      <c r="N93">
        <v>100</v>
      </c>
      <c r="R93" s="10">
        <f t="shared" si="19"/>
        <v>52686</v>
      </c>
      <c r="S93" t="str">
        <f t="shared" si="12"/>
        <v>'2044-03-30'</v>
      </c>
      <c r="T93">
        <f t="shared" si="13"/>
        <v>2</v>
      </c>
      <c r="U93">
        <f t="shared" si="14"/>
        <v>13</v>
      </c>
      <c r="V93">
        <f t="shared" si="15"/>
        <v>2044</v>
      </c>
      <c r="W93">
        <f t="shared" si="16"/>
        <v>3</v>
      </c>
      <c r="X93">
        <f t="shared" si="17"/>
        <v>30</v>
      </c>
      <c r="Y93">
        <f t="shared" si="18"/>
        <v>0</v>
      </c>
      <c r="AE93" s="2" t="str" cm="1">
        <f t="array" ref="AE93">CONCATENATE($AE$2,Liste(S93:U93),";")</f>
        <v>INSERT INTO WD_Workdays (CalendarDay, CalendarWeekday, CalendarWeek) VALUES ('2044-03-30', 2, 13);</v>
      </c>
      <c r="AF93" s="2"/>
      <c r="AG93" s="2" t="str" cm="1">
        <f t="array" ref="AG93">CONCATENATE($AG$2,Liste(L93:O93),";")</f>
        <v>INSERT INTO WD_Holidays (CalendarDay, Donation, Share) VALUES ('2020-06-01', 'Pfingstmontag', 100);</v>
      </c>
    </row>
    <row r="94" spans="11:33" x14ac:dyDescent="0.45">
      <c r="K94" s="10">
        <v>44107</v>
      </c>
      <c r="L94" t="str">
        <f t="shared" si="22"/>
        <v>'2020-10-03'</v>
      </c>
      <c r="M94" s="3" t="s">
        <v>561</v>
      </c>
      <c r="N94">
        <v>100</v>
      </c>
      <c r="R94" s="10">
        <f t="shared" si="19"/>
        <v>52687</v>
      </c>
      <c r="S94" t="str">
        <f t="shared" si="12"/>
        <v>'2044-03-31'</v>
      </c>
      <c r="T94">
        <f t="shared" si="13"/>
        <v>3</v>
      </c>
      <c r="U94">
        <f t="shared" si="14"/>
        <v>13</v>
      </c>
      <c r="V94">
        <f t="shared" si="15"/>
        <v>2044</v>
      </c>
      <c r="W94">
        <f t="shared" si="16"/>
        <v>3</v>
      </c>
      <c r="X94">
        <f t="shared" si="17"/>
        <v>31</v>
      </c>
      <c r="Y94">
        <f t="shared" si="18"/>
        <v>0</v>
      </c>
      <c r="AE94" s="2" t="str" cm="1">
        <f t="array" ref="AE94">CONCATENATE($AE$2,Liste(S94:U94),";")</f>
        <v>INSERT INTO WD_Workdays (CalendarDay, CalendarWeekday, CalendarWeek) VALUES ('2044-03-31', 3, 13);</v>
      </c>
      <c r="AF94" s="2"/>
      <c r="AG94" s="2" t="str" cm="1">
        <f t="array" ref="AG94">CONCATENATE($AG$2,Liste(L94:O94),";")</f>
        <v>INSERT INTO WD_Holidays (CalendarDay, Donation, Share) VALUES ('2020-10-03', 'Tag der Deutschen Einheit', 100);</v>
      </c>
    </row>
    <row r="95" spans="11:33" x14ac:dyDescent="0.45">
      <c r="K95" s="10">
        <v>44189</v>
      </c>
      <c r="L95" t="str">
        <f t="shared" si="22"/>
        <v>'2020-12-24'</v>
      </c>
      <c r="M95" s="3" t="s">
        <v>562</v>
      </c>
      <c r="N95">
        <v>50</v>
      </c>
      <c r="R95" s="10">
        <f t="shared" si="19"/>
        <v>52688</v>
      </c>
      <c r="S95" t="str">
        <f t="shared" si="12"/>
        <v>'2044-04-01'</v>
      </c>
      <c r="T95">
        <f t="shared" si="13"/>
        <v>4</v>
      </c>
      <c r="U95">
        <f t="shared" si="14"/>
        <v>13</v>
      </c>
      <c r="V95">
        <f t="shared" si="15"/>
        <v>2044</v>
      </c>
      <c r="W95">
        <f t="shared" si="16"/>
        <v>4</v>
      </c>
      <c r="X95">
        <f t="shared" si="17"/>
        <v>1</v>
      </c>
      <c r="Y95">
        <f t="shared" si="18"/>
        <v>1</v>
      </c>
      <c r="AE95" s="2" t="str" cm="1">
        <f t="array" ref="AE95">CONCATENATE($AE$2,Liste(S95:U95),";")</f>
        <v>INSERT INTO WD_Workdays (CalendarDay, CalendarWeekday, CalendarWeek) VALUES ('2044-04-01', 4, 13);</v>
      </c>
      <c r="AF95" s="2"/>
      <c r="AG95" s="2" t="str" cm="1">
        <f t="array" ref="AG95">CONCATENATE($AG$2,Liste(L95:O95),";")</f>
        <v>INSERT INTO WD_Holidays (CalendarDay, Donation, Share) VALUES ('2020-12-24', 'Heiligabend', 50);</v>
      </c>
    </row>
    <row r="96" spans="11:33" x14ac:dyDescent="0.45">
      <c r="K96" s="10">
        <v>44190</v>
      </c>
      <c r="L96" t="str">
        <f t="shared" si="22"/>
        <v>'2020-12-25'</v>
      </c>
      <c r="M96" s="3" t="s">
        <v>563</v>
      </c>
      <c r="N96">
        <v>100</v>
      </c>
      <c r="R96" s="10">
        <f t="shared" si="19"/>
        <v>52689</v>
      </c>
      <c r="S96" t="str">
        <f t="shared" si="12"/>
        <v>'2044-04-02'</v>
      </c>
      <c r="T96">
        <f t="shared" si="13"/>
        <v>5</v>
      </c>
      <c r="U96">
        <f t="shared" si="14"/>
        <v>13</v>
      </c>
      <c r="V96">
        <f t="shared" si="15"/>
        <v>2044</v>
      </c>
      <c r="W96">
        <f t="shared" si="16"/>
        <v>4</v>
      </c>
      <c r="X96">
        <f t="shared" si="17"/>
        <v>2</v>
      </c>
      <c r="Y96">
        <f t="shared" si="18"/>
        <v>1</v>
      </c>
      <c r="AE96" s="2" t="str" cm="1">
        <f t="array" ref="AE96">CONCATENATE($AE$2,Liste(S96:U96),";")</f>
        <v>INSERT INTO WD_Workdays (CalendarDay, CalendarWeekday, CalendarWeek) VALUES ('2044-04-02', 5, 13);</v>
      </c>
      <c r="AF96" s="2"/>
      <c r="AG96" s="2" t="str" cm="1">
        <f t="array" ref="AG96">CONCATENATE($AG$2,Liste(L96:O96),";")</f>
        <v>INSERT INTO WD_Holidays (CalendarDay, Donation, Share) VALUES ('2020-12-25', '1. Weihnachtsfeiertag', 100);</v>
      </c>
    </row>
    <row r="97" spans="11:33" x14ac:dyDescent="0.45">
      <c r="K97" s="10">
        <v>44191</v>
      </c>
      <c r="L97" t="str">
        <f t="shared" si="22"/>
        <v>'2020-12-26'</v>
      </c>
      <c r="M97" s="3" t="s">
        <v>564</v>
      </c>
      <c r="N97">
        <v>100</v>
      </c>
      <c r="R97" s="10">
        <f t="shared" si="19"/>
        <v>52690</v>
      </c>
      <c r="S97" t="str">
        <f t="shared" si="12"/>
        <v>'2044-04-03'</v>
      </c>
      <c r="T97">
        <f t="shared" si="13"/>
        <v>6</v>
      </c>
      <c r="U97">
        <f t="shared" si="14"/>
        <v>13</v>
      </c>
      <c r="V97">
        <f t="shared" si="15"/>
        <v>2044</v>
      </c>
      <c r="W97">
        <f t="shared" si="16"/>
        <v>4</v>
      </c>
      <c r="X97">
        <f t="shared" si="17"/>
        <v>3</v>
      </c>
      <c r="Y97">
        <f t="shared" si="18"/>
        <v>1</v>
      </c>
      <c r="AE97" s="2" t="str" cm="1">
        <f t="array" ref="AE97">CONCATENATE($AE$2,Liste(S97:U97),";")</f>
        <v>INSERT INTO WD_Workdays (CalendarDay, CalendarWeekday, CalendarWeek) VALUES ('2044-04-03', 6, 13);</v>
      </c>
      <c r="AF97" s="2"/>
      <c r="AG97" s="2" t="str" cm="1">
        <f t="array" ref="AG97">CONCATENATE($AG$2,Liste(L97:O97),";")</f>
        <v>INSERT INTO WD_Holidays (CalendarDay, Donation, Share) VALUES ('2020-12-26', '2. Weihnachtsfeiertag', 100);</v>
      </c>
    </row>
    <row r="98" spans="11:33" x14ac:dyDescent="0.45">
      <c r="K98" s="10">
        <v>44196</v>
      </c>
      <c r="L98" t="str">
        <f t="shared" si="22"/>
        <v>'2020-12-31'</v>
      </c>
      <c r="M98" s="3" t="s">
        <v>565</v>
      </c>
      <c r="N98">
        <v>50</v>
      </c>
      <c r="R98" s="10">
        <f t="shared" si="19"/>
        <v>52691</v>
      </c>
      <c r="S98" t="str">
        <f t="shared" si="12"/>
        <v>'2044-04-04'</v>
      </c>
      <c r="T98">
        <f t="shared" si="13"/>
        <v>0</v>
      </c>
      <c r="U98">
        <f t="shared" si="14"/>
        <v>14</v>
      </c>
      <c r="V98">
        <f t="shared" si="15"/>
        <v>2044</v>
      </c>
      <c r="W98">
        <f t="shared" si="16"/>
        <v>4</v>
      </c>
      <c r="X98">
        <f t="shared" si="17"/>
        <v>4</v>
      </c>
      <c r="Y98">
        <f t="shared" si="18"/>
        <v>1</v>
      </c>
      <c r="AE98" s="2" t="str" cm="1">
        <f t="array" ref="AE98">CONCATENATE($AE$2,Liste(S98:U98),";")</f>
        <v>INSERT INTO WD_Workdays (CalendarDay, CalendarWeekday, CalendarWeek) VALUES ('2044-04-04', 0, 14);</v>
      </c>
      <c r="AF98" s="2"/>
      <c r="AG98" s="2" t="str" cm="1">
        <f t="array" ref="AG98">CONCATENATE($AG$2,Liste(L98:O98),";")</f>
        <v>INSERT INTO WD_Holidays (CalendarDay, Donation, Share) VALUES ('2020-12-31', 'Silvester', 50);</v>
      </c>
    </row>
    <row r="99" spans="11:33" x14ac:dyDescent="0.45">
      <c r="K99" s="10">
        <v>44197</v>
      </c>
      <c r="L99" t="str">
        <f t="shared" si="22"/>
        <v>'2021-01-01'</v>
      </c>
      <c r="M99" s="3" t="s">
        <v>481</v>
      </c>
      <c r="N99">
        <v>100</v>
      </c>
      <c r="R99" s="10">
        <f t="shared" si="19"/>
        <v>52692</v>
      </c>
      <c r="S99" t="str">
        <f t="shared" si="12"/>
        <v>'2044-04-05'</v>
      </c>
      <c r="T99">
        <f t="shared" si="13"/>
        <v>1</v>
      </c>
      <c r="U99">
        <f t="shared" si="14"/>
        <v>14</v>
      </c>
      <c r="V99">
        <f t="shared" si="15"/>
        <v>2044</v>
      </c>
      <c r="W99">
        <f t="shared" si="16"/>
        <v>4</v>
      </c>
      <c r="X99">
        <f t="shared" si="17"/>
        <v>5</v>
      </c>
      <c r="Y99">
        <f t="shared" si="18"/>
        <v>1</v>
      </c>
      <c r="AE99" s="2" t="str" cm="1">
        <f t="array" ref="AE99">CONCATENATE($AE$2,Liste(S99:U99),";")</f>
        <v>INSERT INTO WD_Workdays (CalendarDay, CalendarWeekday, CalendarWeek) VALUES ('2044-04-05', 1, 14);</v>
      </c>
      <c r="AF99" s="2"/>
      <c r="AG99" s="2" t="str" cm="1">
        <f t="array" ref="AG99">CONCATENATE($AG$2,Liste(L99:O99),";")</f>
        <v>INSERT INTO WD_Holidays (CalendarDay, Donation, Share) VALUES ('2021-01-01', 'Neujahr', 100);</v>
      </c>
    </row>
    <row r="100" spans="11:33" x14ac:dyDescent="0.45">
      <c r="K100" s="10">
        <v>44263</v>
      </c>
      <c r="L100" t="str">
        <f t="shared" ref="L100:L106" si="23">CONCATENATE("'",TEXT(K100,"jjjj-MM-tt"),"'")</f>
        <v>'2021-03-08'</v>
      </c>
      <c r="M100" s="3" t="s">
        <v>554</v>
      </c>
      <c r="N100">
        <v>100</v>
      </c>
      <c r="R100" s="10">
        <f t="shared" si="19"/>
        <v>52693</v>
      </c>
      <c r="S100" t="str">
        <f t="shared" si="12"/>
        <v>'2044-04-06'</v>
      </c>
      <c r="T100">
        <f t="shared" si="13"/>
        <v>2</v>
      </c>
      <c r="U100">
        <f t="shared" si="14"/>
        <v>14</v>
      </c>
      <c r="V100">
        <f t="shared" si="15"/>
        <v>2044</v>
      </c>
      <c r="W100">
        <f t="shared" si="16"/>
        <v>4</v>
      </c>
      <c r="X100">
        <f t="shared" si="17"/>
        <v>6</v>
      </c>
      <c r="Y100">
        <f t="shared" si="18"/>
        <v>1</v>
      </c>
      <c r="AE100" s="2" t="str" cm="1">
        <f t="array" ref="AE100">CONCATENATE($AE$2,Liste(S100:U100),";")</f>
        <v>INSERT INTO WD_Workdays (CalendarDay, CalendarWeekday, CalendarWeek) VALUES ('2044-04-06', 2, 14);</v>
      </c>
      <c r="AF100" s="2"/>
      <c r="AG100" s="2" t="str" cm="1">
        <f t="array" ref="AG100">CONCATENATE($AG$2,Liste(L100:O100),";")</f>
        <v>INSERT INTO WD_Holidays (CalendarDay, Donation, Share) VALUES ('2021-03-08', 'Internationaler Frauentag', 100);</v>
      </c>
    </row>
    <row r="101" spans="11:33" x14ac:dyDescent="0.45">
      <c r="K101" s="10">
        <v>44288</v>
      </c>
      <c r="L101" t="str">
        <f t="shared" si="23"/>
        <v>'2021-04-02'</v>
      </c>
      <c r="M101" s="3" t="s">
        <v>555</v>
      </c>
      <c r="N101">
        <v>100</v>
      </c>
      <c r="R101" s="10">
        <f t="shared" si="19"/>
        <v>52694</v>
      </c>
      <c r="S101" t="str">
        <f t="shared" si="12"/>
        <v>'2044-04-07'</v>
      </c>
      <c r="T101">
        <f t="shared" si="13"/>
        <v>3</v>
      </c>
      <c r="U101">
        <f t="shared" si="14"/>
        <v>14</v>
      </c>
      <c r="V101">
        <f t="shared" si="15"/>
        <v>2044</v>
      </c>
      <c r="W101">
        <f t="shared" si="16"/>
        <v>4</v>
      </c>
      <c r="X101">
        <f t="shared" si="17"/>
        <v>7</v>
      </c>
      <c r="Y101">
        <f t="shared" si="18"/>
        <v>1</v>
      </c>
      <c r="AE101" s="2" t="str" cm="1">
        <f t="array" ref="AE101">CONCATENATE($AE$2,Liste(S101:U101),";")</f>
        <v>INSERT INTO WD_Workdays (CalendarDay, CalendarWeekday, CalendarWeek) VALUES ('2044-04-07', 3, 14);</v>
      </c>
      <c r="AF101" s="2"/>
      <c r="AG101" s="2" t="str" cm="1">
        <f t="array" ref="AG101">CONCATENATE($AG$2,Liste(L101:O101),";")</f>
        <v>INSERT INTO WD_Holidays (CalendarDay, Donation, Share) VALUES ('2021-04-02', 'Karfreitag', 100);</v>
      </c>
    </row>
    <row r="102" spans="11:33" x14ac:dyDescent="0.45">
      <c r="K102" s="10">
        <v>44290</v>
      </c>
      <c r="L102" t="str">
        <f t="shared" si="23"/>
        <v>'2021-04-04'</v>
      </c>
      <c r="M102" s="3" t="s">
        <v>556</v>
      </c>
      <c r="N102">
        <v>100</v>
      </c>
      <c r="R102" s="10">
        <f t="shared" si="19"/>
        <v>52695</v>
      </c>
      <c r="S102" t="str">
        <f t="shared" si="12"/>
        <v>'2044-04-08'</v>
      </c>
      <c r="T102">
        <f t="shared" si="13"/>
        <v>4</v>
      </c>
      <c r="U102">
        <f t="shared" si="14"/>
        <v>14</v>
      </c>
      <c r="V102">
        <f t="shared" si="15"/>
        <v>2044</v>
      </c>
      <c r="W102">
        <f t="shared" si="16"/>
        <v>4</v>
      </c>
      <c r="X102">
        <f t="shared" si="17"/>
        <v>8</v>
      </c>
      <c r="Y102">
        <f t="shared" si="18"/>
        <v>1</v>
      </c>
      <c r="AE102" s="2" t="str" cm="1">
        <f t="array" ref="AE102">CONCATENATE($AE$2,Liste(S102:U102),";")</f>
        <v>INSERT INTO WD_Workdays (CalendarDay, CalendarWeekday, CalendarWeek) VALUES ('2044-04-08', 4, 14);</v>
      </c>
      <c r="AF102" s="2"/>
      <c r="AG102" s="2" t="str" cm="1">
        <f t="array" ref="AG102">CONCATENATE($AG$2,Liste(L102:O102),";")</f>
        <v>INSERT INTO WD_Holidays (CalendarDay, Donation, Share) VALUES ('2021-04-04', 'Ostersonntag', 100);</v>
      </c>
    </row>
    <row r="103" spans="11:33" x14ac:dyDescent="0.45">
      <c r="K103" s="10">
        <v>44291</v>
      </c>
      <c r="L103" t="str">
        <f t="shared" si="23"/>
        <v>'2021-04-05'</v>
      </c>
      <c r="M103" s="3" t="s">
        <v>557</v>
      </c>
      <c r="N103">
        <v>100</v>
      </c>
      <c r="R103" s="10">
        <f t="shared" si="19"/>
        <v>52696</v>
      </c>
      <c r="S103" t="str">
        <f t="shared" si="12"/>
        <v>'2044-04-09'</v>
      </c>
      <c r="T103">
        <f t="shared" si="13"/>
        <v>5</v>
      </c>
      <c r="U103">
        <f t="shared" si="14"/>
        <v>14</v>
      </c>
      <c r="V103">
        <f t="shared" si="15"/>
        <v>2044</v>
      </c>
      <c r="W103">
        <f t="shared" si="16"/>
        <v>4</v>
      </c>
      <c r="X103">
        <f t="shared" si="17"/>
        <v>9</v>
      </c>
      <c r="Y103">
        <f t="shared" si="18"/>
        <v>1</v>
      </c>
      <c r="AE103" s="2" t="str" cm="1">
        <f t="array" ref="AE103">CONCATENATE($AE$2,Liste(S103:U103),";")</f>
        <v>INSERT INTO WD_Workdays (CalendarDay, CalendarWeekday, CalendarWeek) VALUES ('2044-04-09', 5, 14);</v>
      </c>
      <c r="AF103" s="2"/>
      <c r="AG103" s="2" t="str" cm="1">
        <f t="array" ref="AG103">CONCATENATE($AG$2,Liste(L103:O103),";")</f>
        <v>INSERT INTO WD_Holidays (CalendarDay, Donation, Share) VALUES ('2021-04-05', 'Ostermontag', 100);</v>
      </c>
    </row>
    <row r="104" spans="11:33" x14ac:dyDescent="0.45">
      <c r="K104" s="10">
        <v>44317</v>
      </c>
      <c r="L104" t="str">
        <f t="shared" si="23"/>
        <v>'2021-05-01'</v>
      </c>
      <c r="M104" s="3" t="s">
        <v>558</v>
      </c>
      <c r="N104">
        <v>100</v>
      </c>
      <c r="R104" s="10">
        <f t="shared" si="19"/>
        <v>52697</v>
      </c>
      <c r="S104" t="str">
        <f t="shared" si="12"/>
        <v>'2044-04-10'</v>
      </c>
      <c r="T104">
        <f t="shared" si="13"/>
        <v>6</v>
      </c>
      <c r="U104">
        <f t="shared" si="14"/>
        <v>14</v>
      </c>
      <c r="V104">
        <f t="shared" si="15"/>
        <v>2044</v>
      </c>
      <c r="W104">
        <f t="shared" si="16"/>
        <v>4</v>
      </c>
      <c r="X104">
        <f t="shared" si="17"/>
        <v>10</v>
      </c>
      <c r="Y104">
        <f t="shared" si="18"/>
        <v>1</v>
      </c>
      <c r="AE104" s="2" t="str" cm="1">
        <f t="array" ref="AE104">CONCATENATE($AE$2,Liste(S104:U104),";")</f>
        <v>INSERT INTO WD_Workdays (CalendarDay, CalendarWeekday, CalendarWeek) VALUES ('2044-04-10', 6, 14);</v>
      </c>
      <c r="AF104" s="2"/>
      <c r="AG104" s="2" t="str" cm="1">
        <f t="array" ref="AG104">CONCATENATE($AG$2,Liste(L104:O104),";")</f>
        <v>INSERT INTO WD_Holidays (CalendarDay, Donation, Share) VALUES ('2021-05-01', 'Tag der Arbeit', 100);</v>
      </c>
    </row>
    <row r="105" spans="11:33" x14ac:dyDescent="0.45">
      <c r="K105" s="10">
        <v>44329</v>
      </c>
      <c r="L105" t="str">
        <f t="shared" si="23"/>
        <v>'2021-05-13'</v>
      </c>
      <c r="M105" s="3" t="s">
        <v>559</v>
      </c>
      <c r="N105">
        <v>100</v>
      </c>
      <c r="R105" s="10">
        <f t="shared" si="19"/>
        <v>52698</v>
      </c>
      <c r="S105" t="str">
        <f t="shared" si="12"/>
        <v>'2044-04-11'</v>
      </c>
      <c r="T105">
        <f t="shared" si="13"/>
        <v>0</v>
      </c>
      <c r="U105">
        <f t="shared" si="14"/>
        <v>15</v>
      </c>
      <c r="V105">
        <f t="shared" si="15"/>
        <v>2044</v>
      </c>
      <c r="W105">
        <f t="shared" si="16"/>
        <v>4</v>
      </c>
      <c r="X105">
        <f t="shared" si="17"/>
        <v>11</v>
      </c>
      <c r="Y105">
        <f t="shared" si="18"/>
        <v>1</v>
      </c>
      <c r="AE105" s="2" t="str" cm="1">
        <f t="array" ref="AE105">CONCATENATE($AE$2,Liste(S105:U105),";")</f>
        <v>INSERT INTO WD_Workdays (CalendarDay, CalendarWeekday, CalendarWeek) VALUES ('2044-04-11', 0, 15);</v>
      </c>
      <c r="AF105" s="2"/>
      <c r="AG105" s="2" t="str" cm="1">
        <f t="array" ref="AG105">CONCATENATE($AG$2,Liste(L105:O105),";")</f>
        <v>INSERT INTO WD_Holidays (CalendarDay, Donation, Share) VALUES ('2021-05-13', 'Christi Himmelfahrt', 100);</v>
      </c>
    </row>
    <row r="106" spans="11:33" x14ac:dyDescent="0.45">
      <c r="K106" s="10">
        <v>44339</v>
      </c>
      <c r="L106" t="str">
        <f t="shared" si="23"/>
        <v>'2021-05-23'</v>
      </c>
      <c r="M106" s="3" t="s">
        <v>779</v>
      </c>
      <c r="N106">
        <v>100</v>
      </c>
      <c r="R106" s="10">
        <f t="shared" si="19"/>
        <v>52699</v>
      </c>
      <c r="S106" t="str">
        <f t="shared" si="12"/>
        <v>'2044-04-12'</v>
      </c>
      <c r="T106">
        <f t="shared" si="13"/>
        <v>1</v>
      </c>
      <c r="U106">
        <f t="shared" si="14"/>
        <v>15</v>
      </c>
      <c r="V106">
        <f t="shared" si="15"/>
        <v>2044</v>
      </c>
      <c r="W106">
        <f t="shared" si="16"/>
        <v>4</v>
      </c>
      <c r="X106">
        <f t="shared" si="17"/>
        <v>12</v>
      </c>
      <c r="Y106">
        <f t="shared" si="18"/>
        <v>1</v>
      </c>
      <c r="AE106" s="2" t="str" cm="1">
        <f t="array" ref="AE106">CONCATENATE($AE$2,Liste(S106:U106),";")</f>
        <v>INSERT INTO WD_Workdays (CalendarDay, CalendarWeekday, CalendarWeek) VALUES ('2044-04-12', 1, 15);</v>
      </c>
      <c r="AF106" s="2"/>
      <c r="AG106" s="2" t="str" cm="1">
        <f t="array" ref="AG106">CONCATENATE($AG$2,Liste(L106:O106),";")</f>
        <v>INSERT INTO WD_Holidays (CalendarDay, Donation, Share) VALUES ('2021-05-23', 'Pfingstsonntag', 100);</v>
      </c>
    </row>
    <row r="107" spans="11:33" x14ac:dyDescent="0.45">
      <c r="K107" s="10">
        <v>44340</v>
      </c>
      <c r="L107" t="str">
        <f t="shared" ref="L107:L113" si="24">CONCATENATE("'",TEXT(K107,"jjjj-MM-tt"),"'")</f>
        <v>'2021-05-24'</v>
      </c>
      <c r="M107" s="3" t="s">
        <v>560</v>
      </c>
      <c r="N107">
        <v>100</v>
      </c>
      <c r="R107" s="10">
        <f t="shared" si="19"/>
        <v>52700</v>
      </c>
      <c r="S107" t="str">
        <f t="shared" si="12"/>
        <v>'2044-04-13'</v>
      </c>
      <c r="T107">
        <f t="shared" si="13"/>
        <v>2</v>
      </c>
      <c r="U107">
        <f t="shared" si="14"/>
        <v>15</v>
      </c>
      <c r="V107">
        <f t="shared" si="15"/>
        <v>2044</v>
      </c>
      <c r="W107">
        <f t="shared" si="16"/>
        <v>4</v>
      </c>
      <c r="X107">
        <f t="shared" si="17"/>
        <v>13</v>
      </c>
      <c r="Y107">
        <f t="shared" si="18"/>
        <v>1</v>
      </c>
      <c r="AE107" s="2" t="str" cm="1">
        <f t="array" ref="AE107">CONCATENATE($AE$2,Liste(S107:U107),";")</f>
        <v>INSERT INTO WD_Workdays (CalendarDay, CalendarWeekday, CalendarWeek) VALUES ('2044-04-13', 2, 15);</v>
      </c>
      <c r="AF107" s="2"/>
      <c r="AG107" s="2" t="str" cm="1">
        <f t="array" ref="AG107">CONCATENATE($AG$2,Liste(L107:O107),";")</f>
        <v>INSERT INTO WD_Holidays (CalendarDay, Donation, Share) VALUES ('2021-05-24', 'Pfingstmontag', 100);</v>
      </c>
    </row>
    <row r="108" spans="11:33" x14ac:dyDescent="0.45">
      <c r="K108" s="10">
        <v>44472</v>
      </c>
      <c r="L108" t="str">
        <f t="shared" si="24"/>
        <v>'2021-10-03'</v>
      </c>
      <c r="M108" s="3" t="s">
        <v>561</v>
      </c>
      <c r="N108">
        <v>100</v>
      </c>
      <c r="R108" s="10">
        <f t="shared" si="19"/>
        <v>52701</v>
      </c>
      <c r="S108" t="str">
        <f t="shared" si="12"/>
        <v>'2044-04-14'</v>
      </c>
      <c r="T108">
        <f t="shared" si="13"/>
        <v>3</v>
      </c>
      <c r="U108">
        <f t="shared" si="14"/>
        <v>15</v>
      </c>
      <c r="V108">
        <f t="shared" si="15"/>
        <v>2044</v>
      </c>
      <c r="W108">
        <f t="shared" si="16"/>
        <v>4</v>
      </c>
      <c r="X108">
        <f t="shared" si="17"/>
        <v>14</v>
      </c>
      <c r="Y108">
        <f t="shared" si="18"/>
        <v>1</v>
      </c>
      <c r="AE108" s="2" t="str" cm="1">
        <f t="array" ref="AE108">CONCATENATE($AE$2,Liste(S108:U108),";")</f>
        <v>INSERT INTO WD_Workdays (CalendarDay, CalendarWeekday, CalendarWeek) VALUES ('2044-04-14', 3, 15);</v>
      </c>
      <c r="AF108" s="2"/>
      <c r="AG108" s="2" t="str" cm="1">
        <f t="array" ref="AG108">CONCATENATE($AG$2,Liste(L108:O108),";")</f>
        <v>INSERT INTO WD_Holidays (CalendarDay, Donation, Share) VALUES ('2021-10-03', 'Tag der Deutschen Einheit', 100);</v>
      </c>
    </row>
    <row r="109" spans="11:33" x14ac:dyDescent="0.45">
      <c r="K109" s="10">
        <v>44554</v>
      </c>
      <c r="L109" t="str">
        <f t="shared" si="24"/>
        <v>'2021-12-24'</v>
      </c>
      <c r="M109" s="3" t="s">
        <v>562</v>
      </c>
      <c r="N109">
        <v>50</v>
      </c>
      <c r="R109" s="10">
        <f t="shared" si="19"/>
        <v>52702</v>
      </c>
      <c r="S109" t="str">
        <f t="shared" si="12"/>
        <v>'2044-04-15'</v>
      </c>
      <c r="T109">
        <f t="shared" si="13"/>
        <v>4</v>
      </c>
      <c r="U109">
        <f t="shared" si="14"/>
        <v>15</v>
      </c>
      <c r="V109">
        <f t="shared" si="15"/>
        <v>2044</v>
      </c>
      <c r="W109">
        <f t="shared" si="16"/>
        <v>4</v>
      </c>
      <c r="X109">
        <f t="shared" si="17"/>
        <v>15</v>
      </c>
      <c r="Y109">
        <f t="shared" si="18"/>
        <v>1</v>
      </c>
      <c r="AE109" s="2" t="str" cm="1">
        <f t="array" ref="AE109">CONCATENATE($AE$2,Liste(S109:U109),";")</f>
        <v>INSERT INTO WD_Workdays (CalendarDay, CalendarWeekday, CalendarWeek) VALUES ('2044-04-15', 4, 15);</v>
      </c>
      <c r="AF109" s="2"/>
      <c r="AG109" s="2" t="str" cm="1">
        <f t="array" ref="AG109">CONCATENATE($AG$2,Liste(L109:O109),";")</f>
        <v>INSERT INTO WD_Holidays (CalendarDay, Donation, Share) VALUES ('2021-12-24', 'Heiligabend', 50);</v>
      </c>
    </row>
    <row r="110" spans="11:33" x14ac:dyDescent="0.45">
      <c r="K110" s="10">
        <v>44555</v>
      </c>
      <c r="L110" t="str">
        <f t="shared" si="24"/>
        <v>'2021-12-25'</v>
      </c>
      <c r="M110" s="3" t="s">
        <v>563</v>
      </c>
      <c r="N110">
        <v>100</v>
      </c>
      <c r="R110" s="10">
        <f t="shared" si="19"/>
        <v>52703</v>
      </c>
      <c r="S110" t="str">
        <f t="shared" si="12"/>
        <v>'2044-04-16'</v>
      </c>
      <c r="T110">
        <f t="shared" si="13"/>
        <v>5</v>
      </c>
      <c r="U110">
        <f t="shared" si="14"/>
        <v>15</v>
      </c>
      <c r="V110">
        <f t="shared" si="15"/>
        <v>2044</v>
      </c>
      <c r="W110">
        <f t="shared" si="16"/>
        <v>4</v>
      </c>
      <c r="X110">
        <f t="shared" si="17"/>
        <v>16</v>
      </c>
      <c r="Y110">
        <f t="shared" si="18"/>
        <v>1</v>
      </c>
      <c r="AE110" s="2" t="str" cm="1">
        <f t="array" ref="AE110">CONCATENATE($AE$2,Liste(S110:U110),";")</f>
        <v>INSERT INTO WD_Workdays (CalendarDay, CalendarWeekday, CalendarWeek) VALUES ('2044-04-16', 5, 15);</v>
      </c>
      <c r="AF110" s="2"/>
      <c r="AG110" s="2" t="str" cm="1">
        <f t="array" ref="AG110">CONCATENATE($AG$2,Liste(L110:O110),";")</f>
        <v>INSERT INTO WD_Holidays (CalendarDay, Donation, Share) VALUES ('2021-12-25', '1. Weihnachtsfeiertag', 100);</v>
      </c>
    </row>
    <row r="111" spans="11:33" x14ac:dyDescent="0.45">
      <c r="K111" s="10">
        <v>44556</v>
      </c>
      <c r="L111" t="str">
        <f t="shared" si="24"/>
        <v>'2021-12-26'</v>
      </c>
      <c r="M111" s="3" t="s">
        <v>564</v>
      </c>
      <c r="N111">
        <v>100</v>
      </c>
      <c r="R111" s="10">
        <f t="shared" si="19"/>
        <v>52704</v>
      </c>
      <c r="S111" t="str">
        <f t="shared" si="12"/>
        <v>'2044-04-17'</v>
      </c>
      <c r="T111">
        <f t="shared" si="13"/>
        <v>6</v>
      </c>
      <c r="U111">
        <f t="shared" si="14"/>
        <v>15</v>
      </c>
      <c r="V111">
        <f t="shared" si="15"/>
        <v>2044</v>
      </c>
      <c r="W111">
        <f t="shared" si="16"/>
        <v>4</v>
      </c>
      <c r="X111">
        <f t="shared" si="17"/>
        <v>17</v>
      </c>
      <c r="Y111">
        <f t="shared" si="18"/>
        <v>1</v>
      </c>
      <c r="AE111" s="2" t="str" cm="1">
        <f t="array" ref="AE111">CONCATENATE($AE$2,Liste(S111:U111),";")</f>
        <v>INSERT INTO WD_Workdays (CalendarDay, CalendarWeekday, CalendarWeek) VALUES ('2044-04-17', 6, 15);</v>
      </c>
      <c r="AF111" s="2"/>
      <c r="AG111" s="2" t="str" cm="1">
        <f t="array" ref="AG111">CONCATENATE($AG$2,Liste(L111:O111),";")</f>
        <v>INSERT INTO WD_Holidays (CalendarDay, Donation, Share) VALUES ('2021-12-26', '2. Weihnachtsfeiertag', 100);</v>
      </c>
    </row>
    <row r="112" spans="11:33" x14ac:dyDescent="0.45">
      <c r="K112" s="10">
        <v>44561</v>
      </c>
      <c r="L112" t="str">
        <f t="shared" si="24"/>
        <v>'2021-12-31'</v>
      </c>
      <c r="M112" s="3" t="s">
        <v>565</v>
      </c>
      <c r="N112">
        <v>50</v>
      </c>
      <c r="R112" s="10">
        <f t="shared" si="19"/>
        <v>52705</v>
      </c>
      <c r="S112" t="str">
        <f t="shared" si="12"/>
        <v>'2044-04-18'</v>
      </c>
      <c r="T112">
        <f t="shared" si="13"/>
        <v>0</v>
      </c>
      <c r="U112">
        <f t="shared" si="14"/>
        <v>16</v>
      </c>
      <c r="V112">
        <f t="shared" si="15"/>
        <v>2044</v>
      </c>
      <c r="W112">
        <f t="shared" si="16"/>
        <v>4</v>
      </c>
      <c r="X112">
        <f t="shared" si="17"/>
        <v>18</v>
      </c>
      <c r="Y112">
        <f t="shared" si="18"/>
        <v>1</v>
      </c>
      <c r="AE112" s="2" t="str" cm="1">
        <f t="array" ref="AE112">CONCATENATE($AE$2,Liste(S112:U112),";")</f>
        <v>INSERT INTO WD_Workdays (CalendarDay, CalendarWeekday, CalendarWeek) VALUES ('2044-04-18', 0, 16);</v>
      </c>
      <c r="AF112" s="2"/>
      <c r="AG112" s="2" t="str" cm="1">
        <f t="array" ref="AG112">CONCATENATE($AG$2,Liste(L112:O112),";")</f>
        <v>INSERT INTO WD_Holidays (CalendarDay, Donation, Share) VALUES ('2021-12-31', 'Silvester', 50);</v>
      </c>
    </row>
    <row r="113" spans="11:33" x14ac:dyDescent="0.45">
      <c r="K113" s="10">
        <v>44562</v>
      </c>
      <c r="L113" t="str">
        <f t="shared" si="24"/>
        <v>'2022-01-01'</v>
      </c>
      <c r="M113" s="3" t="s">
        <v>481</v>
      </c>
      <c r="N113">
        <v>100</v>
      </c>
      <c r="R113" s="10">
        <f t="shared" si="19"/>
        <v>52706</v>
      </c>
      <c r="S113" t="str">
        <f t="shared" si="12"/>
        <v>'2044-04-19'</v>
      </c>
      <c r="T113">
        <f t="shared" si="13"/>
        <v>1</v>
      </c>
      <c r="U113">
        <f t="shared" si="14"/>
        <v>16</v>
      </c>
      <c r="V113">
        <f t="shared" si="15"/>
        <v>2044</v>
      </c>
      <c r="W113">
        <f t="shared" si="16"/>
        <v>4</v>
      </c>
      <c r="X113">
        <f t="shared" si="17"/>
        <v>19</v>
      </c>
      <c r="Y113">
        <f t="shared" si="18"/>
        <v>1</v>
      </c>
      <c r="AE113" s="2" t="str" cm="1">
        <f t="array" ref="AE113">CONCATENATE($AE$2,Liste(S113:U113),";")</f>
        <v>INSERT INTO WD_Workdays (CalendarDay, CalendarWeekday, CalendarWeek) VALUES ('2044-04-19', 1, 16);</v>
      </c>
      <c r="AF113" s="2"/>
      <c r="AG113" s="2" t="str" cm="1">
        <f t="array" ref="AG113">CONCATENATE($AG$2,Liste(L113:O113),";")</f>
        <v>INSERT INTO WD_Holidays (CalendarDay, Donation, Share) VALUES ('2022-01-01', 'Neujahr', 100);</v>
      </c>
    </row>
    <row r="114" spans="11:33" x14ac:dyDescent="0.45">
      <c r="K114" s="10">
        <v>44628</v>
      </c>
      <c r="L114" t="str">
        <f t="shared" ref="L114:L120" si="25">CONCATENATE("'",TEXT(K114,"jjjj-MM-tt"),"'")</f>
        <v>'2022-03-08'</v>
      </c>
      <c r="M114" s="3" t="s">
        <v>554</v>
      </c>
      <c r="N114">
        <v>100</v>
      </c>
      <c r="R114" s="10">
        <f t="shared" si="19"/>
        <v>52707</v>
      </c>
      <c r="S114" t="str">
        <f t="shared" si="12"/>
        <v>'2044-04-20'</v>
      </c>
      <c r="T114">
        <f t="shared" si="13"/>
        <v>2</v>
      </c>
      <c r="U114">
        <f t="shared" si="14"/>
        <v>16</v>
      </c>
      <c r="V114">
        <f t="shared" si="15"/>
        <v>2044</v>
      </c>
      <c r="W114">
        <f t="shared" si="16"/>
        <v>4</v>
      </c>
      <c r="X114">
        <f t="shared" si="17"/>
        <v>20</v>
      </c>
      <c r="Y114">
        <f t="shared" si="18"/>
        <v>1</v>
      </c>
      <c r="AE114" s="2" t="str" cm="1">
        <f t="array" ref="AE114">CONCATENATE($AE$2,Liste(S114:U114),";")</f>
        <v>INSERT INTO WD_Workdays (CalendarDay, CalendarWeekday, CalendarWeek) VALUES ('2044-04-20', 2, 16);</v>
      </c>
      <c r="AF114" s="2"/>
      <c r="AG114" s="2" t="str" cm="1">
        <f t="array" ref="AG114">CONCATENATE($AG$2,Liste(L114:O114),";")</f>
        <v>INSERT INTO WD_Holidays (CalendarDay, Donation, Share) VALUES ('2022-03-08', 'Internationaler Frauentag', 100);</v>
      </c>
    </row>
    <row r="115" spans="11:33" x14ac:dyDescent="0.45">
      <c r="K115" s="10">
        <v>44666</v>
      </c>
      <c r="L115" t="str">
        <f t="shared" si="25"/>
        <v>'2022-04-15'</v>
      </c>
      <c r="M115" s="3" t="s">
        <v>555</v>
      </c>
      <c r="N115">
        <v>100</v>
      </c>
      <c r="R115" s="10">
        <f t="shared" si="19"/>
        <v>52708</v>
      </c>
      <c r="S115" t="str">
        <f t="shared" si="12"/>
        <v>'2044-04-21'</v>
      </c>
      <c r="T115">
        <f t="shared" si="13"/>
        <v>3</v>
      </c>
      <c r="U115">
        <f t="shared" si="14"/>
        <v>16</v>
      </c>
      <c r="V115">
        <f t="shared" si="15"/>
        <v>2044</v>
      </c>
      <c r="W115">
        <f t="shared" si="16"/>
        <v>4</v>
      </c>
      <c r="X115">
        <f t="shared" si="17"/>
        <v>21</v>
      </c>
      <c r="Y115">
        <f t="shared" si="18"/>
        <v>1</v>
      </c>
      <c r="AE115" s="2" t="str" cm="1">
        <f t="array" ref="AE115">CONCATENATE($AE$2,Liste(S115:U115),";")</f>
        <v>INSERT INTO WD_Workdays (CalendarDay, CalendarWeekday, CalendarWeek) VALUES ('2044-04-21', 3, 16);</v>
      </c>
      <c r="AF115" s="2"/>
      <c r="AG115" s="2" t="str" cm="1">
        <f t="array" ref="AG115">CONCATENATE($AG$2,Liste(L115:O115),";")</f>
        <v>INSERT INTO WD_Holidays (CalendarDay, Donation, Share) VALUES ('2022-04-15', 'Karfreitag', 100);</v>
      </c>
    </row>
    <row r="116" spans="11:33" x14ac:dyDescent="0.45">
      <c r="K116" s="10">
        <v>44668</v>
      </c>
      <c r="L116" t="str">
        <f t="shared" si="25"/>
        <v>'2022-04-17'</v>
      </c>
      <c r="M116" s="3" t="s">
        <v>556</v>
      </c>
      <c r="N116">
        <v>100</v>
      </c>
      <c r="R116" s="10">
        <f t="shared" si="19"/>
        <v>52709</v>
      </c>
      <c r="S116" t="str">
        <f t="shared" si="12"/>
        <v>'2044-04-22'</v>
      </c>
      <c r="T116">
        <f t="shared" si="13"/>
        <v>4</v>
      </c>
      <c r="U116">
        <f t="shared" si="14"/>
        <v>16</v>
      </c>
      <c r="V116">
        <f t="shared" si="15"/>
        <v>2044</v>
      </c>
      <c r="W116">
        <f t="shared" si="16"/>
        <v>4</v>
      </c>
      <c r="X116">
        <f t="shared" si="17"/>
        <v>22</v>
      </c>
      <c r="Y116">
        <f t="shared" si="18"/>
        <v>1</v>
      </c>
      <c r="AE116" s="2" t="str" cm="1">
        <f t="array" ref="AE116">CONCATENATE($AE$2,Liste(S116:U116),";")</f>
        <v>INSERT INTO WD_Workdays (CalendarDay, CalendarWeekday, CalendarWeek) VALUES ('2044-04-22', 4, 16);</v>
      </c>
      <c r="AF116" s="2"/>
      <c r="AG116" s="2" t="str" cm="1">
        <f t="array" ref="AG116">CONCATENATE($AG$2,Liste(L116:O116),";")</f>
        <v>INSERT INTO WD_Holidays (CalendarDay, Donation, Share) VALUES ('2022-04-17', 'Ostersonntag', 100);</v>
      </c>
    </row>
    <row r="117" spans="11:33" x14ac:dyDescent="0.45">
      <c r="K117" s="10">
        <v>44669</v>
      </c>
      <c r="L117" t="str">
        <f t="shared" si="25"/>
        <v>'2022-04-18'</v>
      </c>
      <c r="M117" s="3" t="s">
        <v>557</v>
      </c>
      <c r="N117">
        <v>100</v>
      </c>
      <c r="R117" s="10">
        <f t="shared" si="19"/>
        <v>52710</v>
      </c>
      <c r="S117" t="str">
        <f t="shared" si="12"/>
        <v>'2044-04-23'</v>
      </c>
      <c r="T117">
        <f t="shared" si="13"/>
        <v>5</v>
      </c>
      <c r="U117">
        <f t="shared" si="14"/>
        <v>16</v>
      </c>
      <c r="V117">
        <f t="shared" si="15"/>
        <v>2044</v>
      </c>
      <c r="W117">
        <f t="shared" si="16"/>
        <v>4</v>
      </c>
      <c r="X117">
        <f t="shared" si="17"/>
        <v>23</v>
      </c>
      <c r="Y117">
        <f t="shared" si="18"/>
        <v>1</v>
      </c>
      <c r="AE117" s="2" t="str" cm="1">
        <f t="array" ref="AE117">CONCATENATE($AE$2,Liste(S117:U117),";")</f>
        <v>INSERT INTO WD_Workdays (CalendarDay, CalendarWeekday, CalendarWeek) VALUES ('2044-04-23', 5, 16);</v>
      </c>
      <c r="AF117" s="2"/>
      <c r="AG117" s="2" t="str" cm="1">
        <f t="array" ref="AG117">CONCATENATE($AG$2,Liste(L117:O117),";")</f>
        <v>INSERT INTO WD_Holidays (CalendarDay, Donation, Share) VALUES ('2022-04-18', 'Ostermontag', 100);</v>
      </c>
    </row>
    <row r="118" spans="11:33" x14ac:dyDescent="0.45">
      <c r="K118" s="10">
        <v>44682</v>
      </c>
      <c r="L118" t="str">
        <f t="shared" si="25"/>
        <v>'2022-05-01'</v>
      </c>
      <c r="M118" s="3" t="s">
        <v>558</v>
      </c>
      <c r="N118">
        <v>100</v>
      </c>
      <c r="R118" s="10">
        <f t="shared" si="19"/>
        <v>52711</v>
      </c>
      <c r="S118" t="str">
        <f t="shared" si="12"/>
        <v>'2044-04-24'</v>
      </c>
      <c r="T118">
        <f t="shared" si="13"/>
        <v>6</v>
      </c>
      <c r="U118">
        <f t="shared" si="14"/>
        <v>16</v>
      </c>
      <c r="V118">
        <f t="shared" si="15"/>
        <v>2044</v>
      </c>
      <c r="W118">
        <f t="shared" si="16"/>
        <v>4</v>
      </c>
      <c r="X118">
        <f t="shared" si="17"/>
        <v>24</v>
      </c>
      <c r="Y118">
        <f t="shared" si="18"/>
        <v>1</v>
      </c>
      <c r="AE118" s="2" t="str" cm="1">
        <f t="array" ref="AE118">CONCATENATE($AE$2,Liste(S118:U118),";")</f>
        <v>INSERT INTO WD_Workdays (CalendarDay, CalendarWeekday, CalendarWeek) VALUES ('2044-04-24', 6, 16);</v>
      </c>
      <c r="AF118" s="2"/>
      <c r="AG118" s="2" t="str" cm="1">
        <f t="array" ref="AG118">CONCATENATE($AG$2,Liste(L118:O118),";")</f>
        <v>INSERT INTO WD_Holidays (CalendarDay, Donation, Share) VALUES ('2022-05-01', 'Tag der Arbeit', 100);</v>
      </c>
    </row>
    <row r="119" spans="11:33" x14ac:dyDescent="0.45">
      <c r="K119" s="10">
        <v>44707</v>
      </c>
      <c r="L119" t="str">
        <f t="shared" si="25"/>
        <v>'2022-05-26'</v>
      </c>
      <c r="M119" s="3" t="s">
        <v>559</v>
      </c>
      <c r="N119">
        <v>100</v>
      </c>
      <c r="R119" s="10">
        <f t="shared" si="19"/>
        <v>52712</v>
      </c>
      <c r="S119" t="str">
        <f t="shared" si="12"/>
        <v>'2044-04-25'</v>
      </c>
      <c r="T119">
        <f t="shared" si="13"/>
        <v>0</v>
      </c>
      <c r="U119">
        <f t="shared" si="14"/>
        <v>17</v>
      </c>
      <c r="V119">
        <f t="shared" si="15"/>
        <v>2044</v>
      </c>
      <c r="W119">
        <f t="shared" si="16"/>
        <v>4</v>
      </c>
      <c r="X119">
        <f t="shared" si="17"/>
        <v>25</v>
      </c>
      <c r="Y119">
        <f t="shared" si="18"/>
        <v>1</v>
      </c>
      <c r="AE119" s="2" t="str" cm="1">
        <f t="array" ref="AE119">CONCATENATE($AE$2,Liste(S119:U119),";")</f>
        <v>INSERT INTO WD_Workdays (CalendarDay, CalendarWeekday, CalendarWeek) VALUES ('2044-04-25', 0, 17);</v>
      </c>
      <c r="AF119" s="2"/>
      <c r="AG119" s="2" t="str" cm="1">
        <f t="array" ref="AG119">CONCATENATE($AG$2,Liste(L119:O119),";")</f>
        <v>INSERT INTO WD_Holidays (CalendarDay, Donation, Share) VALUES ('2022-05-26', 'Christi Himmelfahrt', 100);</v>
      </c>
    </row>
    <row r="120" spans="11:33" x14ac:dyDescent="0.45">
      <c r="K120" s="10">
        <v>44717</v>
      </c>
      <c r="L120" t="str">
        <f t="shared" si="25"/>
        <v>'2022-06-05'</v>
      </c>
      <c r="M120" s="3" t="s">
        <v>779</v>
      </c>
      <c r="N120">
        <v>100</v>
      </c>
      <c r="R120" s="10">
        <f t="shared" si="19"/>
        <v>52713</v>
      </c>
      <c r="S120" t="str">
        <f t="shared" si="12"/>
        <v>'2044-04-26'</v>
      </c>
      <c r="T120">
        <f t="shared" si="13"/>
        <v>1</v>
      </c>
      <c r="U120">
        <f t="shared" si="14"/>
        <v>17</v>
      </c>
      <c r="V120">
        <f t="shared" si="15"/>
        <v>2044</v>
      </c>
      <c r="W120">
        <f t="shared" si="16"/>
        <v>4</v>
      </c>
      <c r="X120">
        <f t="shared" si="17"/>
        <v>26</v>
      </c>
      <c r="Y120">
        <f t="shared" si="18"/>
        <v>1</v>
      </c>
      <c r="AE120" s="2" t="str" cm="1">
        <f t="array" ref="AE120">CONCATENATE($AE$2,Liste(S120:U120),";")</f>
        <v>INSERT INTO WD_Workdays (CalendarDay, CalendarWeekday, CalendarWeek) VALUES ('2044-04-26', 1, 17);</v>
      </c>
      <c r="AF120" s="2"/>
      <c r="AG120" s="2" t="str" cm="1">
        <f t="array" ref="AG120">CONCATENATE($AG$2,Liste(L120:O120),";")</f>
        <v>INSERT INTO WD_Holidays (CalendarDay, Donation, Share) VALUES ('2022-06-05', 'Pfingstsonntag', 100);</v>
      </c>
    </row>
    <row r="121" spans="11:33" x14ac:dyDescent="0.45">
      <c r="K121" s="10">
        <v>44718</v>
      </c>
      <c r="L121" t="str">
        <f t="shared" ref="L121:L127" si="26">CONCATENATE("'",TEXT(K121,"jjjj-MM-tt"),"'")</f>
        <v>'2022-06-06'</v>
      </c>
      <c r="M121" s="3" t="s">
        <v>560</v>
      </c>
      <c r="N121">
        <v>100</v>
      </c>
      <c r="R121" s="10">
        <f t="shared" si="19"/>
        <v>52714</v>
      </c>
      <c r="S121" t="str">
        <f t="shared" si="12"/>
        <v>'2044-04-27'</v>
      </c>
      <c r="T121">
        <f t="shared" si="13"/>
        <v>2</v>
      </c>
      <c r="U121">
        <f t="shared" si="14"/>
        <v>17</v>
      </c>
      <c r="V121">
        <f t="shared" si="15"/>
        <v>2044</v>
      </c>
      <c r="W121">
        <f t="shared" si="16"/>
        <v>4</v>
      </c>
      <c r="X121">
        <f t="shared" si="17"/>
        <v>27</v>
      </c>
      <c r="Y121">
        <f t="shared" si="18"/>
        <v>1</v>
      </c>
      <c r="AE121" s="2" t="str" cm="1">
        <f t="array" ref="AE121">CONCATENATE($AE$2,Liste(S121:U121),";")</f>
        <v>INSERT INTO WD_Workdays (CalendarDay, CalendarWeekday, CalendarWeek) VALUES ('2044-04-27', 2, 17);</v>
      </c>
      <c r="AF121" s="2"/>
      <c r="AG121" s="2" t="str" cm="1">
        <f t="array" ref="AG121">CONCATENATE($AG$2,Liste(L121:O121),";")</f>
        <v>INSERT INTO WD_Holidays (CalendarDay, Donation, Share) VALUES ('2022-06-06', 'Pfingstmontag', 100);</v>
      </c>
    </row>
    <row r="122" spans="11:33" x14ac:dyDescent="0.45">
      <c r="K122" s="10">
        <v>44837</v>
      </c>
      <c r="L122" t="str">
        <f t="shared" si="26"/>
        <v>'2022-10-03'</v>
      </c>
      <c r="M122" s="3" t="s">
        <v>561</v>
      </c>
      <c r="N122">
        <v>100</v>
      </c>
      <c r="R122" s="10">
        <f t="shared" si="19"/>
        <v>52715</v>
      </c>
      <c r="S122" t="str">
        <f t="shared" si="12"/>
        <v>'2044-04-28'</v>
      </c>
      <c r="T122">
        <f t="shared" si="13"/>
        <v>3</v>
      </c>
      <c r="U122">
        <f t="shared" si="14"/>
        <v>17</v>
      </c>
      <c r="V122">
        <f t="shared" si="15"/>
        <v>2044</v>
      </c>
      <c r="W122">
        <f t="shared" si="16"/>
        <v>4</v>
      </c>
      <c r="X122">
        <f t="shared" si="17"/>
        <v>28</v>
      </c>
      <c r="Y122">
        <f t="shared" si="18"/>
        <v>1</v>
      </c>
      <c r="AE122" s="2" t="str" cm="1">
        <f t="array" ref="AE122">CONCATENATE($AE$2,Liste(S122:U122),";")</f>
        <v>INSERT INTO WD_Workdays (CalendarDay, CalendarWeekday, CalendarWeek) VALUES ('2044-04-28', 3, 17);</v>
      </c>
      <c r="AF122" s="2"/>
      <c r="AG122" s="2" t="str" cm="1">
        <f t="array" ref="AG122">CONCATENATE($AG$2,Liste(L122:O122),";")</f>
        <v>INSERT INTO WD_Holidays (CalendarDay, Donation, Share) VALUES ('2022-10-03', 'Tag der Deutschen Einheit', 100);</v>
      </c>
    </row>
    <row r="123" spans="11:33" x14ac:dyDescent="0.45">
      <c r="K123" s="10">
        <v>44919</v>
      </c>
      <c r="L123" t="str">
        <f t="shared" si="26"/>
        <v>'2022-12-24'</v>
      </c>
      <c r="M123" s="3" t="s">
        <v>562</v>
      </c>
      <c r="N123">
        <v>50</v>
      </c>
      <c r="R123" s="10">
        <f t="shared" si="19"/>
        <v>52716</v>
      </c>
      <c r="S123" t="str">
        <f t="shared" si="12"/>
        <v>'2044-04-29'</v>
      </c>
      <c r="T123">
        <f t="shared" si="13"/>
        <v>4</v>
      </c>
      <c r="U123">
        <f t="shared" si="14"/>
        <v>17</v>
      </c>
      <c r="V123">
        <f t="shared" si="15"/>
        <v>2044</v>
      </c>
      <c r="W123">
        <f t="shared" si="16"/>
        <v>4</v>
      </c>
      <c r="X123">
        <f t="shared" si="17"/>
        <v>29</v>
      </c>
      <c r="Y123">
        <f t="shared" si="18"/>
        <v>1</v>
      </c>
      <c r="AE123" s="2" t="str" cm="1">
        <f t="array" ref="AE123">CONCATENATE($AE$2,Liste(S123:U123),";")</f>
        <v>INSERT INTO WD_Workdays (CalendarDay, CalendarWeekday, CalendarWeek) VALUES ('2044-04-29', 4, 17);</v>
      </c>
      <c r="AF123" s="2"/>
      <c r="AG123" s="2" t="str" cm="1">
        <f t="array" ref="AG123">CONCATENATE($AG$2,Liste(L123:O123),";")</f>
        <v>INSERT INTO WD_Holidays (CalendarDay, Donation, Share) VALUES ('2022-12-24', 'Heiligabend', 50);</v>
      </c>
    </row>
    <row r="124" spans="11:33" x14ac:dyDescent="0.45">
      <c r="K124" s="10">
        <v>44920</v>
      </c>
      <c r="L124" t="str">
        <f t="shared" si="26"/>
        <v>'2022-12-25'</v>
      </c>
      <c r="M124" s="3" t="s">
        <v>563</v>
      </c>
      <c r="N124">
        <v>100</v>
      </c>
      <c r="R124" s="10">
        <f t="shared" si="19"/>
        <v>52717</v>
      </c>
      <c r="S124" t="str">
        <f t="shared" si="12"/>
        <v>'2044-04-30'</v>
      </c>
      <c r="T124">
        <f t="shared" si="13"/>
        <v>5</v>
      </c>
      <c r="U124">
        <f t="shared" si="14"/>
        <v>17</v>
      </c>
      <c r="V124">
        <f t="shared" si="15"/>
        <v>2044</v>
      </c>
      <c r="W124">
        <f t="shared" si="16"/>
        <v>4</v>
      </c>
      <c r="X124">
        <f t="shared" si="17"/>
        <v>30</v>
      </c>
      <c r="Y124">
        <f t="shared" si="18"/>
        <v>1</v>
      </c>
      <c r="AE124" s="2" t="str" cm="1">
        <f t="array" ref="AE124">CONCATENATE($AE$2,Liste(S124:U124),";")</f>
        <v>INSERT INTO WD_Workdays (CalendarDay, CalendarWeekday, CalendarWeek) VALUES ('2044-04-30', 5, 17);</v>
      </c>
      <c r="AF124" s="2"/>
      <c r="AG124" s="2" t="str" cm="1">
        <f t="array" ref="AG124">CONCATENATE($AG$2,Liste(L124:O124),";")</f>
        <v>INSERT INTO WD_Holidays (CalendarDay, Donation, Share) VALUES ('2022-12-25', '1. Weihnachtsfeiertag', 100);</v>
      </c>
    </row>
    <row r="125" spans="11:33" x14ac:dyDescent="0.45">
      <c r="K125" s="10">
        <v>44921</v>
      </c>
      <c r="L125" t="str">
        <f t="shared" si="26"/>
        <v>'2022-12-26'</v>
      </c>
      <c r="M125" s="3" t="s">
        <v>564</v>
      </c>
      <c r="N125">
        <v>100</v>
      </c>
      <c r="R125" s="10">
        <f t="shared" si="19"/>
        <v>52718</v>
      </c>
      <c r="S125" t="str">
        <f t="shared" si="12"/>
        <v>'2044-05-01'</v>
      </c>
      <c r="T125">
        <f t="shared" si="13"/>
        <v>6</v>
      </c>
      <c r="U125">
        <f t="shared" si="14"/>
        <v>17</v>
      </c>
      <c r="V125">
        <f t="shared" si="15"/>
        <v>2044</v>
      </c>
      <c r="W125">
        <f t="shared" si="16"/>
        <v>5</v>
      </c>
      <c r="X125">
        <f t="shared" si="17"/>
        <v>1</v>
      </c>
      <c r="Y125">
        <f t="shared" si="18"/>
        <v>1</v>
      </c>
      <c r="AE125" s="2" t="str" cm="1">
        <f t="array" ref="AE125">CONCATENATE($AE$2,Liste(S125:U125),";")</f>
        <v>INSERT INTO WD_Workdays (CalendarDay, CalendarWeekday, CalendarWeek) VALUES ('2044-05-01', 6, 17);</v>
      </c>
      <c r="AF125" s="2"/>
      <c r="AG125" s="2" t="str" cm="1">
        <f t="array" ref="AG125">CONCATENATE($AG$2,Liste(L125:O125),";")</f>
        <v>INSERT INTO WD_Holidays (CalendarDay, Donation, Share) VALUES ('2022-12-26', '2. Weihnachtsfeiertag', 100);</v>
      </c>
    </row>
    <row r="126" spans="11:33" x14ac:dyDescent="0.45">
      <c r="K126" s="10">
        <v>44926</v>
      </c>
      <c r="L126" t="str">
        <f t="shared" si="26"/>
        <v>'2022-12-31'</v>
      </c>
      <c r="M126" s="3" t="s">
        <v>565</v>
      </c>
      <c r="N126">
        <v>50</v>
      </c>
      <c r="R126" s="10">
        <f t="shared" si="19"/>
        <v>52719</v>
      </c>
      <c r="S126" t="str">
        <f t="shared" si="12"/>
        <v>'2044-05-02'</v>
      </c>
      <c r="T126">
        <f t="shared" si="13"/>
        <v>0</v>
      </c>
      <c r="U126">
        <f t="shared" si="14"/>
        <v>18</v>
      </c>
      <c r="V126">
        <f t="shared" si="15"/>
        <v>2044</v>
      </c>
      <c r="W126">
        <f t="shared" si="16"/>
        <v>5</v>
      </c>
      <c r="X126">
        <f t="shared" si="17"/>
        <v>2</v>
      </c>
      <c r="Y126">
        <f t="shared" si="18"/>
        <v>1</v>
      </c>
      <c r="AE126" s="2" t="str" cm="1">
        <f t="array" ref="AE126">CONCATENATE($AE$2,Liste(S126:U126),";")</f>
        <v>INSERT INTO WD_Workdays (CalendarDay, CalendarWeekday, CalendarWeek) VALUES ('2044-05-02', 0, 18);</v>
      </c>
      <c r="AF126" s="2"/>
      <c r="AG126" s="2" t="str" cm="1">
        <f t="array" ref="AG126">CONCATENATE($AG$2,Liste(L126:O126),";")</f>
        <v>INSERT INTO WD_Holidays (CalendarDay, Donation, Share) VALUES ('2022-12-31', 'Silvester', 50);</v>
      </c>
    </row>
    <row r="127" spans="11:33" x14ac:dyDescent="0.45">
      <c r="K127" s="10">
        <v>44927</v>
      </c>
      <c r="L127" t="str">
        <f t="shared" si="26"/>
        <v>'2023-01-01'</v>
      </c>
      <c r="M127" s="3" t="s">
        <v>481</v>
      </c>
      <c r="N127">
        <v>100</v>
      </c>
      <c r="R127" s="10">
        <f t="shared" si="19"/>
        <v>52720</v>
      </c>
      <c r="S127" t="str">
        <f t="shared" si="12"/>
        <v>'2044-05-03'</v>
      </c>
      <c r="T127">
        <f t="shared" si="13"/>
        <v>1</v>
      </c>
      <c r="U127">
        <f t="shared" si="14"/>
        <v>18</v>
      </c>
      <c r="V127">
        <f t="shared" si="15"/>
        <v>2044</v>
      </c>
      <c r="W127">
        <f t="shared" si="16"/>
        <v>5</v>
      </c>
      <c r="X127">
        <f t="shared" si="17"/>
        <v>3</v>
      </c>
      <c r="Y127">
        <f t="shared" si="18"/>
        <v>1</v>
      </c>
      <c r="AE127" s="2" t="str" cm="1">
        <f t="array" ref="AE127">CONCATENATE($AE$2,Liste(S127:U127),";")</f>
        <v>INSERT INTO WD_Workdays (CalendarDay, CalendarWeekday, CalendarWeek) VALUES ('2044-05-03', 1, 18);</v>
      </c>
      <c r="AF127" s="2"/>
      <c r="AG127" s="2" t="str" cm="1">
        <f t="array" ref="AG127">CONCATENATE($AG$2,Liste(L127:O127),";")</f>
        <v>INSERT INTO WD_Holidays (CalendarDay, Donation, Share) VALUES ('2023-01-01', 'Neujahr', 100);</v>
      </c>
    </row>
    <row r="128" spans="11:33" x14ac:dyDescent="0.45">
      <c r="K128" s="10">
        <v>44993</v>
      </c>
      <c r="L128" t="str">
        <f t="shared" ref="L128:L134" si="27">CONCATENATE("'",TEXT(K128,"jjjj-MM-tt"),"'")</f>
        <v>'2023-03-08'</v>
      </c>
      <c r="M128" s="3" t="s">
        <v>554</v>
      </c>
      <c r="N128">
        <v>100</v>
      </c>
      <c r="R128" s="10">
        <f t="shared" si="19"/>
        <v>52721</v>
      </c>
      <c r="S128" t="str">
        <f t="shared" si="12"/>
        <v>'2044-05-04'</v>
      </c>
      <c r="T128">
        <f t="shared" si="13"/>
        <v>2</v>
      </c>
      <c r="U128">
        <f t="shared" si="14"/>
        <v>18</v>
      </c>
      <c r="V128">
        <f t="shared" si="15"/>
        <v>2044</v>
      </c>
      <c r="W128">
        <f t="shared" si="16"/>
        <v>5</v>
      </c>
      <c r="X128">
        <f t="shared" si="17"/>
        <v>4</v>
      </c>
      <c r="Y128">
        <f t="shared" si="18"/>
        <v>1</v>
      </c>
      <c r="AE128" s="2" t="str" cm="1">
        <f t="array" ref="AE128">CONCATENATE($AE$2,Liste(S128:U128),";")</f>
        <v>INSERT INTO WD_Workdays (CalendarDay, CalendarWeekday, CalendarWeek) VALUES ('2044-05-04', 2, 18);</v>
      </c>
      <c r="AF128" s="2"/>
      <c r="AG128" s="2" t="str" cm="1">
        <f t="array" ref="AG128">CONCATENATE($AG$2,Liste(L128:O128),";")</f>
        <v>INSERT INTO WD_Holidays (CalendarDay, Donation, Share) VALUES ('2023-03-08', 'Internationaler Frauentag', 100);</v>
      </c>
    </row>
    <row r="129" spans="11:33" x14ac:dyDescent="0.45">
      <c r="K129" s="10">
        <v>45023</v>
      </c>
      <c r="L129" t="str">
        <f t="shared" si="27"/>
        <v>'2023-04-07'</v>
      </c>
      <c r="M129" s="3" t="s">
        <v>555</v>
      </c>
      <c r="N129">
        <v>100</v>
      </c>
      <c r="R129" s="10">
        <f t="shared" si="19"/>
        <v>52722</v>
      </c>
      <c r="S129" t="str">
        <f t="shared" si="12"/>
        <v>'2044-05-05'</v>
      </c>
      <c r="T129">
        <f t="shared" si="13"/>
        <v>3</v>
      </c>
      <c r="U129">
        <f t="shared" si="14"/>
        <v>18</v>
      </c>
      <c r="V129">
        <f t="shared" si="15"/>
        <v>2044</v>
      </c>
      <c r="W129">
        <f t="shared" si="16"/>
        <v>5</v>
      </c>
      <c r="X129">
        <f t="shared" si="17"/>
        <v>5</v>
      </c>
      <c r="Y129">
        <f t="shared" si="18"/>
        <v>1</v>
      </c>
      <c r="AE129" s="2" t="str" cm="1">
        <f t="array" ref="AE129">CONCATENATE($AE$2,Liste(S129:U129),";")</f>
        <v>INSERT INTO WD_Workdays (CalendarDay, CalendarWeekday, CalendarWeek) VALUES ('2044-05-05', 3, 18);</v>
      </c>
      <c r="AF129" s="2"/>
      <c r="AG129" s="2" t="str" cm="1">
        <f t="array" ref="AG129">CONCATENATE($AG$2,Liste(L129:O129),";")</f>
        <v>INSERT INTO WD_Holidays (CalendarDay, Donation, Share) VALUES ('2023-04-07', 'Karfreitag', 100);</v>
      </c>
    </row>
    <row r="130" spans="11:33" x14ac:dyDescent="0.45">
      <c r="K130" s="10">
        <v>45025</v>
      </c>
      <c r="L130" t="str">
        <f t="shared" si="27"/>
        <v>'2023-04-09'</v>
      </c>
      <c r="M130" s="3" t="s">
        <v>556</v>
      </c>
      <c r="N130">
        <v>100</v>
      </c>
      <c r="R130" s="10">
        <f t="shared" si="19"/>
        <v>52723</v>
      </c>
      <c r="S130" t="str">
        <f t="shared" si="12"/>
        <v>'2044-05-06'</v>
      </c>
      <c r="T130">
        <f t="shared" si="13"/>
        <v>4</v>
      </c>
      <c r="U130">
        <f t="shared" si="14"/>
        <v>18</v>
      </c>
      <c r="V130">
        <f t="shared" si="15"/>
        <v>2044</v>
      </c>
      <c r="W130">
        <f t="shared" si="16"/>
        <v>5</v>
      </c>
      <c r="X130">
        <f t="shared" si="17"/>
        <v>6</v>
      </c>
      <c r="Y130">
        <f t="shared" si="18"/>
        <v>1</v>
      </c>
      <c r="AE130" s="2" t="str" cm="1">
        <f t="array" ref="AE130">CONCATENATE($AE$2,Liste(S130:U130),";")</f>
        <v>INSERT INTO WD_Workdays (CalendarDay, CalendarWeekday, CalendarWeek) VALUES ('2044-05-06', 4, 18);</v>
      </c>
      <c r="AF130" s="2"/>
      <c r="AG130" s="2" t="str" cm="1">
        <f t="array" ref="AG130">CONCATENATE($AG$2,Liste(L130:O130),";")</f>
        <v>INSERT INTO WD_Holidays (CalendarDay, Donation, Share) VALUES ('2023-04-09', 'Ostersonntag', 100);</v>
      </c>
    </row>
    <row r="131" spans="11:33" x14ac:dyDescent="0.45">
      <c r="K131" s="10">
        <v>45026</v>
      </c>
      <c r="L131" t="str">
        <f t="shared" si="27"/>
        <v>'2023-04-10'</v>
      </c>
      <c r="M131" s="3" t="s">
        <v>557</v>
      </c>
      <c r="N131">
        <v>100</v>
      </c>
      <c r="R131" s="10">
        <f t="shared" si="19"/>
        <v>52724</v>
      </c>
      <c r="S131" t="str">
        <f t="shared" si="12"/>
        <v>'2044-05-07'</v>
      </c>
      <c r="T131">
        <f t="shared" si="13"/>
        <v>5</v>
      </c>
      <c r="U131">
        <f t="shared" si="14"/>
        <v>18</v>
      </c>
      <c r="V131">
        <f t="shared" si="15"/>
        <v>2044</v>
      </c>
      <c r="W131">
        <f t="shared" si="16"/>
        <v>5</v>
      </c>
      <c r="X131">
        <f t="shared" si="17"/>
        <v>7</v>
      </c>
      <c r="Y131">
        <f t="shared" si="18"/>
        <v>1</v>
      </c>
      <c r="AE131" s="2" t="str" cm="1">
        <f t="array" ref="AE131">CONCATENATE($AE$2,Liste(S131:U131),";")</f>
        <v>INSERT INTO WD_Workdays (CalendarDay, CalendarWeekday, CalendarWeek) VALUES ('2044-05-07', 5, 18);</v>
      </c>
      <c r="AF131" s="2"/>
      <c r="AG131" s="2" t="str" cm="1">
        <f t="array" ref="AG131">CONCATENATE($AG$2,Liste(L131:O131),";")</f>
        <v>INSERT INTO WD_Holidays (CalendarDay, Donation, Share) VALUES ('2023-04-10', 'Ostermontag', 100);</v>
      </c>
    </row>
    <row r="132" spans="11:33" x14ac:dyDescent="0.45">
      <c r="K132" s="10">
        <v>45047</v>
      </c>
      <c r="L132" t="str">
        <f t="shared" si="27"/>
        <v>'2023-05-01'</v>
      </c>
      <c r="M132" s="3" t="s">
        <v>558</v>
      </c>
      <c r="N132">
        <v>100</v>
      </c>
      <c r="R132" s="10">
        <f t="shared" si="19"/>
        <v>52725</v>
      </c>
      <c r="S132" t="str">
        <f t="shared" si="12"/>
        <v>'2044-05-08'</v>
      </c>
      <c r="T132">
        <f t="shared" si="13"/>
        <v>6</v>
      </c>
      <c r="U132">
        <f t="shared" si="14"/>
        <v>18</v>
      </c>
      <c r="V132">
        <f t="shared" si="15"/>
        <v>2044</v>
      </c>
      <c r="W132">
        <f t="shared" si="16"/>
        <v>5</v>
      </c>
      <c r="X132">
        <f t="shared" si="17"/>
        <v>8</v>
      </c>
      <c r="Y132">
        <f t="shared" si="18"/>
        <v>1</v>
      </c>
      <c r="AE132" s="2" t="str" cm="1">
        <f t="array" ref="AE132">CONCATENATE($AE$2,Liste(S132:U132),";")</f>
        <v>INSERT INTO WD_Workdays (CalendarDay, CalendarWeekday, CalendarWeek) VALUES ('2044-05-08', 6, 18);</v>
      </c>
      <c r="AF132" s="2"/>
      <c r="AG132" s="2" t="str" cm="1">
        <f t="array" ref="AG132">CONCATENATE($AG$2,Liste(L132:O132),";")</f>
        <v>INSERT INTO WD_Holidays (CalendarDay, Donation, Share) VALUES ('2023-05-01', 'Tag der Arbeit', 100);</v>
      </c>
    </row>
    <row r="133" spans="11:33" x14ac:dyDescent="0.45">
      <c r="K133" s="10">
        <v>45064</v>
      </c>
      <c r="L133" t="str">
        <f t="shared" si="27"/>
        <v>'2023-05-18'</v>
      </c>
      <c r="M133" s="3" t="s">
        <v>559</v>
      </c>
      <c r="N133">
        <v>100</v>
      </c>
      <c r="R133" s="10">
        <f t="shared" si="19"/>
        <v>52726</v>
      </c>
      <c r="S133" t="str">
        <f t="shared" ref="S133:S196" si="28">CONCATENATE("'",TEXT(R133,"jjjj-MM-tt"),"'")</f>
        <v>'2044-05-09'</v>
      </c>
      <c r="T133">
        <f t="shared" ref="T133:T196" si="29">WEEKDAY(R133,3)</f>
        <v>0</v>
      </c>
      <c r="U133">
        <f t="shared" ref="U133:U196" si="30">_xlfn.ISOWEEKNUM(R133)</f>
        <v>19</v>
      </c>
      <c r="V133">
        <f t="shared" ref="V133:V196" si="31">YEAR(R133)</f>
        <v>2044</v>
      </c>
      <c r="W133">
        <f t="shared" ref="W133:W196" si="32">MONTH(R133)</f>
        <v>5</v>
      </c>
      <c r="X133">
        <f t="shared" ref="X133:X196" si="33">DAY(R133)</f>
        <v>9</v>
      </c>
      <c r="Y133">
        <f t="shared" ref="Y133:Y196" si="34">IF(AND(W133&gt;=1,W133&lt;=3),0,IF(AND(W133&gt;=4,W133&lt;=6),1,IF(AND(W133&gt;=7,W133&lt;=8),2,IF(AND(W133&gt;=9,W133&lt;=12),3,-1))))</f>
        <v>1</v>
      </c>
      <c r="AE133" s="2" t="str" cm="1">
        <f t="array" ref="AE133">CONCATENATE($AE$2,Liste(S133:U133),";")</f>
        <v>INSERT INTO WD_Workdays (CalendarDay, CalendarWeekday, CalendarWeek) VALUES ('2044-05-09', 0, 19);</v>
      </c>
      <c r="AF133" s="2"/>
      <c r="AG133" s="2" t="str" cm="1">
        <f t="array" ref="AG133">CONCATENATE($AG$2,Liste(L133:O133),";")</f>
        <v>INSERT INTO WD_Holidays (CalendarDay, Donation, Share) VALUES ('2023-05-18', 'Christi Himmelfahrt', 100);</v>
      </c>
    </row>
    <row r="134" spans="11:33" x14ac:dyDescent="0.45">
      <c r="K134" s="10">
        <v>45074</v>
      </c>
      <c r="L134" t="str">
        <f t="shared" si="27"/>
        <v>'2023-05-28'</v>
      </c>
      <c r="M134" s="3" t="s">
        <v>779</v>
      </c>
      <c r="N134">
        <v>100</v>
      </c>
      <c r="R134" s="10">
        <f t="shared" ref="R134:R197" si="35">R133+1</f>
        <v>52727</v>
      </c>
      <c r="S134" t="str">
        <f t="shared" si="28"/>
        <v>'2044-05-10'</v>
      </c>
      <c r="T134">
        <f t="shared" si="29"/>
        <v>1</v>
      </c>
      <c r="U134">
        <f t="shared" si="30"/>
        <v>19</v>
      </c>
      <c r="V134">
        <f t="shared" si="31"/>
        <v>2044</v>
      </c>
      <c r="W134">
        <f t="shared" si="32"/>
        <v>5</v>
      </c>
      <c r="X134">
        <f t="shared" si="33"/>
        <v>10</v>
      </c>
      <c r="Y134">
        <f t="shared" si="34"/>
        <v>1</v>
      </c>
      <c r="AE134" s="2" t="str" cm="1">
        <f t="array" ref="AE134">CONCATENATE($AE$2,Liste(S134:U134),";")</f>
        <v>INSERT INTO WD_Workdays (CalendarDay, CalendarWeekday, CalendarWeek) VALUES ('2044-05-10', 1, 19);</v>
      </c>
      <c r="AF134" s="2"/>
      <c r="AG134" s="2" t="str" cm="1">
        <f t="array" ref="AG134">CONCATENATE($AG$2,Liste(L134:O134),";")</f>
        <v>INSERT INTO WD_Holidays (CalendarDay, Donation, Share) VALUES ('2023-05-28', 'Pfingstsonntag', 100);</v>
      </c>
    </row>
    <row r="135" spans="11:33" x14ac:dyDescent="0.45">
      <c r="K135" s="10">
        <v>45075</v>
      </c>
      <c r="L135" t="str">
        <f t="shared" ref="L135:L141" si="36">CONCATENATE("'",TEXT(K135,"jjjj-MM-tt"),"'")</f>
        <v>'2023-05-29'</v>
      </c>
      <c r="M135" s="3" t="s">
        <v>560</v>
      </c>
      <c r="N135">
        <v>100</v>
      </c>
      <c r="R135" s="10">
        <f t="shared" si="35"/>
        <v>52728</v>
      </c>
      <c r="S135" t="str">
        <f t="shared" si="28"/>
        <v>'2044-05-11'</v>
      </c>
      <c r="T135">
        <f t="shared" si="29"/>
        <v>2</v>
      </c>
      <c r="U135">
        <f t="shared" si="30"/>
        <v>19</v>
      </c>
      <c r="V135">
        <f t="shared" si="31"/>
        <v>2044</v>
      </c>
      <c r="W135">
        <f t="shared" si="32"/>
        <v>5</v>
      </c>
      <c r="X135">
        <f t="shared" si="33"/>
        <v>11</v>
      </c>
      <c r="Y135">
        <f t="shared" si="34"/>
        <v>1</v>
      </c>
      <c r="AE135" s="2" t="str" cm="1">
        <f t="array" ref="AE135">CONCATENATE($AE$2,Liste(S135:U135),";")</f>
        <v>INSERT INTO WD_Workdays (CalendarDay, CalendarWeekday, CalendarWeek) VALUES ('2044-05-11', 2, 19);</v>
      </c>
      <c r="AF135" s="2"/>
      <c r="AG135" s="2" t="str" cm="1">
        <f t="array" ref="AG135">CONCATENATE($AG$2,Liste(L135:O135),";")</f>
        <v>INSERT INTO WD_Holidays (CalendarDay, Donation, Share) VALUES ('2023-05-29', 'Pfingstmontag', 100);</v>
      </c>
    </row>
    <row r="136" spans="11:33" x14ac:dyDescent="0.45">
      <c r="K136" s="10">
        <v>45202</v>
      </c>
      <c r="L136" t="str">
        <f t="shared" si="36"/>
        <v>'2023-10-03'</v>
      </c>
      <c r="M136" s="3" t="s">
        <v>561</v>
      </c>
      <c r="N136">
        <v>100</v>
      </c>
      <c r="R136" s="10">
        <f t="shared" si="35"/>
        <v>52729</v>
      </c>
      <c r="S136" t="str">
        <f t="shared" si="28"/>
        <v>'2044-05-12'</v>
      </c>
      <c r="T136">
        <f t="shared" si="29"/>
        <v>3</v>
      </c>
      <c r="U136">
        <f t="shared" si="30"/>
        <v>19</v>
      </c>
      <c r="V136">
        <f t="shared" si="31"/>
        <v>2044</v>
      </c>
      <c r="W136">
        <f t="shared" si="32"/>
        <v>5</v>
      </c>
      <c r="X136">
        <f t="shared" si="33"/>
        <v>12</v>
      </c>
      <c r="Y136">
        <f t="shared" si="34"/>
        <v>1</v>
      </c>
      <c r="AE136" s="2" t="str" cm="1">
        <f t="array" ref="AE136">CONCATENATE($AE$2,Liste(S136:U136),";")</f>
        <v>INSERT INTO WD_Workdays (CalendarDay, CalendarWeekday, CalendarWeek) VALUES ('2044-05-12', 3, 19);</v>
      </c>
      <c r="AF136" s="2"/>
      <c r="AG136" s="2" t="str" cm="1">
        <f t="array" ref="AG136">CONCATENATE($AG$2,Liste(L136:O136),";")</f>
        <v>INSERT INTO WD_Holidays (CalendarDay, Donation, Share) VALUES ('2023-10-03', 'Tag der Deutschen Einheit', 100);</v>
      </c>
    </row>
    <row r="137" spans="11:33" x14ac:dyDescent="0.45">
      <c r="K137" s="10">
        <v>45284</v>
      </c>
      <c r="L137" t="str">
        <f t="shared" si="36"/>
        <v>'2023-12-24'</v>
      </c>
      <c r="M137" s="3" t="s">
        <v>562</v>
      </c>
      <c r="N137">
        <v>50</v>
      </c>
      <c r="R137" s="10">
        <f t="shared" si="35"/>
        <v>52730</v>
      </c>
      <c r="S137" t="str">
        <f t="shared" si="28"/>
        <v>'2044-05-13'</v>
      </c>
      <c r="T137">
        <f t="shared" si="29"/>
        <v>4</v>
      </c>
      <c r="U137">
        <f t="shared" si="30"/>
        <v>19</v>
      </c>
      <c r="V137">
        <f t="shared" si="31"/>
        <v>2044</v>
      </c>
      <c r="W137">
        <f t="shared" si="32"/>
        <v>5</v>
      </c>
      <c r="X137">
        <f t="shared" si="33"/>
        <v>13</v>
      </c>
      <c r="Y137">
        <f t="shared" si="34"/>
        <v>1</v>
      </c>
      <c r="AE137" s="2" t="str" cm="1">
        <f t="array" ref="AE137">CONCATENATE($AE$2,Liste(S137:U137),";")</f>
        <v>INSERT INTO WD_Workdays (CalendarDay, CalendarWeekday, CalendarWeek) VALUES ('2044-05-13', 4, 19);</v>
      </c>
      <c r="AF137" s="2"/>
      <c r="AG137" s="2" t="str" cm="1">
        <f t="array" ref="AG137">CONCATENATE($AG$2,Liste(L137:O137),";")</f>
        <v>INSERT INTO WD_Holidays (CalendarDay, Donation, Share) VALUES ('2023-12-24', 'Heiligabend', 50);</v>
      </c>
    </row>
    <row r="138" spans="11:33" x14ac:dyDescent="0.45">
      <c r="K138" s="10">
        <v>45285</v>
      </c>
      <c r="L138" t="str">
        <f t="shared" si="36"/>
        <v>'2023-12-25'</v>
      </c>
      <c r="M138" s="3" t="s">
        <v>563</v>
      </c>
      <c r="N138">
        <v>100</v>
      </c>
      <c r="R138" s="10">
        <f t="shared" si="35"/>
        <v>52731</v>
      </c>
      <c r="S138" t="str">
        <f t="shared" si="28"/>
        <v>'2044-05-14'</v>
      </c>
      <c r="T138">
        <f t="shared" si="29"/>
        <v>5</v>
      </c>
      <c r="U138">
        <f t="shared" si="30"/>
        <v>19</v>
      </c>
      <c r="V138">
        <f t="shared" si="31"/>
        <v>2044</v>
      </c>
      <c r="W138">
        <f t="shared" si="32"/>
        <v>5</v>
      </c>
      <c r="X138">
        <f t="shared" si="33"/>
        <v>14</v>
      </c>
      <c r="Y138">
        <f t="shared" si="34"/>
        <v>1</v>
      </c>
      <c r="AE138" s="2" t="str" cm="1">
        <f t="array" ref="AE138">CONCATENATE($AE$2,Liste(S138:U138),";")</f>
        <v>INSERT INTO WD_Workdays (CalendarDay, CalendarWeekday, CalendarWeek) VALUES ('2044-05-14', 5, 19);</v>
      </c>
      <c r="AF138" s="2"/>
      <c r="AG138" s="2" t="str" cm="1">
        <f t="array" ref="AG138">CONCATENATE($AG$2,Liste(L138:O138),";")</f>
        <v>INSERT INTO WD_Holidays (CalendarDay, Donation, Share) VALUES ('2023-12-25', '1. Weihnachtsfeiertag', 100);</v>
      </c>
    </row>
    <row r="139" spans="11:33" x14ac:dyDescent="0.45">
      <c r="K139" s="10">
        <v>45286</v>
      </c>
      <c r="L139" t="str">
        <f t="shared" si="36"/>
        <v>'2023-12-26'</v>
      </c>
      <c r="M139" s="3" t="s">
        <v>564</v>
      </c>
      <c r="N139">
        <v>100</v>
      </c>
      <c r="R139" s="10">
        <f t="shared" si="35"/>
        <v>52732</v>
      </c>
      <c r="S139" t="str">
        <f t="shared" si="28"/>
        <v>'2044-05-15'</v>
      </c>
      <c r="T139">
        <f t="shared" si="29"/>
        <v>6</v>
      </c>
      <c r="U139">
        <f t="shared" si="30"/>
        <v>19</v>
      </c>
      <c r="V139">
        <f t="shared" si="31"/>
        <v>2044</v>
      </c>
      <c r="W139">
        <f t="shared" si="32"/>
        <v>5</v>
      </c>
      <c r="X139">
        <f t="shared" si="33"/>
        <v>15</v>
      </c>
      <c r="Y139">
        <f t="shared" si="34"/>
        <v>1</v>
      </c>
      <c r="AE139" s="2" t="str" cm="1">
        <f t="array" ref="AE139">CONCATENATE($AE$2,Liste(S139:U139),";")</f>
        <v>INSERT INTO WD_Workdays (CalendarDay, CalendarWeekday, CalendarWeek) VALUES ('2044-05-15', 6, 19);</v>
      </c>
      <c r="AF139" s="2"/>
      <c r="AG139" s="2" t="str" cm="1">
        <f t="array" ref="AG139">CONCATENATE($AG$2,Liste(L139:O139),";")</f>
        <v>INSERT INTO WD_Holidays (CalendarDay, Donation, Share) VALUES ('2023-12-26', '2. Weihnachtsfeiertag', 100);</v>
      </c>
    </row>
    <row r="140" spans="11:33" x14ac:dyDescent="0.45">
      <c r="K140" s="10">
        <v>45291</v>
      </c>
      <c r="L140" t="str">
        <f t="shared" si="36"/>
        <v>'2023-12-31'</v>
      </c>
      <c r="M140" s="3" t="s">
        <v>565</v>
      </c>
      <c r="N140">
        <v>50</v>
      </c>
      <c r="R140" s="10">
        <f t="shared" si="35"/>
        <v>52733</v>
      </c>
      <c r="S140" t="str">
        <f t="shared" si="28"/>
        <v>'2044-05-16'</v>
      </c>
      <c r="T140">
        <f t="shared" si="29"/>
        <v>0</v>
      </c>
      <c r="U140">
        <f t="shared" si="30"/>
        <v>20</v>
      </c>
      <c r="V140">
        <f t="shared" si="31"/>
        <v>2044</v>
      </c>
      <c r="W140">
        <f t="shared" si="32"/>
        <v>5</v>
      </c>
      <c r="X140">
        <f t="shared" si="33"/>
        <v>16</v>
      </c>
      <c r="Y140">
        <f t="shared" si="34"/>
        <v>1</v>
      </c>
      <c r="AE140" s="2" t="str" cm="1">
        <f t="array" ref="AE140">CONCATENATE($AE$2,Liste(S140:U140),";")</f>
        <v>INSERT INTO WD_Workdays (CalendarDay, CalendarWeekday, CalendarWeek) VALUES ('2044-05-16', 0, 20);</v>
      </c>
      <c r="AF140" s="2"/>
      <c r="AG140" s="2" t="str" cm="1">
        <f t="array" ref="AG140">CONCATENATE($AG$2,Liste(L140:O140),";")</f>
        <v>INSERT INTO WD_Holidays (CalendarDay, Donation, Share) VALUES ('2023-12-31', 'Silvester', 50);</v>
      </c>
    </row>
    <row r="141" spans="11:33" x14ac:dyDescent="0.45">
      <c r="K141" s="10">
        <v>45292</v>
      </c>
      <c r="L141" t="str">
        <f t="shared" si="36"/>
        <v>'2024-01-01'</v>
      </c>
      <c r="M141" s="3" t="s">
        <v>481</v>
      </c>
      <c r="N141">
        <v>100</v>
      </c>
      <c r="R141" s="10">
        <f t="shared" si="35"/>
        <v>52734</v>
      </c>
      <c r="S141" t="str">
        <f t="shared" si="28"/>
        <v>'2044-05-17'</v>
      </c>
      <c r="T141">
        <f t="shared" si="29"/>
        <v>1</v>
      </c>
      <c r="U141">
        <f t="shared" si="30"/>
        <v>20</v>
      </c>
      <c r="V141">
        <f t="shared" si="31"/>
        <v>2044</v>
      </c>
      <c r="W141">
        <f t="shared" si="32"/>
        <v>5</v>
      </c>
      <c r="X141">
        <f t="shared" si="33"/>
        <v>17</v>
      </c>
      <c r="Y141">
        <f t="shared" si="34"/>
        <v>1</v>
      </c>
      <c r="AE141" s="2" t="str" cm="1">
        <f t="array" ref="AE141">CONCATENATE($AE$2,Liste(S141:U141),";")</f>
        <v>INSERT INTO WD_Workdays (CalendarDay, CalendarWeekday, CalendarWeek) VALUES ('2044-05-17', 1, 20);</v>
      </c>
      <c r="AF141" s="2"/>
      <c r="AG141" s="2" t="str" cm="1">
        <f t="array" ref="AG141">CONCATENATE($AG$2,Liste(L141:O141),";")</f>
        <v>INSERT INTO WD_Holidays (CalendarDay, Donation, Share) VALUES ('2024-01-01', 'Neujahr', 100);</v>
      </c>
    </row>
    <row r="142" spans="11:33" x14ac:dyDescent="0.45">
      <c r="K142" s="10">
        <v>45359</v>
      </c>
      <c r="L142" t="str">
        <f t="shared" ref="L142:L148" si="37">CONCATENATE("'",TEXT(K142,"jjjj-MM-tt"),"'")</f>
        <v>'2024-03-08'</v>
      </c>
      <c r="M142" s="3" t="s">
        <v>554</v>
      </c>
      <c r="N142">
        <v>100</v>
      </c>
      <c r="R142" s="10">
        <f t="shared" si="35"/>
        <v>52735</v>
      </c>
      <c r="S142" t="str">
        <f t="shared" si="28"/>
        <v>'2044-05-18'</v>
      </c>
      <c r="T142">
        <f t="shared" si="29"/>
        <v>2</v>
      </c>
      <c r="U142">
        <f t="shared" si="30"/>
        <v>20</v>
      </c>
      <c r="V142">
        <f t="shared" si="31"/>
        <v>2044</v>
      </c>
      <c r="W142">
        <f t="shared" si="32"/>
        <v>5</v>
      </c>
      <c r="X142">
        <f t="shared" si="33"/>
        <v>18</v>
      </c>
      <c r="Y142">
        <f t="shared" si="34"/>
        <v>1</v>
      </c>
      <c r="AE142" s="2" t="str" cm="1">
        <f t="array" ref="AE142">CONCATENATE($AE$2,Liste(S142:U142),";")</f>
        <v>INSERT INTO WD_Workdays (CalendarDay, CalendarWeekday, CalendarWeek) VALUES ('2044-05-18', 2, 20);</v>
      </c>
      <c r="AF142" s="2"/>
      <c r="AG142" s="2" t="str" cm="1">
        <f t="array" ref="AG142">CONCATENATE($AG$2,Liste(L142:O142),";")</f>
        <v>INSERT INTO WD_Holidays (CalendarDay, Donation, Share) VALUES ('2024-03-08', 'Internationaler Frauentag', 100);</v>
      </c>
    </row>
    <row r="143" spans="11:33" x14ac:dyDescent="0.45">
      <c r="K143" s="10">
        <v>45380</v>
      </c>
      <c r="L143" t="str">
        <f t="shared" si="37"/>
        <v>'2024-03-29'</v>
      </c>
      <c r="M143" s="3" t="s">
        <v>555</v>
      </c>
      <c r="N143">
        <v>100</v>
      </c>
      <c r="R143" s="10">
        <f t="shared" si="35"/>
        <v>52736</v>
      </c>
      <c r="S143" t="str">
        <f t="shared" si="28"/>
        <v>'2044-05-19'</v>
      </c>
      <c r="T143">
        <f t="shared" si="29"/>
        <v>3</v>
      </c>
      <c r="U143">
        <f t="shared" si="30"/>
        <v>20</v>
      </c>
      <c r="V143">
        <f t="shared" si="31"/>
        <v>2044</v>
      </c>
      <c r="W143">
        <f t="shared" si="32"/>
        <v>5</v>
      </c>
      <c r="X143">
        <f t="shared" si="33"/>
        <v>19</v>
      </c>
      <c r="Y143">
        <f t="shared" si="34"/>
        <v>1</v>
      </c>
      <c r="AE143" s="2" t="str" cm="1">
        <f t="array" ref="AE143">CONCATENATE($AE$2,Liste(S143:U143),";")</f>
        <v>INSERT INTO WD_Workdays (CalendarDay, CalendarWeekday, CalendarWeek) VALUES ('2044-05-19', 3, 20);</v>
      </c>
      <c r="AF143" s="2"/>
      <c r="AG143" s="2" t="str" cm="1">
        <f t="array" ref="AG143">CONCATENATE($AG$2,Liste(L143:O143),";")</f>
        <v>INSERT INTO WD_Holidays (CalendarDay, Donation, Share) VALUES ('2024-03-29', 'Karfreitag', 100);</v>
      </c>
    </row>
    <row r="144" spans="11:33" x14ac:dyDescent="0.45">
      <c r="K144" s="10">
        <v>45382</v>
      </c>
      <c r="L144" t="str">
        <f t="shared" si="37"/>
        <v>'2024-03-31'</v>
      </c>
      <c r="M144" s="3" t="s">
        <v>556</v>
      </c>
      <c r="N144">
        <v>100</v>
      </c>
      <c r="R144" s="10">
        <f t="shared" si="35"/>
        <v>52737</v>
      </c>
      <c r="S144" t="str">
        <f t="shared" si="28"/>
        <v>'2044-05-20'</v>
      </c>
      <c r="T144">
        <f t="shared" si="29"/>
        <v>4</v>
      </c>
      <c r="U144">
        <f t="shared" si="30"/>
        <v>20</v>
      </c>
      <c r="V144">
        <f t="shared" si="31"/>
        <v>2044</v>
      </c>
      <c r="W144">
        <f t="shared" si="32"/>
        <v>5</v>
      </c>
      <c r="X144">
        <f t="shared" si="33"/>
        <v>20</v>
      </c>
      <c r="Y144">
        <f t="shared" si="34"/>
        <v>1</v>
      </c>
      <c r="AE144" s="2" t="str" cm="1">
        <f t="array" ref="AE144">CONCATENATE($AE$2,Liste(S144:U144),";")</f>
        <v>INSERT INTO WD_Workdays (CalendarDay, CalendarWeekday, CalendarWeek) VALUES ('2044-05-20', 4, 20);</v>
      </c>
      <c r="AF144" s="2"/>
      <c r="AG144" s="2" t="str" cm="1">
        <f t="array" ref="AG144">CONCATENATE($AG$2,Liste(L144:O144),";")</f>
        <v>INSERT INTO WD_Holidays (CalendarDay, Donation, Share) VALUES ('2024-03-31', 'Ostersonntag', 100);</v>
      </c>
    </row>
    <row r="145" spans="11:33" x14ac:dyDescent="0.45">
      <c r="K145" s="10">
        <v>45383</v>
      </c>
      <c r="L145" t="str">
        <f t="shared" si="37"/>
        <v>'2024-04-01'</v>
      </c>
      <c r="M145" s="3" t="s">
        <v>557</v>
      </c>
      <c r="N145">
        <v>100</v>
      </c>
      <c r="R145" s="10">
        <f t="shared" si="35"/>
        <v>52738</v>
      </c>
      <c r="S145" t="str">
        <f t="shared" si="28"/>
        <v>'2044-05-21'</v>
      </c>
      <c r="T145">
        <f t="shared" si="29"/>
        <v>5</v>
      </c>
      <c r="U145">
        <f t="shared" si="30"/>
        <v>20</v>
      </c>
      <c r="V145">
        <f t="shared" si="31"/>
        <v>2044</v>
      </c>
      <c r="W145">
        <f t="shared" si="32"/>
        <v>5</v>
      </c>
      <c r="X145">
        <f t="shared" si="33"/>
        <v>21</v>
      </c>
      <c r="Y145">
        <f t="shared" si="34"/>
        <v>1</v>
      </c>
      <c r="AE145" s="2" t="str" cm="1">
        <f t="array" ref="AE145">CONCATENATE($AE$2,Liste(S145:U145),";")</f>
        <v>INSERT INTO WD_Workdays (CalendarDay, CalendarWeekday, CalendarWeek) VALUES ('2044-05-21', 5, 20);</v>
      </c>
      <c r="AF145" s="2"/>
      <c r="AG145" s="2" t="str" cm="1">
        <f t="array" ref="AG145">CONCATENATE($AG$2,Liste(L145:O145),";")</f>
        <v>INSERT INTO WD_Holidays (CalendarDay, Donation, Share) VALUES ('2024-04-01', 'Ostermontag', 100);</v>
      </c>
    </row>
    <row r="146" spans="11:33" x14ac:dyDescent="0.45">
      <c r="K146" s="10">
        <v>45413</v>
      </c>
      <c r="L146" t="str">
        <f t="shared" si="37"/>
        <v>'2024-05-01'</v>
      </c>
      <c r="M146" s="3" t="s">
        <v>558</v>
      </c>
      <c r="N146">
        <v>100</v>
      </c>
      <c r="R146" s="10">
        <f t="shared" si="35"/>
        <v>52739</v>
      </c>
      <c r="S146" t="str">
        <f t="shared" si="28"/>
        <v>'2044-05-22'</v>
      </c>
      <c r="T146">
        <f t="shared" si="29"/>
        <v>6</v>
      </c>
      <c r="U146">
        <f t="shared" si="30"/>
        <v>20</v>
      </c>
      <c r="V146">
        <f t="shared" si="31"/>
        <v>2044</v>
      </c>
      <c r="W146">
        <f t="shared" si="32"/>
        <v>5</v>
      </c>
      <c r="X146">
        <f t="shared" si="33"/>
        <v>22</v>
      </c>
      <c r="Y146">
        <f t="shared" si="34"/>
        <v>1</v>
      </c>
      <c r="AE146" s="2" t="str" cm="1">
        <f t="array" ref="AE146">CONCATENATE($AE$2,Liste(S146:U146),";")</f>
        <v>INSERT INTO WD_Workdays (CalendarDay, CalendarWeekday, CalendarWeek) VALUES ('2044-05-22', 6, 20);</v>
      </c>
      <c r="AF146" s="2"/>
      <c r="AG146" s="2" t="str" cm="1">
        <f t="array" ref="AG146">CONCATENATE($AG$2,Liste(L146:O146),";")</f>
        <v>INSERT INTO WD_Holidays (CalendarDay, Donation, Share) VALUES ('2024-05-01', 'Tag der Arbeit', 100);</v>
      </c>
    </row>
    <row r="147" spans="11:33" x14ac:dyDescent="0.45">
      <c r="K147" s="10">
        <v>45421</v>
      </c>
      <c r="L147" t="str">
        <f t="shared" si="37"/>
        <v>'2024-05-09'</v>
      </c>
      <c r="M147" s="3" t="s">
        <v>559</v>
      </c>
      <c r="N147">
        <v>100</v>
      </c>
      <c r="R147" s="10">
        <f t="shared" si="35"/>
        <v>52740</v>
      </c>
      <c r="S147" t="str">
        <f t="shared" si="28"/>
        <v>'2044-05-23'</v>
      </c>
      <c r="T147">
        <f t="shared" si="29"/>
        <v>0</v>
      </c>
      <c r="U147">
        <f t="shared" si="30"/>
        <v>21</v>
      </c>
      <c r="V147">
        <f t="shared" si="31"/>
        <v>2044</v>
      </c>
      <c r="W147">
        <f t="shared" si="32"/>
        <v>5</v>
      </c>
      <c r="X147">
        <f t="shared" si="33"/>
        <v>23</v>
      </c>
      <c r="Y147">
        <f t="shared" si="34"/>
        <v>1</v>
      </c>
      <c r="AE147" s="2" t="str" cm="1">
        <f t="array" ref="AE147">CONCATENATE($AE$2,Liste(S147:U147),";")</f>
        <v>INSERT INTO WD_Workdays (CalendarDay, CalendarWeekday, CalendarWeek) VALUES ('2044-05-23', 0, 21);</v>
      </c>
      <c r="AF147" s="2"/>
      <c r="AG147" s="2" t="str" cm="1">
        <f t="array" ref="AG147">CONCATENATE($AG$2,Liste(L147:O147),";")</f>
        <v>INSERT INTO WD_Holidays (CalendarDay, Donation, Share) VALUES ('2024-05-09', 'Christi Himmelfahrt', 100);</v>
      </c>
    </row>
    <row r="148" spans="11:33" x14ac:dyDescent="0.45">
      <c r="K148" s="10">
        <v>45431</v>
      </c>
      <c r="L148" t="str">
        <f t="shared" si="37"/>
        <v>'2024-05-19'</v>
      </c>
      <c r="M148" s="3" t="s">
        <v>779</v>
      </c>
      <c r="N148">
        <v>100</v>
      </c>
      <c r="R148" s="10">
        <f t="shared" si="35"/>
        <v>52741</v>
      </c>
      <c r="S148" t="str">
        <f t="shared" si="28"/>
        <v>'2044-05-24'</v>
      </c>
      <c r="T148">
        <f t="shared" si="29"/>
        <v>1</v>
      </c>
      <c r="U148">
        <f t="shared" si="30"/>
        <v>21</v>
      </c>
      <c r="V148">
        <f t="shared" si="31"/>
        <v>2044</v>
      </c>
      <c r="W148">
        <f t="shared" si="32"/>
        <v>5</v>
      </c>
      <c r="X148">
        <f t="shared" si="33"/>
        <v>24</v>
      </c>
      <c r="Y148">
        <f t="shared" si="34"/>
        <v>1</v>
      </c>
      <c r="AE148" s="2" t="str" cm="1">
        <f t="array" ref="AE148">CONCATENATE($AE$2,Liste(S148:U148),";")</f>
        <v>INSERT INTO WD_Workdays (CalendarDay, CalendarWeekday, CalendarWeek) VALUES ('2044-05-24', 1, 21);</v>
      </c>
      <c r="AF148" s="2"/>
      <c r="AG148" s="2" t="str" cm="1">
        <f t="array" ref="AG148">CONCATENATE($AG$2,Liste(L148:O148),";")</f>
        <v>INSERT INTO WD_Holidays (CalendarDay, Donation, Share) VALUES ('2024-05-19', 'Pfingstsonntag', 100);</v>
      </c>
    </row>
    <row r="149" spans="11:33" x14ac:dyDescent="0.45">
      <c r="K149" s="10">
        <v>45432</v>
      </c>
      <c r="L149" t="str">
        <f t="shared" ref="L149:L155" si="38">CONCATENATE("'",TEXT(K149,"jjjj-MM-tt"),"'")</f>
        <v>'2024-05-20'</v>
      </c>
      <c r="M149" s="3" t="s">
        <v>560</v>
      </c>
      <c r="N149">
        <v>100</v>
      </c>
      <c r="R149" s="10">
        <f t="shared" si="35"/>
        <v>52742</v>
      </c>
      <c r="S149" t="str">
        <f t="shared" si="28"/>
        <v>'2044-05-25'</v>
      </c>
      <c r="T149">
        <f t="shared" si="29"/>
        <v>2</v>
      </c>
      <c r="U149">
        <f t="shared" si="30"/>
        <v>21</v>
      </c>
      <c r="V149">
        <f t="shared" si="31"/>
        <v>2044</v>
      </c>
      <c r="W149">
        <f t="shared" si="32"/>
        <v>5</v>
      </c>
      <c r="X149">
        <f t="shared" si="33"/>
        <v>25</v>
      </c>
      <c r="Y149">
        <f t="shared" si="34"/>
        <v>1</v>
      </c>
      <c r="AE149" s="2" t="str" cm="1">
        <f t="array" ref="AE149">CONCATENATE($AE$2,Liste(S149:U149),";")</f>
        <v>INSERT INTO WD_Workdays (CalendarDay, CalendarWeekday, CalendarWeek) VALUES ('2044-05-25', 2, 21);</v>
      </c>
      <c r="AF149" s="2"/>
      <c r="AG149" s="2" t="str" cm="1">
        <f t="array" ref="AG149">CONCATENATE($AG$2,Liste(L149:O149),";")</f>
        <v>INSERT INTO WD_Holidays (CalendarDay, Donation, Share) VALUES ('2024-05-20', 'Pfingstmontag', 100);</v>
      </c>
    </row>
    <row r="150" spans="11:33" x14ac:dyDescent="0.45">
      <c r="K150" s="10">
        <v>45568</v>
      </c>
      <c r="L150" t="str">
        <f t="shared" si="38"/>
        <v>'2024-10-03'</v>
      </c>
      <c r="M150" s="3" t="s">
        <v>561</v>
      </c>
      <c r="N150">
        <v>100</v>
      </c>
      <c r="R150" s="10">
        <f t="shared" si="35"/>
        <v>52743</v>
      </c>
      <c r="S150" t="str">
        <f t="shared" si="28"/>
        <v>'2044-05-26'</v>
      </c>
      <c r="T150">
        <f t="shared" si="29"/>
        <v>3</v>
      </c>
      <c r="U150">
        <f t="shared" si="30"/>
        <v>21</v>
      </c>
      <c r="V150">
        <f t="shared" si="31"/>
        <v>2044</v>
      </c>
      <c r="W150">
        <f t="shared" si="32"/>
        <v>5</v>
      </c>
      <c r="X150">
        <f t="shared" si="33"/>
        <v>26</v>
      </c>
      <c r="Y150">
        <f t="shared" si="34"/>
        <v>1</v>
      </c>
      <c r="AE150" s="2" t="str" cm="1">
        <f t="array" ref="AE150">CONCATENATE($AE$2,Liste(S150:U150),";")</f>
        <v>INSERT INTO WD_Workdays (CalendarDay, CalendarWeekday, CalendarWeek) VALUES ('2044-05-26', 3, 21);</v>
      </c>
      <c r="AF150" s="2"/>
      <c r="AG150" s="2" t="str" cm="1">
        <f t="array" ref="AG150">CONCATENATE($AG$2,Liste(L150:O150),";")</f>
        <v>INSERT INTO WD_Holidays (CalendarDay, Donation, Share) VALUES ('2024-10-03', 'Tag der Deutschen Einheit', 100);</v>
      </c>
    </row>
    <row r="151" spans="11:33" x14ac:dyDescent="0.45">
      <c r="K151" s="10">
        <v>45650</v>
      </c>
      <c r="L151" t="str">
        <f t="shared" si="38"/>
        <v>'2024-12-24'</v>
      </c>
      <c r="M151" s="3" t="s">
        <v>562</v>
      </c>
      <c r="N151">
        <v>50</v>
      </c>
      <c r="R151" s="10">
        <f t="shared" si="35"/>
        <v>52744</v>
      </c>
      <c r="S151" t="str">
        <f t="shared" si="28"/>
        <v>'2044-05-27'</v>
      </c>
      <c r="T151">
        <f t="shared" si="29"/>
        <v>4</v>
      </c>
      <c r="U151">
        <f t="shared" si="30"/>
        <v>21</v>
      </c>
      <c r="V151">
        <f t="shared" si="31"/>
        <v>2044</v>
      </c>
      <c r="W151">
        <f t="shared" si="32"/>
        <v>5</v>
      </c>
      <c r="X151">
        <f t="shared" si="33"/>
        <v>27</v>
      </c>
      <c r="Y151">
        <f t="shared" si="34"/>
        <v>1</v>
      </c>
      <c r="AE151" s="2" t="str" cm="1">
        <f t="array" ref="AE151">CONCATENATE($AE$2,Liste(S151:U151),";")</f>
        <v>INSERT INTO WD_Workdays (CalendarDay, CalendarWeekday, CalendarWeek) VALUES ('2044-05-27', 4, 21);</v>
      </c>
      <c r="AF151" s="2"/>
      <c r="AG151" s="2" t="str" cm="1">
        <f t="array" ref="AG151">CONCATENATE($AG$2,Liste(L151:O151),";")</f>
        <v>INSERT INTO WD_Holidays (CalendarDay, Donation, Share) VALUES ('2024-12-24', 'Heiligabend', 50);</v>
      </c>
    </row>
    <row r="152" spans="11:33" x14ac:dyDescent="0.45">
      <c r="K152" s="10">
        <v>45651</v>
      </c>
      <c r="L152" t="str">
        <f t="shared" si="38"/>
        <v>'2024-12-25'</v>
      </c>
      <c r="M152" s="3" t="s">
        <v>563</v>
      </c>
      <c r="N152">
        <v>100</v>
      </c>
      <c r="R152" s="10">
        <f t="shared" si="35"/>
        <v>52745</v>
      </c>
      <c r="S152" t="str">
        <f t="shared" si="28"/>
        <v>'2044-05-28'</v>
      </c>
      <c r="T152">
        <f t="shared" si="29"/>
        <v>5</v>
      </c>
      <c r="U152">
        <f t="shared" si="30"/>
        <v>21</v>
      </c>
      <c r="V152">
        <f t="shared" si="31"/>
        <v>2044</v>
      </c>
      <c r="W152">
        <f t="shared" si="32"/>
        <v>5</v>
      </c>
      <c r="X152">
        <f t="shared" si="33"/>
        <v>28</v>
      </c>
      <c r="Y152">
        <f t="shared" si="34"/>
        <v>1</v>
      </c>
      <c r="AE152" s="2" t="str" cm="1">
        <f t="array" ref="AE152">CONCATENATE($AE$2,Liste(S152:U152),";")</f>
        <v>INSERT INTO WD_Workdays (CalendarDay, CalendarWeekday, CalendarWeek) VALUES ('2044-05-28', 5, 21);</v>
      </c>
      <c r="AF152" s="2"/>
      <c r="AG152" s="2" t="str" cm="1">
        <f t="array" ref="AG152">CONCATENATE($AG$2,Liste(L152:O152),";")</f>
        <v>INSERT INTO WD_Holidays (CalendarDay, Donation, Share) VALUES ('2024-12-25', '1. Weihnachtsfeiertag', 100);</v>
      </c>
    </row>
    <row r="153" spans="11:33" x14ac:dyDescent="0.45">
      <c r="K153" s="10">
        <v>45652</v>
      </c>
      <c r="L153" t="str">
        <f t="shared" si="38"/>
        <v>'2024-12-26'</v>
      </c>
      <c r="M153" s="3" t="s">
        <v>564</v>
      </c>
      <c r="N153">
        <v>100</v>
      </c>
      <c r="R153" s="10">
        <f t="shared" si="35"/>
        <v>52746</v>
      </c>
      <c r="S153" t="str">
        <f t="shared" si="28"/>
        <v>'2044-05-29'</v>
      </c>
      <c r="T153">
        <f t="shared" si="29"/>
        <v>6</v>
      </c>
      <c r="U153">
        <f t="shared" si="30"/>
        <v>21</v>
      </c>
      <c r="V153">
        <f t="shared" si="31"/>
        <v>2044</v>
      </c>
      <c r="W153">
        <f t="shared" si="32"/>
        <v>5</v>
      </c>
      <c r="X153">
        <f t="shared" si="33"/>
        <v>29</v>
      </c>
      <c r="Y153">
        <f t="shared" si="34"/>
        <v>1</v>
      </c>
      <c r="AE153" s="2" t="str" cm="1">
        <f t="array" ref="AE153">CONCATENATE($AE$2,Liste(S153:U153),";")</f>
        <v>INSERT INTO WD_Workdays (CalendarDay, CalendarWeekday, CalendarWeek) VALUES ('2044-05-29', 6, 21);</v>
      </c>
      <c r="AF153" s="2"/>
      <c r="AG153" s="2" t="str" cm="1">
        <f t="array" ref="AG153">CONCATENATE($AG$2,Liste(L153:O153),";")</f>
        <v>INSERT INTO WD_Holidays (CalendarDay, Donation, Share) VALUES ('2024-12-26', '2. Weihnachtsfeiertag', 100);</v>
      </c>
    </row>
    <row r="154" spans="11:33" x14ac:dyDescent="0.45">
      <c r="K154" s="10">
        <v>45657</v>
      </c>
      <c r="L154" t="str">
        <f t="shared" si="38"/>
        <v>'2024-12-31'</v>
      </c>
      <c r="M154" s="3" t="s">
        <v>565</v>
      </c>
      <c r="N154">
        <v>50</v>
      </c>
      <c r="R154" s="10">
        <f t="shared" si="35"/>
        <v>52747</v>
      </c>
      <c r="S154" t="str">
        <f t="shared" si="28"/>
        <v>'2044-05-30'</v>
      </c>
      <c r="T154">
        <f t="shared" si="29"/>
        <v>0</v>
      </c>
      <c r="U154">
        <f t="shared" si="30"/>
        <v>22</v>
      </c>
      <c r="V154">
        <f t="shared" si="31"/>
        <v>2044</v>
      </c>
      <c r="W154">
        <f t="shared" si="32"/>
        <v>5</v>
      </c>
      <c r="X154">
        <f t="shared" si="33"/>
        <v>30</v>
      </c>
      <c r="Y154">
        <f t="shared" si="34"/>
        <v>1</v>
      </c>
      <c r="AE154" s="2" t="str" cm="1">
        <f t="array" ref="AE154">CONCATENATE($AE$2,Liste(S154:U154),";")</f>
        <v>INSERT INTO WD_Workdays (CalendarDay, CalendarWeekday, CalendarWeek) VALUES ('2044-05-30', 0, 22);</v>
      </c>
      <c r="AF154" s="2"/>
      <c r="AG154" s="2" t="str" cm="1">
        <f t="array" ref="AG154">CONCATENATE($AG$2,Liste(L154:O154),";")</f>
        <v>INSERT INTO WD_Holidays (CalendarDay, Donation, Share) VALUES ('2024-12-31', 'Silvester', 50);</v>
      </c>
    </row>
    <row r="155" spans="11:33" x14ac:dyDescent="0.45">
      <c r="K155" s="10">
        <v>45658</v>
      </c>
      <c r="L155" t="str">
        <f t="shared" si="38"/>
        <v>'2025-01-01'</v>
      </c>
      <c r="M155" s="3" t="s">
        <v>481</v>
      </c>
      <c r="N155">
        <v>100</v>
      </c>
      <c r="R155" s="10">
        <f t="shared" si="35"/>
        <v>52748</v>
      </c>
      <c r="S155" t="str">
        <f t="shared" si="28"/>
        <v>'2044-05-31'</v>
      </c>
      <c r="T155">
        <f t="shared" si="29"/>
        <v>1</v>
      </c>
      <c r="U155">
        <f t="shared" si="30"/>
        <v>22</v>
      </c>
      <c r="V155">
        <f t="shared" si="31"/>
        <v>2044</v>
      </c>
      <c r="W155">
        <f t="shared" si="32"/>
        <v>5</v>
      </c>
      <c r="X155">
        <f t="shared" si="33"/>
        <v>31</v>
      </c>
      <c r="Y155">
        <f t="shared" si="34"/>
        <v>1</v>
      </c>
      <c r="AE155" s="2" t="str" cm="1">
        <f t="array" ref="AE155">CONCATENATE($AE$2,Liste(S155:U155),";")</f>
        <v>INSERT INTO WD_Workdays (CalendarDay, CalendarWeekday, CalendarWeek) VALUES ('2044-05-31', 1, 22);</v>
      </c>
      <c r="AF155" s="2"/>
      <c r="AG155" s="2" t="str" cm="1">
        <f t="array" ref="AG155">CONCATENATE($AG$2,Liste(L155:O155),";")</f>
        <v>INSERT INTO WD_Holidays (CalendarDay, Donation, Share) VALUES ('2025-01-01', 'Neujahr', 100);</v>
      </c>
    </row>
    <row r="156" spans="11:33" x14ac:dyDescent="0.45">
      <c r="K156" s="10">
        <v>45724</v>
      </c>
      <c r="L156" t="str">
        <f t="shared" ref="L156:L162" si="39">CONCATENATE("'",TEXT(K156,"jjjj-MM-tt"),"'")</f>
        <v>'2025-03-08'</v>
      </c>
      <c r="M156" s="3" t="s">
        <v>554</v>
      </c>
      <c r="N156">
        <v>100</v>
      </c>
      <c r="R156" s="10">
        <f t="shared" si="35"/>
        <v>52749</v>
      </c>
      <c r="S156" t="str">
        <f t="shared" si="28"/>
        <v>'2044-06-01'</v>
      </c>
      <c r="T156">
        <f t="shared" si="29"/>
        <v>2</v>
      </c>
      <c r="U156">
        <f t="shared" si="30"/>
        <v>22</v>
      </c>
      <c r="V156">
        <f t="shared" si="31"/>
        <v>2044</v>
      </c>
      <c r="W156">
        <f t="shared" si="32"/>
        <v>6</v>
      </c>
      <c r="X156">
        <f t="shared" si="33"/>
        <v>1</v>
      </c>
      <c r="Y156">
        <f t="shared" si="34"/>
        <v>1</v>
      </c>
      <c r="AE156" s="2" t="str" cm="1">
        <f t="array" ref="AE156">CONCATENATE($AE$2,Liste(S156:U156),";")</f>
        <v>INSERT INTO WD_Workdays (CalendarDay, CalendarWeekday, CalendarWeek) VALUES ('2044-06-01', 2, 22);</v>
      </c>
      <c r="AF156" s="2"/>
      <c r="AG156" s="2" t="str" cm="1">
        <f t="array" ref="AG156">CONCATENATE($AG$2,Liste(L156:O156),";")</f>
        <v>INSERT INTO WD_Holidays (CalendarDay, Donation, Share) VALUES ('2025-03-08', 'Internationaler Frauentag', 100);</v>
      </c>
    </row>
    <row r="157" spans="11:33" x14ac:dyDescent="0.45">
      <c r="K157" s="10">
        <v>45765</v>
      </c>
      <c r="L157" t="str">
        <f t="shared" si="39"/>
        <v>'2025-04-18'</v>
      </c>
      <c r="M157" s="3" t="s">
        <v>555</v>
      </c>
      <c r="N157">
        <v>100</v>
      </c>
      <c r="R157" s="10">
        <f t="shared" si="35"/>
        <v>52750</v>
      </c>
      <c r="S157" t="str">
        <f t="shared" si="28"/>
        <v>'2044-06-02'</v>
      </c>
      <c r="T157">
        <f t="shared" si="29"/>
        <v>3</v>
      </c>
      <c r="U157">
        <f t="shared" si="30"/>
        <v>22</v>
      </c>
      <c r="V157">
        <f t="shared" si="31"/>
        <v>2044</v>
      </c>
      <c r="W157">
        <f t="shared" si="32"/>
        <v>6</v>
      </c>
      <c r="X157">
        <f t="shared" si="33"/>
        <v>2</v>
      </c>
      <c r="Y157">
        <f t="shared" si="34"/>
        <v>1</v>
      </c>
      <c r="AE157" s="2" t="str" cm="1">
        <f t="array" ref="AE157">CONCATENATE($AE$2,Liste(S157:U157),";")</f>
        <v>INSERT INTO WD_Workdays (CalendarDay, CalendarWeekday, CalendarWeek) VALUES ('2044-06-02', 3, 22);</v>
      </c>
      <c r="AF157" s="2"/>
      <c r="AG157" s="2" t="str" cm="1">
        <f t="array" ref="AG157">CONCATENATE($AG$2,Liste(L157:O157),";")</f>
        <v>INSERT INTO WD_Holidays (CalendarDay, Donation, Share) VALUES ('2025-04-18', 'Karfreitag', 100);</v>
      </c>
    </row>
    <row r="158" spans="11:33" x14ac:dyDescent="0.45">
      <c r="K158" s="10">
        <v>45767</v>
      </c>
      <c r="L158" t="str">
        <f t="shared" si="39"/>
        <v>'2025-04-20'</v>
      </c>
      <c r="M158" s="3" t="s">
        <v>556</v>
      </c>
      <c r="N158">
        <v>100</v>
      </c>
      <c r="R158" s="10">
        <f t="shared" si="35"/>
        <v>52751</v>
      </c>
      <c r="S158" t="str">
        <f t="shared" si="28"/>
        <v>'2044-06-03'</v>
      </c>
      <c r="T158">
        <f t="shared" si="29"/>
        <v>4</v>
      </c>
      <c r="U158">
        <f t="shared" si="30"/>
        <v>22</v>
      </c>
      <c r="V158">
        <f t="shared" si="31"/>
        <v>2044</v>
      </c>
      <c r="W158">
        <f t="shared" si="32"/>
        <v>6</v>
      </c>
      <c r="X158">
        <f t="shared" si="33"/>
        <v>3</v>
      </c>
      <c r="Y158">
        <f t="shared" si="34"/>
        <v>1</v>
      </c>
      <c r="AE158" s="2" t="str" cm="1">
        <f t="array" ref="AE158">CONCATENATE($AE$2,Liste(S158:U158),";")</f>
        <v>INSERT INTO WD_Workdays (CalendarDay, CalendarWeekday, CalendarWeek) VALUES ('2044-06-03', 4, 22);</v>
      </c>
      <c r="AF158" s="2"/>
      <c r="AG158" s="2" t="str" cm="1">
        <f t="array" ref="AG158">CONCATENATE($AG$2,Liste(L158:O158),";")</f>
        <v>INSERT INTO WD_Holidays (CalendarDay, Donation, Share) VALUES ('2025-04-20', 'Ostersonntag', 100);</v>
      </c>
    </row>
    <row r="159" spans="11:33" x14ac:dyDescent="0.45">
      <c r="K159" s="10">
        <v>45768</v>
      </c>
      <c r="L159" t="str">
        <f t="shared" si="39"/>
        <v>'2025-04-21'</v>
      </c>
      <c r="M159" s="3" t="s">
        <v>557</v>
      </c>
      <c r="N159">
        <v>100</v>
      </c>
      <c r="R159" s="10">
        <f t="shared" si="35"/>
        <v>52752</v>
      </c>
      <c r="S159" t="str">
        <f t="shared" si="28"/>
        <v>'2044-06-04'</v>
      </c>
      <c r="T159">
        <f t="shared" si="29"/>
        <v>5</v>
      </c>
      <c r="U159">
        <f t="shared" si="30"/>
        <v>22</v>
      </c>
      <c r="V159">
        <f t="shared" si="31"/>
        <v>2044</v>
      </c>
      <c r="W159">
        <f t="shared" si="32"/>
        <v>6</v>
      </c>
      <c r="X159">
        <f t="shared" si="33"/>
        <v>4</v>
      </c>
      <c r="Y159">
        <f t="shared" si="34"/>
        <v>1</v>
      </c>
      <c r="AE159" s="2" t="str" cm="1">
        <f t="array" ref="AE159">CONCATENATE($AE$2,Liste(S159:U159),";")</f>
        <v>INSERT INTO WD_Workdays (CalendarDay, CalendarWeekday, CalendarWeek) VALUES ('2044-06-04', 5, 22);</v>
      </c>
      <c r="AF159" s="2"/>
      <c r="AG159" s="2" t="str" cm="1">
        <f t="array" ref="AG159">CONCATENATE($AG$2,Liste(L159:O159),";")</f>
        <v>INSERT INTO WD_Holidays (CalendarDay, Donation, Share) VALUES ('2025-04-21', 'Ostermontag', 100);</v>
      </c>
    </row>
    <row r="160" spans="11:33" x14ac:dyDescent="0.45">
      <c r="K160" s="10">
        <v>45778</v>
      </c>
      <c r="L160" t="str">
        <f t="shared" si="39"/>
        <v>'2025-05-01'</v>
      </c>
      <c r="M160" s="3" t="s">
        <v>558</v>
      </c>
      <c r="N160">
        <v>100</v>
      </c>
      <c r="R160" s="10">
        <f t="shared" si="35"/>
        <v>52753</v>
      </c>
      <c r="S160" t="str">
        <f t="shared" si="28"/>
        <v>'2044-06-05'</v>
      </c>
      <c r="T160">
        <f t="shared" si="29"/>
        <v>6</v>
      </c>
      <c r="U160">
        <f t="shared" si="30"/>
        <v>22</v>
      </c>
      <c r="V160">
        <f t="shared" si="31"/>
        <v>2044</v>
      </c>
      <c r="W160">
        <f t="shared" si="32"/>
        <v>6</v>
      </c>
      <c r="X160">
        <f t="shared" si="33"/>
        <v>5</v>
      </c>
      <c r="Y160">
        <f t="shared" si="34"/>
        <v>1</v>
      </c>
      <c r="AE160" s="2" t="str" cm="1">
        <f t="array" ref="AE160">CONCATENATE($AE$2,Liste(S160:U160),";")</f>
        <v>INSERT INTO WD_Workdays (CalendarDay, CalendarWeekday, CalendarWeek) VALUES ('2044-06-05', 6, 22);</v>
      </c>
      <c r="AF160" s="2"/>
      <c r="AG160" s="2" t="str" cm="1">
        <f t="array" ref="AG160">CONCATENATE($AG$2,Liste(L160:O160),";")</f>
        <v>INSERT INTO WD_Holidays (CalendarDay, Donation, Share) VALUES ('2025-05-01', 'Tag der Arbeit', 100);</v>
      </c>
    </row>
    <row r="161" spans="11:33" x14ac:dyDescent="0.45">
      <c r="K161" s="10">
        <v>45806</v>
      </c>
      <c r="L161" t="str">
        <f t="shared" si="39"/>
        <v>'2025-05-29'</v>
      </c>
      <c r="M161" s="3" t="s">
        <v>559</v>
      </c>
      <c r="N161">
        <v>100</v>
      </c>
      <c r="R161" s="10">
        <f t="shared" si="35"/>
        <v>52754</v>
      </c>
      <c r="S161" t="str">
        <f t="shared" si="28"/>
        <v>'2044-06-06'</v>
      </c>
      <c r="T161">
        <f t="shared" si="29"/>
        <v>0</v>
      </c>
      <c r="U161">
        <f t="shared" si="30"/>
        <v>23</v>
      </c>
      <c r="V161">
        <f t="shared" si="31"/>
        <v>2044</v>
      </c>
      <c r="W161">
        <f t="shared" si="32"/>
        <v>6</v>
      </c>
      <c r="X161">
        <f t="shared" si="33"/>
        <v>6</v>
      </c>
      <c r="Y161">
        <f t="shared" si="34"/>
        <v>1</v>
      </c>
      <c r="AE161" s="2" t="str" cm="1">
        <f t="array" ref="AE161">CONCATENATE($AE$2,Liste(S161:U161),";")</f>
        <v>INSERT INTO WD_Workdays (CalendarDay, CalendarWeekday, CalendarWeek) VALUES ('2044-06-06', 0, 23);</v>
      </c>
      <c r="AF161" s="2"/>
      <c r="AG161" s="2" t="str" cm="1">
        <f t="array" ref="AG161">CONCATENATE($AG$2,Liste(L161:O161),";")</f>
        <v>INSERT INTO WD_Holidays (CalendarDay, Donation, Share) VALUES ('2025-05-29', 'Christi Himmelfahrt', 100);</v>
      </c>
    </row>
    <row r="162" spans="11:33" x14ac:dyDescent="0.45">
      <c r="K162" s="10">
        <v>45816</v>
      </c>
      <c r="L162" t="str">
        <f t="shared" si="39"/>
        <v>'2025-06-08'</v>
      </c>
      <c r="M162" s="3" t="s">
        <v>779</v>
      </c>
      <c r="N162">
        <v>100</v>
      </c>
      <c r="R162" s="10">
        <f t="shared" si="35"/>
        <v>52755</v>
      </c>
      <c r="S162" t="str">
        <f t="shared" si="28"/>
        <v>'2044-06-07'</v>
      </c>
      <c r="T162">
        <f t="shared" si="29"/>
        <v>1</v>
      </c>
      <c r="U162">
        <f t="shared" si="30"/>
        <v>23</v>
      </c>
      <c r="V162">
        <f t="shared" si="31"/>
        <v>2044</v>
      </c>
      <c r="W162">
        <f t="shared" si="32"/>
        <v>6</v>
      </c>
      <c r="X162">
        <f t="shared" si="33"/>
        <v>7</v>
      </c>
      <c r="Y162">
        <f t="shared" si="34"/>
        <v>1</v>
      </c>
      <c r="AE162" s="2" t="str" cm="1">
        <f t="array" ref="AE162">CONCATENATE($AE$2,Liste(S162:U162),";")</f>
        <v>INSERT INTO WD_Workdays (CalendarDay, CalendarWeekday, CalendarWeek) VALUES ('2044-06-07', 1, 23);</v>
      </c>
      <c r="AF162" s="2"/>
      <c r="AG162" s="2" t="str" cm="1">
        <f t="array" ref="AG162">CONCATENATE($AG$2,Liste(L162:O162),";")</f>
        <v>INSERT INTO WD_Holidays (CalendarDay, Donation, Share) VALUES ('2025-06-08', 'Pfingstsonntag', 100);</v>
      </c>
    </row>
    <row r="163" spans="11:33" x14ac:dyDescent="0.45">
      <c r="K163" s="10">
        <v>45817</v>
      </c>
      <c r="L163" t="str">
        <f t="shared" ref="L163:L169" si="40">CONCATENATE("'",TEXT(K163,"jjjj-MM-tt"),"'")</f>
        <v>'2025-06-09'</v>
      </c>
      <c r="M163" s="3" t="s">
        <v>560</v>
      </c>
      <c r="N163">
        <v>100</v>
      </c>
      <c r="R163" s="10">
        <f t="shared" si="35"/>
        <v>52756</v>
      </c>
      <c r="S163" t="str">
        <f t="shared" si="28"/>
        <v>'2044-06-08'</v>
      </c>
      <c r="T163">
        <f t="shared" si="29"/>
        <v>2</v>
      </c>
      <c r="U163">
        <f t="shared" si="30"/>
        <v>23</v>
      </c>
      <c r="V163">
        <f t="shared" si="31"/>
        <v>2044</v>
      </c>
      <c r="W163">
        <f t="shared" si="32"/>
        <v>6</v>
      </c>
      <c r="X163">
        <f t="shared" si="33"/>
        <v>8</v>
      </c>
      <c r="Y163">
        <f t="shared" si="34"/>
        <v>1</v>
      </c>
      <c r="AE163" s="2" t="str" cm="1">
        <f t="array" ref="AE163">CONCATENATE($AE$2,Liste(S163:U163),";")</f>
        <v>INSERT INTO WD_Workdays (CalendarDay, CalendarWeekday, CalendarWeek) VALUES ('2044-06-08', 2, 23);</v>
      </c>
      <c r="AF163" s="2"/>
      <c r="AG163" s="2" t="str" cm="1">
        <f t="array" ref="AG163">CONCATENATE($AG$2,Liste(L163:O163),";")</f>
        <v>INSERT INTO WD_Holidays (CalendarDay, Donation, Share) VALUES ('2025-06-09', 'Pfingstmontag', 100);</v>
      </c>
    </row>
    <row r="164" spans="11:33" x14ac:dyDescent="0.45">
      <c r="K164" s="10">
        <v>45933</v>
      </c>
      <c r="L164" t="str">
        <f t="shared" si="40"/>
        <v>'2025-10-03'</v>
      </c>
      <c r="M164" s="3" t="s">
        <v>561</v>
      </c>
      <c r="N164">
        <v>100</v>
      </c>
      <c r="R164" s="10">
        <f t="shared" si="35"/>
        <v>52757</v>
      </c>
      <c r="S164" t="str">
        <f t="shared" si="28"/>
        <v>'2044-06-09'</v>
      </c>
      <c r="T164">
        <f t="shared" si="29"/>
        <v>3</v>
      </c>
      <c r="U164">
        <f t="shared" si="30"/>
        <v>23</v>
      </c>
      <c r="V164">
        <f t="shared" si="31"/>
        <v>2044</v>
      </c>
      <c r="W164">
        <f t="shared" si="32"/>
        <v>6</v>
      </c>
      <c r="X164">
        <f t="shared" si="33"/>
        <v>9</v>
      </c>
      <c r="Y164">
        <f t="shared" si="34"/>
        <v>1</v>
      </c>
      <c r="AE164" s="2" t="str" cm="1">
        <f t="array" ref="AE164">CONCATENATE($AE$2,Liste(S164:U164),";")</f>
        <v>INSERT INTO WD_Workdays (CalendarDay, CalendarWeekday, CalendarWeek) VALUES ('2044-06-09', 3, 23);</v>
      </c>
      <c r="AF164" s="2"/>
      <c r="AG164" s="2" t="str" cm="1">
        <f t="array" ref="AG164">CONCATENATE($AG$2,Liste(L164:O164),";")</f>
        <v>INSERT INTO WD_Holidays (CalendarDay, Donation, Share) VALUES ('2025-10-03', 'Tag der Deutschen Einheit', 100);</v>
      </c>
    </row>
    <row r="165" spans="11:33" x14ac:dyDescent="0.45">
      <c r="K165" s="10">
        <v>46015</v>
      </c>
      <c r="L165" t="str">
        <f t="shared" si="40"/>
        <v>'2025-12-24'</v>
      </c>
      <c r="M165" s="3" t="s">
        <v>562</v>
      </c>
      <c r="N165">
        <v>50</v>
      </c>
      <c r="R165" s="10">
        <f t="shared" si="35"/>
        <v>52758</v>
      </c>
      <c r="S165" t="str">
        <f t="shared" si="28"/>
        <v>'2044-06-10'</v>
      </c>
      <c r="T165">
        <f t="shared" si="29"/>
        <v>4</v>
      </c>
      <c r="U165">
        <f t="shared" si="30"/>
        <v>23</v>
      </c>
      <c r="V165">
        <f t="shared" si="31"/>
        <v>2044</v>
      </c>
      <c r="W165">
        <f t="shared" si="32"/>
        <v>6</v>
      </c>
      <c r="X165">
        <f t="shared" si="33"/>
        <v>10</v>
      </c>
      <c r="Y165">
        <f t="shared" si="34"/>
        <v>1</v>
      </c>
      <c r="AE165" s="2" t="str" cm="1">
        <f t="array" ref="AE165">CONCATENATE($AE$2,Liste(S165:U165),";")</f>
        <v>INSERT INTO WD_Workdays (CalendarDay, CalendarWeekday, CalendarWeek) VALUES ('2044-06-10', 4, 23);</v>
      </c>
      <c r="AF165" s="2"/>
      <c r="AG165" s="2" t="str" cm="1">
        <f t="array" ref="AG165">CONCATENATE($AG$2,Liste(L165:O165),";")</f>
        <v>INSERT INTO WD_Holidays (CalendarDay, Donation, Share) VALUES ('2025-12-24', 'Heiligabend', 50);</v>
      </c>
    </row>
    <row r="166" spans="11:33" x14ac:dyDescent="0.45">
      <c r="K166" s="10">
        <v>46016</v>
      </c>
      <c r="L166" t="str">
        <f t="shared" si="40"/>
        <v>'2025-12-25'</v>
      </c>
      <c r="M166" s="3" t="s">
        <v>563</v>
      </c>
      <c r="N166">
        <v>100</v>
      </c>
      <c r="R166" s="10">
        <f t="shared" si="35"/>
        <v>52759</v>
      </c>
      <c r="S166" t="str">
        <f t="shared" si="28"/>
        <v>'2044-06-11'</v>
      </c>
      <c r="T166">
        <f t="shared" si="29"/>
        <v>5</v>
      </c>
      <c r="U166">
        <f t="shared" si="30"/>
        <v>23</v>
      </c>
      <c r="V166">
        <f t="shared" si="31"/>
        <v>2044</v>
      </c>
      <c r="W166">
        <f t="shared" si="32"/>
        <v>6</v>
      </c>
      <c r="X166">
        <f t="shared" si="33"/>
        <v>11</v>
      </c>
      <c r="Y166">
        <f t="shared" si="34"/>
        <v>1</v>
      </c>
      <c r="AE166" s="2" t="str" cm="1">
        <f t="array" ref="AE166">CONCATENATE($AE$2,Liste(S166:U166),";")</f>
        <v>INSERT INTO WD_Workdays (CalendarDay, CalendarWeekday, CalendarWeek) VALUES ('2044-06-11', 5, 23);</v>
      </c>
      <c r="AF166" s="2"/>
      <c r="AG166" s="2" t="str" cm="1">
        <f t="array" ref="AG166">CONCATENATE($AG$2,Liste(L166:O166),";")</f>
        <v>INSERT INTO WD_Holidays (CalendarDay, Donation, Share) VALUES ('2025-12-25', '1. Weihnachtsfeiertag', 100);</v>
      </c>
    </row>
    <row r="167" spans="11:33" x14ac:dyDescent="0.45">
      <c r="K167" s="10">
        <v>46017</v>
      </c>
      <c r="L167" t="str">
        <f t="shared" si="40"/>
        <v>'2025-12-26'</v>
      </c>
      <c r="M167" s="3" t="s">
        <v>564</v>
      </c>
      <c r="N167">
        <v>100</v>
      </c>
      <c r="R167" s="10">
        <f t="shared" si="35"/>
        <v>52760</v>
      </c>
      <c r="S167" t="str">
        <f t="shared" si="28"/>
        <v>'2044-06-12'</v>
      </c>
      <c r="T167">
        <f t="shared" si="29"/>
        <v>6</v>
      </c>
      <c r="U167">
        <f t="shared" si="30"/>
        <v>23</v>
      </c>
      <c r="V167">
        <f t="shared" si="31"/>
        <v>2044</v>
      </c>
      <c r="W167">
        <f t="shared" si="32"/>
        <v>6</v>
      </c>
      <c r="X167">
        <f t="shared" si="33"/>
        <v>12</v>
      </c>
      <c r="Y167">
        <f t="shared" si="34"/>
        <v>1</v>
      </c>
      <c r="AE167" s="2" t="str" cm="1">
        <f t="array" ref="AE167">CONCATENATE($AE$2,Liste(S167:U167),";")</f>
        <v>INSERT INTO WD_Workdays (CalendarDay, CalendarWeekday, CalendarWeek) VALUES ('2044-06-12', 6, 23);</v>
      </c>
      <c r="AF167" s="2"/>
      <c r="AG167" s="2" t="str" cm="1">
        <f t="array" ref="AG167">CONCATENATE($AG$2,Liste(L167:O167),";")</f>
        <v>INSERT INTO WD_Holidays (CalendarDay, Donation, Share) VALUES ('2025-12-26', '2. Weihnachtsfeiertag', 100);</v>
      </c>
    </row>
    <row r="168" spans="11:33" x14ac:dyDescent="0.45">
      <c r="K168" s="10">
        <v>46022</v>
      </c>
      <c r="L168" t="str">
        <f t="shared" si="40"/>
        <v>'2025-12-31'</v>
      </c>
      <c r="M168" s="3" t="s">
        <v>565</v>
      </c>
      <c r="N168">
        <v>50</v>
      </c>
      <c r="R168" s="10">
        <f t="shared" si="35"/>
        <v>52761</v>
      </c>
      <c r="S168" t="str">
        <f t="shared" si="28"/>
        <v>'2044-06-13'</v>
      </c>
      <c r="T168">
        <f t="shared" si="29"/>
        <v>0</v>
      </c>
      <c r="U168">
        <f t="shared" si="30"/>
        <v>24</v>
      </c>
      <c r="V168">
        <f t="shared" si="31"/>
        <v>2044</v>
      </c>
      <c r="W168">
        <f t="shared" si="32"/>
        <v>6</v>
      </c>
      <c r="X168">
        <f t="shared" si="33"/>
        <v>13</v>
      </c>
      <c r="Y168">
        <f t="shared" si="34"/>
        <v>1</v>
      </c>
      <c r="AE168" s="2" t="str" cm="1">
        <f t="array" ref="AE168">CONCATENATE($AE$2,Liste(S168:U168),";")</f>
        <v>INSERT INTO WD_Workdays (CalendarDay, CalendarWeekday, CalendarWeek) VALUES ('2044-06-13', 0, 24);</v>
      </c>
      <c r="AF168" s="2"/>
      <c r="AG168" s="2" t="str" cm="1">
        <f t="array" ref="AG168">CONCATENATE($AG$2,Liste(L168:O168),";")</f>
        <v>INSERT INTO WD_Holidays (CalendarDay, Donation, Share) VALUES ('2025-12-31', 'Silvester', 50);</v>
      </c>
    </row>
    <row r="169" spans="11:33" x14ac:dyDescent="0.45">
      <c r="K169" s="10">
        <v>46023</v>
      </c>
      <c r="L169" t="str">
        <f t="shared" si="40"/>
        <v>'2026-01-01'</v>
      </c>
      <c r="M169" s="3" t="s">
        <v>481</v>
      </c>
      <c r="N169">
        <v>100</v>
      </c>
      <c r="R169" s="10">
        <f t="shared" si="35"/>
        <v>52762</v>
      </c>
      <c r="S169" t="str">
        <f t="shared" si="28"/>
        <v>'2044-06-14'</v>
      </c>
      <c r="T169">
        <f t="shared" si="29"/>
        <v>1</v>
      </c>
      <c r="U169">
        <f t="shared" si="30"/>
        <v>24</v>
      </c>
      <c r="V169">
        <f t="shared" si="31"/>
        <v>2044</v>
      </c>
      <c r="W169">
        <f t="shared" si="32"/>
        <v>6</v>
      </c>
      <c r="X169">
        <f t="shared" si="33"/>
        <v>14</v>
      </c>
      <c r="Y169">
        <f t="shared" si="34"/>
        <v>1</v>
      </c>
      <c r="AE169" s="2" t="str" cm="1">
        <f t="array" ref="AE169">CONCATENATE($AE$2,Liste(S169:U169),";")</f>
        <v>INSERT INTO WD_Workdays (CalendarDay, CalendarWeekday, CalendarWeek) VALUES ('2044-06-14', 1, 24);</v>
      </c>
      <c r="AF169" s="2"/>
      <c r="AG169" s="2" t="str" cm="1">
        <f t="array" ref="AG169">CONCATENATE($AG$2,Liste(L169:O169),";")</f>
        <v>INSERT INTO WD_Holidays (CalendarDay, Donation, Share) VALUES ('2026-01-01', 'Neujahr', 100);</v>
      </c>
    </row>
    <row r="170" spans="11:33" x14ac:dyDescent="0.45">
      <c r="K170" s="10">
        <v>46089</v>
      </c>
      <c r="L170" t="str">
        <f t="shared" ref="L170:L176" si="41">CONCATENATE("'",TEXT(K170,"jjjj-MM-tt"),"'")</f>
        <v>'2026-03-08'</v>
      </c>
      <c r="M170" s="3" t="s">
        <v>554</v>
      </c>
      <c r="N170">
        <v>100</v>
      </c>
      <c r="R170" s="10">
        <f t="shared" si="35"/>
        <v>52763</v>
      </c>
      <c r="S170" t="str">
        <f t="shared" si="28"/>
        <v>'2044-06-15'</v>
      </c>
      <c r="T170">
        <f t="shared" si="29"/>
        <v>2</v>
      </c>
      <c r="U170">
        <f t="shared" si="30"/>
        <v>24</v>
      </c>
      <c r="V170">
        <f t="shared" si="31"/>
        <v>2044</v>
      </c>
      <c r="W170">
        <f t="shared" si="32"/>
        <v>6</v>
      </c>
      <c r="X170">
        <f t="shared" si="33"/>
        <v>15</v>
      </c>
      <c r="Y170">
        <f t="shared" si="34"/>
        <v>1</v>
      </c>
      <c r="AE170" s="2" t="str" cm="1">
        <f t="array" ref="AE170">CONCATENATE($AE$2,Liste(S170:U170),";")</f>
        <v>INSERT INTO WD_Workdays (CalendarDay, CalendarWeekday, CalendarWeek) VALUES ('2044-06-15', 2, 24);</v>
      </c>
      <c r="AF170" s="2"/>
      <c r="AG170" s="2" t="str" cm="1">
        <f t="array" ref="AG170">CONCATENATE($AG$2,Liste(L170:O170),";")</f>
        <v>INSERT INTO WD_Holidays (CalendarDay, Donation, Share) VALUES ('2026-03-08', 'Internationaler Frauentag', 100);</v>
      </c>
    </row>
    <row r="171" spans="11:33" x14ac:dyDescent="0.45">
      <c r="K171" s="10">
        <v>46115</v>
      </c>
      <c r="L171" t="str">
        <f t="shared" si="41"/>
        <v>'2026-04-03'</v>
      </c>
      <c r="M171" s="3" t="s">
        <v>555</v>
      </c>
      <c r="N171">
        <v>100</v>
      </c>
      <c r="R171" s="10">
        <f t="shared" si="35"/>
        <v>52764</v>
      </c>
      <c r="S171" t="str">
        <f t="shared" si="28"/>
        <v>'2044-06-16'</v>
      </c>
      <c r="T171">
        <f t="shared" si="29"/>
        <v>3</v>
      </c>
      <c r="U171">
        <f t="shared" si="30"/>
        <v>24</v>
      </c>
      <c r="V171">
        <f t="shared" si="31"/>
        <v>2044</v>
      </c>
      <c r="W171">
        <f t="shared" si="32"/>
        <v>6</v>
      </c>
      <c r="X171">
        <f t="shared" si="33"/>
        <v>16</v>
      </c>
      <c r="Y171">
        <f t="shared" si="34"/>
        <v>1</v>
      </c>
      <c r="AE171" s="2" t="str" cm="1">
        <f t="array" ref="AE171">CONCATENATE($AE$2,Liste(S171:U171),";")</f>
        <v>INSERT INTO WD_Workdays (CalendarDay, CalendarWeekday, CalendarWeek) VALUES ('2044-06-16', 3, 24);</v>
      </c>
      <c r="AF171" s="2"/>
      <c r="AG171" s="2" t="str" cm="1">
        <f t="array" ref="AG171">CONCATENATE($AG$2,Liste(L171:O171),";")</f>
        <v>INSERT INTO WD_Holidays (CalendarDay, Donation, Share) VALUES ('2026-04-03', 'Karfreitag', 100);</v>
      </c>
    </row>
    <row r="172" spans="11:33" x14ac:dyDescent="0.45">
      <c r="K172" s="10">
        <v>46117</v>
      </c>
      <c r="L172" t="str">
        <f t="shared" si="41"/>
        <v>'2026-04-05'</v>
      </c>
      <c r="M172" s="3" t="s">
        <v>556</v>
      </c>
      <c r="N172">
        <v>100</v>
      </c>
      <c r="R172" s="10">
        <f t="shared" si="35"/>
        <v>52765</v>
      </c>
      <c r="S172" t="str">
        <f t="shared" si="28"/>
        <v>'2044-06-17'</v>
      </c>
      <c r="T172">
        <f t="shared" si="29"/>
        <v>4</v>
      </c>
      <c r="U172">
        <f t="shared" si="30"/>
        <v>24</v>
      </c>
      <c r="V172">
        <f t="shared" si="31"/>
        <v>2044</v>
      </c>
      <c r="W172">
        <f t="shared" si="32"/>
        <v>6</v>
      </c>
      <c r="X172">
        <f t="shared" si="33"/>
        <v>17</v>
      </c>
      <c r="Y172">
        <f t="shared" si="34"/>
        <v>1</v>
      </c>
      <c r="AE172" s="2" t="str" cm="1">
        <f t="array" ref="AE172">CONCATENATE($AE$2,Liste(S172:U172),";")</f>
        <v>INSERT INTO WD_Workdays (CalendarDay, CalendarWeekday, CalendarWeek) VALUES ('2044-06-17', 4, 24);</v>
      </c>
      <c r="AF172" s="2"/>
      <c r="AG172" s="2" t="str" cm="1">
        <f t="array" ref="AG172">CONCATENATE($AG$2,Liste(L172:O172),";")</f>
        <v>INSERT INTO WD_Holidays (CalendarDay, Donation, Share) VALUES ('2026-04-05', 'Ostersonntag', 100);</v>
      </c>
    </row>
    <row r="173" spans="11:33" x14ac:dyDescent="0.45">
      <c r="K173" s="10">
        <v>46118</v>
      </c>
      <c r="L173" t="str">
        <f t="shared" si="41"/>
        <v>'2026-04-06'</v>
      </c>
      <c r="M173" s="3" t="s">
        <v>557</v>
      </c>
      <c r="N173">
        <v>100</v>
      </c>
      <c r="R173" s="10">
        <f t="shared" si="35"/>
        <v>52766</v>
      </c>
      <c r="S173" t="str">
        <f t="shared" si="28"/>
        <v>'2044-06-18'</v>
      </c>
      <c r="T173">
        <f t="shared" si="29"/>
        <v>5</v>
      </c>
      <c r="U173">
        <f t="shared" si="30"/>
        <v>24</v>
      </c>
      <c r="V173">
        <f t="shared" si="31"/>
        <v>2044</v>
      </c>
      <c r="W173">
        <f t="shared" si="32"/>
        <v>6</v>
      </c>
      <c r="X173">
        <f t="shared" si="33"/>
        <v>18</v>
      </c>
      <c r="Y173">
        <f t="shared" si="34"/>
        <v>1</v>
      </c>
      <c r="AE173" s="2" t="str" cm="1">
        <f t="array" ref="AE173">CONCATENATE($AE$2,Liste(S173:U173),";")</f>
        <v>INSERT INTO WD_Workdays (CalendarDay, CalendarWeekday, CalendarWeek) VALUES ('2044-06-18', 5, 24);</v>
      </c>
      <c r="AF173" s="2"/>
      <c r="AG173" s="2" t="str" cm="1">
        <f t="array" ref="AG173">CONCATENATE($AG$2,Liste(L173:O173),";")</f>
        <v>INSERT INTO WD_Holidays (CalendarDay, Donation, Share) VALUES ('2026-04-06', 'Ostermontag', 100);</v>
      </c>
    </row>
    <row r="174" spans="11:33" x14ac:dyDescent="0.45">
      <c r="K174" s="10">
        <v>46143</v>
      </c>
      <c r="L174" t="str">
        <f t="shared" si="41"/>
        <v>'2026-05-01'</v>
      </c>
      <c r="M174" s="3" t="s">
        <v>558</v>
      </c>
      <c r="N174">
        <v>100</v>
      </c>
      <c r="R174" s="10">
        <f t="shared" si="35"/>
        <v>52767</v>
      </c>
      <c r="S174" t="str">
        <f t="shared" si="28"/>
        <v>'2044-06-19'</v>
      </c>
      <c r="T174">
        <f t="shared" si="29"/>
        <v>6</v>
      </c>
      <c r="U174">
        <f t="shared" si="30"/>
        <v>24</v>
      </c>
      <c r="V174">
        <f t="shared" si="31"/>
        <v>2044</v>
      </c>
      <c r="W174">
        <f t="shared" si="32"/>
        <v>6</v>
      </c>
      <c r="X174">
        <f t="shared" si="33"/>
        <v>19</v>
      </c>
      <c r="Y174">
        <f t="shared" si="34"/>
        <v>1</v>
      </c>
      <c r="AE174" s="2" t="str" cm="1">
        <f t="array" ref="AE174">CONCATENATE($AE$2,Liste(S174:U174),";")</f>
        <v>INSERT INTO WD_Workdays (CalendarDay, CalendarWeekday, CalendarWeek) VALUES ('2044-06-19', 6, 24);</v>
      </c>
      <c r="AF174" s="2"/>
      <c r="AG174" s="2" t="str" cm="1">
        <f t="array" ref="AG174">CONCATENATE($AG$2,Liste(L174:O174),";")</f>
        <v>INSERT INTO WD_Holidays (CalendarDay, Donation, Share) VALUES ('2026-05-01', 'Tag der Arbeit', 100);</v>
      </c>
    </row>
    <row r="175" spans="11:33" x14ac:dyDescent="0.45">
      <c r="K175" s="10">
        <v>46156</v>
      </c>
      <c r="L175" t="str">
        <f t="shared" si="41"/>
        <v>'2026-05-14'</v>
      </c>
      <c r="M175" s="3" t="s">
        <v>559</v>
      </c>
      <c r="N175">
        <v>100</v>
      </c>
      <c r="R175" s="10">
        <f t="shared" si="35"/>
        <v>52768</v>
      </c>
      <c r="S175" t="str">
        <f t="shared" si="28"/>
        <v>'2044-06-20'</v>
      </c>
      <c r="T175">
        <f t="shared" si="29"/>
        <v>0</v>
      </c>
      <c r="U175">
        <f t="shared" si="30"/>
        <v>25</v>
      </c>
      <c r="V175">
        <f t="shared" si="31"/>
        <v>2044</v>
      </c>
      <c r="W175">
        <f t="shared" si="32"/>
        <v>6</v>
      </c>
      <c r="X175">
        <f t="shared" si="33"/>
        <v>20</v>
      </c>
      <c r="Y175">
        <f t="shared" si="34"/>
        <v>1</v>
      </c>
      <c r="AE175" s="2" t="str" cm="1">
        <f t="array" ref="AE175">CONCATENATE($AE$2,Liste(S175:U175),";")</f>
        <v>INSERT INTO WD_Workdays (CalendarDay, CalendarWeekday, CalendarWeek) VALUES ('2044-06-20', 0, 25);</v>
      </c>
      <c r="AF175" s="2"/>
      <c r="AG175" s="2" t="str" cm="1">
        <f t="array" ref="AG175">CONCATENATE($AG$2,Liste(L175:O175),";")</f>
        <v>INSERT INTO WD_Holidays (CalendarDay, Donation, Share) VALUES ('2026-05-14', 'Christi Himmelfahrt', 100);</v>
      </c>
    </row>
    <row r="176" spans="11:33" x14ac:dyDescent="0.45">
      <c r="K176" s="10">
        <v>46166</v>
      </c>
      <c r="L176" t="str">
        <f t="shared" si="41"/>
        <v>'2026-05-24'</v>
      </c>
      <c r="M176" s="3" t="s">
        <v>779</v>
      </c>
      <c r="N176">
        <v>100</v>
      </c>
      <c r="R176" s="10">
        <f t="shared" si="35"/>
        <v>52769</v>
      </c>
      <c r="S176" t="str">
        <f t="shared" si="28"/>
        <v>'2044-06-21'</v>
      </c>
      <c r="T176">
        <f t="shared" si="29"/>
        <v>1</v>
      </c>
      <c r="U176">
        <f t="shared" si="30"/>
        <v>25</v>
      </c>
      <c r="V176">
        <f t="shared" si="31"/>
        <v>2044</v>
      </c>
      <c r="W176">
        <f t="shared" si="32"/>
        <v>6</v>
      </c>
      <c r="X176">
        <f t="shared" si="33"/>
        <v>21</v>
      </c>
      <c r="Y176">
        <f t="shared" si="34"/>
        <v>1</v>
      </c>
      <c r="AE176" s="2" t="str" cm="1">
        <f t="array" ref="AE176">CONCATENATE($AE$2,Liste(S176:U176),";")</f>
        <v>INSERT INTO WD_Workdays (CalendarDay, CalendarWeekday, CalendarWeek) VALUES ('2044-06-21', 1, 25);</v>
      </c>
      <c r="AF176" s="2"/>
      <c r="AG176" s="2" t="str" cm="1">
        <f t="array" ref="AG176">CONCATENATE($AG$2,Liste(L176:O176),";")</f>
        <v>INSERT INTO WD_Holidays (CalendarDay, Donation, Share) VALUES ('2026-05-24', 'Pfingstsonntag', 100);</v>
      </c>
    </row>
    <row r="177" spans="11:33" x14ac:dyDescent="0.45">
      <c r="K177" s="10">
        <v>46167</v>
      </c>
      <c r="L177" t="str">
        <f t="shared" ref="L177:L240" si="42">CONCATENATE("'",TEXT(K177,"jjjj-MM-tt"),"'")</f>
        <v>'2026-05-25'</v>
      </c>
      <c r="M177" s="3" t="s">
        <v>560</v>
      </c>
      <c r="N177">
        <v>100</v>
      </c>
      <c r="R177" s="10">
        <f t="shared" si="35"/>
        <v>52770</v>
      </c>
      <c r="S177" t="str">
        <f t="shared" si="28"/>
        <v>'2044-06-22'</v>
      </c>
      <c r="T177">
        <f t="shared" si="29"/>
        <v>2</v>
      </c>
      <c r="U177">
        <f t="shared" si="30"/>
        <v>25</v>
      </c>
      <c r="V177">
        <f t="shared" si="31"/>
        <v>2044</v>
      </c>
      <c r="W177">
        <f t="shared" si="32"/>
        <v>6</v>
      </c>
      <c r="X177">
        <f t="shared" si="33"/>
        <v>22</v>
      </c>
      <c r="Y177">
        <f t="shared" si="34"/>
        <v>1</v>
      </c>
      <c r="AE177" s="2" t="str" cm="1">
        <f t="array" ref="AE177">CONCATENATE($AE$2,Liste(S177:U177),";")</f>
        <v>INSERT INTO WD_Workdays (CalendarDay, CalendarWeekday, CalendarWeek) VALUES ('2044-06-22', 2, 25);</v>
      </c>
      <c r="AF177" s="2"/>
      <c r="AG177" s="2" t="str" cm="1">
        <f t="array" ref="AG177">CONCATENATE($AG$2,Liste(L177:O177),";")</f>
        <v>INSERT INTO WD_Holidays (CalendarDay, Donation, Share) VALUES ('2026-05-25', 'Pfingstmontag', 100);</v>
      </c>
    </row>
    <row r="178" spans="11:33" x14ac:dyDescent="0.45">
      <c r="K178" s="10">
        <v>46298</v>
      </c>
      <c r="L178" t="str">
        <f t="shared" si="42"/>
        <v>'2026-10-03'</v>
      </c>
      <c r="M178" s="3" t="s">
        <v>561</v>
      </c>
      <c r="N178">
        <v>100</v>
      </c>
      <c r="R178" s="10">
        <f t="shared" si="35"/>
        <v>52771</v>
      </c>
      <c r="S178" t="str">
        <f t="shared" si="28"/>
        <v>'2044-06-23'</v>
      </c>
      <c r="T178">
        <f t="shared" si="29"/>
        <v>3</v>
      </c>
      <c r="U178">
        <f t="shared" si="30"/>
        <v>25</v>
      </c>
      <c r="V178">
        <f t="shared" si="31"/>
        <v>2044</v>
      </c>
      <c r="W178">
        <f t="shared" si="32"/>
        <v>6</v>
      </c>
      <c r="X178">
        <f t="shared" si="33"/>
        <v>23</v>
      </c>
      <c r="Y178">
        <f t="shared" si="34"/>
        <v>1</v>
      </c>
      <c r="AE178" s="2" t="str" cm="1">
        <f t="array" ref="AE178">CONCATENATE($AE$2,Liste(S178:U178),";")</f>
        <v>INSERT INTO WD_Workdays (CalendarDay, CalendarWeekday, CalendarWeek) VALUES ('2044-06-23', 3, 25);</v>
      </c>
      <c r="AF178" s="2"/>
      <c r="AG178" s="2" t="str" cm="1">
        <f t="array" ref="AG178">CONCATENATE($AG$2,Liste(L178:O178),";")</f>
        <v>INSERT INTO WD_Holidays (CalendarDay, Donation, Share) VALUES ('2026-10-03', 'Tag der Deutschen Einheit', 100);</v>
      </c>
    </row>
    <row r="179" spans="11:33" x14ac:dyDescent="0.45">
      <c r="K179" s="10">
        <v>46380</v>
      </c>
      <c r="L179" t="str">
        <f t="shared" si="42"/>
        <v>'2026-12-24'</v>
      </c>
      <c r="M179" s="3" t="s">
        <v>562</v>
      </c>
      <c r="N179">
        <v>50</v>
      </c>
      <c r="R179" s="10">
        <f t="shared" si="35"/>
        <v>52772</v>
      </c>
      <c r="S179" t="str">
        <f t="shared" si="28"/>
        <v>'2044-06-24'</v>
      </c>
      <c r="T179">
        <f t="shared" si="29"/>
        <v>4</v>
      </c>
      <c r="U179">
        <f t="shared" si="30"/>
        <v>25</v>
      </c>
      <c r="V179">
        <f t="shared" si="31"/>
        <v>2044</v>
      </c>
      <c r="W179">
        <f t="shared" si="32"/>
        <v>6</v>
      </c>
      <c r="X179">
        <f t="shared" si="33"/>
        <v>24</v>
      </c>
      <c r="Y179">
        <f t="shared" si="34"/>
        <v>1</v>
      </c>
      <c r="AE179" s="2" t="str" cm="1">
        <f t="array" ref="AE179">CONCATENATE($AE$2,Liste(S179:U179),";")</f>
        <v>INSERT INTO WD_Workdays (CalendarDay, CalendarWeekday, CalendarWeek) VALUES ('2044-06-24', 4, 25);</v>
      </c>
      <c r="AF179" s="2"/>
      <c r="AG179" s="2" t="str" cm="1">
        <f t="array" ref="AG179">CONCATENATE($AG$2,Liste(L179:O179),";")</f>
        <v>INSERT INTO WD_Holidays (CalendarDay, Donation, Share) VALUES ('2026-12-24', 'Heiligabend', 50);</v>
      </c>
    </row>
    <row r="180" spans="11:33" x14ac:dyDescent="0.45">
      <c r="K180" s="10">
        <v>46381</v>
      </c>
      <c r="L180" t="str">
        <f t="shared" si="42"/>
        <v>'2026-12-25'</v>
      </c>
      <c r="M180" s="3" t="s">
        <v>563</v>
      </c>
      <c r="N180">
        <v>100</v>
      </c>
      <c r="R180" s="10">
        <f t="shared" si="35"/>
        <v>52773</v>
      </c>
      <c r="S180" t="str">
        <f t="shared" si="28"/>
        <v>'2044-06-25'</v>
      </c>
      <c r="T180">
        <f t="shared" si="29"/>
        <v>5</v>
      </c>
      <c r="U180">
        <f t="shared" si="30"/>
        <v>25</v>
      </c>
      <c r="V180">
        <f t="shared" si="31"/>
        <v>2044</v>
      </c>
      <c r="W180">
        <f t="shared" si="32"/>
        <v>6</v>
      </c>
      <c r="X180">
        <f t="shared" si="33"/>
        <v>25</v>
      </c>
      <c r="Y180">
        <f t="shared" si="34"/>
        <v>1</v>
      </c>
      <c r="AE180" s="2" t="str" cm="1">
        <f t="array" ref="AE180">CONCATENATE($AE$2,Liste(S180:U180),";")</f>
        <v>INSERT INTO WD_Workdays (CalendarDay, CalendarWeekday, CalendarWeek) VALUES ('2044-06-25', 5, 25);</v>
      </c>
      <c r="AF180" s="2"/>
      <c r="AG180" s="2" t="str" cm="1">
        <f t="array" ref="AG180">CONCATENATE($AG$2,Liste(L180:O180),";")</f>
        <v>INSERT INTO WD_Holidays (CalendarDay, Donation, Share) VALUES ('2026-12-25', '1. Weihnachtsfeiertag', 100);</v>
      </c>
    </row>
    <row r="181" spans="11:33" x14ac:dyDescent="0.45">
      <c r="K181" s="10">
        <v>46382</v>
      </c>
      <c r="L181" t="str">
        <f t="shared" si="42"/>
        <v>'2026-12-26'</v>
      </c>
      <c r="M181" s="3" t="s">
        <v>564</v>
      </c>
      <c r="N181">
        <v>100</v>
      </c>
      <c r="R181" s="10">
        <f t="shared" si="35"/>
        <v>52774</v>
      </c>
      <c r="S181" t="str">
        <f t="shared" si="28"/>
        <v>'2044-06-26'</v>
      </c>
      <c r="T181">
        <f t="shared" si="29"/>
        <v>6</v>
      </c>
      <c r="U181">
        <f t="shared" si="30"/>
        <v>25</v>
      </c>
      <c r="V181">
        <f t="shared" si="31"/>
        <v>2044</v>
      </c>
      <c r="W181">
        <f t="shared" si="32"/>
        <v>6</v>
      </c>
      <c r="X181">
        <f t="shared" si="33"/>
        <v>26</v>
      </c>
      <c r="Y181">
        <f t="shared" si="34"/>
        <v>1</v>
      </c>
      <c r="AE181" s="2" t="str" cm="1">
        <f t="array" ref="AE181">CONCATENATE($AE$2,Liste(S181:U181),";")</f>
        <v>INSERT INTO WD_Workdays (CalendarDay, CalendarWeekday, CalendarWeek) VALUES ('2044-06-26', 6, 25);</v>
      </c>
      <c r="AF181" s="2"/>
      <c r="AG181" s="2" t="str" cm="1">
        <f t="array" ref="AG181">CONCATENATE($AG$2,Liste(L181:O181),";")</f>
        <v>INSERT INTO WD_Holidays (CalendarDay, Donation, Share) VALUES ('2026-12-26', '2. Weihnachtsfeiertag', 100);</v>
      </c>
    </row>
    <row r="182" spans="11:33" x14ac:dyDescent="0.45">
      <c r="K182" s="10">
        <v>46387</v>
      </c>
      <c r="L182" t="str">
        <f t="shared" si="42"/>
        <v>'2026-12-31'</v>
      </c>
      <c r="M182" s="3" t="s">
        <v>565</v>
      </c>
      <c r="N182">
        <v>50</v>
      </c>
      <c r="R182" s="10">
        <f t="shared" si="35"/>
        <v>52775</v>
      </c>
      <c r="S182" t="str">
        <f t="shared" si="28"/>
        <v>'2044-06-27'</v>
      </c>
      <c r="T182">
        <f t="shared" si="29"/>
        <v>0</v>
      </c>
      <c r="U182">
        <f t="shared" si="30"/>
        <v>26</v>
      </c>
      <c r="V182">
        <f t="shared" si="31"/>
        <v>2044</v>
      </c>
      <c r="W182">
        <f t="shared" si="32"/>
        <v>6</v>
      </c>
      <c r="X182">
        <f t="shared" si="33"/>
        <v>27</v>
      </c>
      <c r="Y182">
        <f t="shared" si="34"/>
        <v>1</v>
      </c>
      <c r="AE182" s="2" t="str" cm="1">
        <f t="array" ref="AE182">CONCATENATE($AE$2,Liste(S182:U182),";")</f>
        <v>INSERT INTO WD_Workdays (CalendarDay, CalendarWeekday, CalendarWeek) VALUES ('2044-06-27', 0, 26);</v>
      </c>
      <c r="AF182" s="2"/>
      <c r="AG182" s="2" t="str" cm="1">
        <f t="array" ref="AG182">CONCATENATE($AG$2,Liste(L182:O182),";")</f>
        <v>INSERT INTO WD_Holidays (CalendarDay, Donation, Share) VALUES ('2026-12-31', 'Silvester', 50);</v>
      </c>
    </row>
    <row r="183" spans="11:33" x14ac:dyDescent="0.45">
      <c r="K183" s="10">
        <v>46388</v>
      </c>
      <c r="L183" t="str">
        <f t="shared" si="42"/>
        <v>'2027-01-01'</v>
      </c>
      <c r="M183" s="3" t="s">
        <v>481</v>
      </c>
      <c r="N183">
        <v>100</v>
      </c>
      <c r="R183" s="10">
        <f t="shared" si="35"/>
        <v>52776</v>
      </c>
      <c r="S183" t="str">
        <f t="shared" si="28"/>
        <v>'2044-06-28'</v>
      </c>
      <c r="T183">
        <f t="shared" si="29"/>
        <v>1</v>
      </c>
      <c r="U183">
        <f t="shared" si="30"/>
        <v>26</v>
      </c>
      <c r="V183">
        <f t="shared" si="31"/>
        <v>2044</v>
      </c>
      <c r="W183">
        <f t="shared" si="32"/>
        <v>6</v>
      </c>
      <c r="X183">
        <f t="shared" si="33"/>
        <v>28</v>
      </c>
      <c r="Y183">
        <f t="shared" si="34"/>
        <v>1</v>
      </c>
      <c r="AE183" s="2" t="str" cm="1">
        <f t="array" ref="AE183">CONCATENATE($AE$2,Liste(S183:U183),";")</f>
        <v>INSERT INTO WD_Workdays (CalendarDay, CalendarWeekday, CalendarWeek) VALUES ('2044-06-28', 1, 26);</v>
      </c>
      <c r="AF183" s="2"/>
      <c r="AG183" s="2" t="str" cm="1">
        <f t="array" ref="AG183">CONCATENATE($AG$2,Liste(L183:O183),";")</f>
        <v>INSERT INTO WD_Holidays (CalendarDay, Donation, Share) VALUES ('2027-01-01', 'Neujahr', 100);</v>
      </c>
    </row>
    <row r="184" spans="11:33" x14ac:dyDescent="0.45">
      <c r="K184" s="10">
        <v>46454</v>
      </c>
      <c r="L184" t="str">
        <f t="shared" si="42"/>
        <v>'2027-03-08'</v>
      </c>
      <c r="M184" s="3" t="s">
        <v>554</v>
      </c>
      <c r="N184">
        <v>100</v>
      </c>
      <c r="R184" s="10">
        <f t="shared" si="35"/>
        <v>52777</v>
      </c>
      <c r="S184" t="str">
        <f t="shared" si="28"/>
        <v>'2044-06-29'</v>
      </c>
      <c r="T184">
        <f t="shared" si="29"/>
        <v>2</v>
      </c>
      <c r="U184">
        <f t="shared" si="30"/>
        <v>26</v>
      </c>
      <c r="V184">
        <f t="shared" si="31"/>
        <v>2044</v>
      </c>
      <c r="W184">
        <f t="shared" si="32"/>
        <v>6</v>
      </c>
      <c r="X184">
        <f t="shared" si="33"/>
        <v>29</v>
      </c>
      <c r="Y184">
        <f t="shared" si="34"/>
        <v>1</v>
      </c>
      <c r="AE184" s="2" t="str" cm="1">
        <f t="array" ref="AE184">CONCATENATE($AE$2,Liste(S184:U184),";")</f>
        <v>INSERT INTO WD_Workdays (CalendarDay, CalendarWeekday, CalendarWeek) VALUES ('2044-06-29', 2, 26);</v>
      </c>
      <c r="AF184" s="2"/>
      <c r="AG184" s="2" t="str" cm="1">
        <f t="array" ref="AG184">CONCATENATE($AG$2,Liste(L184:O184),";")</f>
        <v>INSERT INTO WD_Holidays (CalendarDay, Donation, Share) VALUES ('2027-03-08', 'Internationaler Frauentag', 100);</v>
      </c>
    </row>
    <row r="185" spans="11:33" x14ac:dyDescent="0.45">
      <c r="K185" s="10">
        <v>46472</v>
      </c>
      <c r="L185" t="str">
        <f t="shared" si="42"/>
        <v>'2027-03-26'</v>
      </c>
      <c r="M185" s="3" t="s">
        <v>555</v>
      </c>
      <c r="N185">
        <v>100</v>
      </c>
      <c r="R185" s="10">
        <f t="shared" si="35"/>
        <v>52778</v>
      </c>
      <c r="S185" t="str">
        <f t="shared" si="28"/>
        <v>'2044-06-30'</v>
      </c>
      <c r="T185">
        <f t="shared" si="29"/>
        <v>3</v>
      </c>
      <c r="U185">
        <f t="shared" si="30"/>
        <v>26</v>
      </c>
      <c r="V185">
        <f t="shared" si="31"/>
        <v>2044</v>
      </c>
      <c r="W185">
        <f t="shared" si="32"/>
        <v>6</v>
      </c>
      <c r="X185">
        <f t="shared" si="33"/>
        <v>30</v>
      </c>
      <c r="Y185">
        <f t="shared" si="34"/>
        <v>1</v>
      </c>
      <c r="AE185" s="2" t="str" cm="1">
        <f t="array" ref="AE185">CONCATENATE($AE$2,Liste(S185:U185),";")</f>
        <v>INSERT INTO WD_Workdays (CalendarDay, CalendarWeekday, CalendarWeek) VALUES ('2044-06-30', 3, 26);</v>
      </c>
      <c r="AF185" s="2"/>
      <c r="AG185" s="2" t="str" cm="1">
        <f t="array" ref="AG185">CONCATENATE($AG$2,Liste(L185:O185),";")</f>
        <v>INSERT INTO WD_Holidays (CalendarDay, Donation, Share) VALUES ('2027-03-26', 'Karfreitag', 100);</v>
      </c>
    </row>
    <row r="186" spans="11:33" x14ac:dyDescent="0.45">
      <c r="K186" s="23">
        <v>46474</v>
      </c>
      <c r="L186" t="str">
        <f t="shared" si="42"/>
        <v>'2027-03-28'</v>
      </c>
      <c r="M186" s="3" t="s">
        <v>556</v>
      </c>
      <c r="N186">
        <v>100</v>
      </c>
      <c r="R186" s="10">
        <f t="shared" si="35"/>
        <v>52779</v>
      </c>
      <c r="S186" t="str">
        <f t="shared" si="28"/>
        <v>'2044-07-01'</v>
      </c>
      <c r="T186">
        <f t="shared" si="29"/>
        <v>4</v>
      </c>
      <c r="U186">
        <f t="shared" si="30"/>
        <v>26</v>
      </c>
      <c r="V186">
        <f t="shared" si="31"/>
        <v>2044</v>
      </c>
      <c r="W186">
        <f t="shared" si="32"/>
        <v>7</v>
      </c>
      <c r="X186">
        <f t="shared" si="33"/>
        <v>1</v>
      </c>
      <c r="Y186">
        <f t="shared" si="34"/>
        <v>2</v>
      </c>
      <c r="AE186" s="2" t="str" cm="1">
        <f t="array" ref="AE186">CONCATENATE($AE$2,Liste(S186:U186),";")</f>
        <v>INSERT INTO WD_Workdays (CalendarDay, CalendarWeekday, CalendarWeek) VALUES ('2044-07-01', 4, 26);</v>
      </c>
      <c r="AF186" s="2"/>
      <c r="AG186" s="2" t="str" cm="1">
        <f t="array" ref="AG186">CONCATENATE($AG$2,Liste(L186:O186),";")</f>
        <v>INSERT INTO WD_Holidays (CalendarDay, Donation, Share) VALUES ('2027-03-28', 'Ostersonntag', 100);</v>
      </c>
    </row>
    <row r="187" spans="11:33" x14ac:dyDescent="0.45">
      <c r="K187" s="10">
        <v>46475</v>
      </c>
      <c r="L187" t="str">
        <f t="shared" si="42"/>
        <v>'2027-03-29'</v>
      </c>
      <c r="M187" s="3" t="s">
        <v>557</v>
      </c>
      <c r="N187">
        <v>100</v>
      </c>
      <c r="R187" s="10">
        <f t="shared" si="35"/>
        <v>52780</v>
      </c>
      <c r="S187" t="str">
        <f t="shared" si="28"/>
        <v>'2044-07-02'</v>
      </c>
      <c r="T187">
        <f t="shared" si="29"/>
        <v>5</v>
      </c>
      <c r="U187">
        <f t="shared" si="30"/>
        <v>26</v>
      </c>
      <c r="V187">
        <f t="shared" si="31"/>
        <v>2044</v>
      </c>
      <c r="W187">
        <f t="shared" si="32"/>
        <v>7</v>
      </c>
      <c r="X187">
        <f t="shared" si="33"/>
        <v>2</v>
      </c>
      <c r="Y187">
        <f t="shared" si="34"/>
        <v>2</v>
      </c>
      <c r="AE187" s="2" t="str" cm="1">
        <f t="array" ref="AE187">CONCATENATE($AE$2,Liste(S187:U187),";")</f>
        <v>INSERT INTO WD_Workdays (CalendarDay, CalendarWeekday, CalendarWeek) VALUES ('2044-07-02', 5, 26);</v>
      </c>
      <c r="AF187" s="2"/>
      <c r="AG187" s="2" t="str" cm="1">
        <f t="array" ref="AG187">CONCATENATE($AG$2,Liste(L187:O187),";")</f>
        <v>INSERT INTO WD_Holidays (CalendarDay, Donation, Share) VALUES ('2027-03-29', 'Ostermontag', 100);</v>
      </c>
    </row>
    <row r="188" spans="11:33" x14ac:dyDescent="0.45">
      <c r="K188" s="10">
        <v>46508</v>
      </c>
      <c r="L188" t="str">
        <f t="shared" si="42"/>
        <v>'2027-05-01'</v>
      </c>
      <c r="M188" s="3" t="s">
        <v>558</v>
      </c>
      <c r="N188">
        <v>100</v>
      </c>
      <c r="R188" s="10">
        <f t="shared" si="35"/>
        <v>52781</v>
      </c>
      <c r="S188" t="str">
        <f t="shared" si="28"/>
        <v>'2044-07-03'</v>
      </c>
      <c r="T188">
        <f t="shared" si="29"/>
        <v>6</v>
      </c>
      <c r="U188">
        <f t="shared" si="30"/>
        <v>26</v>
      </c>
      <c r="V188">
        <f t="shared" si="31"/>
        <v>2044</v>
      </c>
      <c r="W188">
        <f t="shared" si="32"/>
        <v>7</v>
      </c>
      <c r="X188">
        <f t="shared" si="33"/>
        <v>3</v>
      </c>
      <c r="Y188">
        <f t="shared" si="34"/>
        <v>2</v>
      </c>
      <c r="AE188" s="2" t="str" cm="1">
        <f t="array" ref="AE188">CONCATENATE($AE$2,Liste(S188:U188),";")</f>
        <v>INSERT INTO WD_Workdays (CalendarDay, CalendarWeekday, CalendarWeek) VALUES ('2044-07-03', 6, 26);</v>
      </c>
      <c r="AF188" s="2"/>
      <c r="AG188" s="2" t="str" cm="1">
        <f t="array" ref="AG188">CONCATENATE($AG$2,Liste(L188:O188),";")</f>
        <v>INSERT INTO WD_Holidays (CalendarDay, Donation, Share) VALUES ('2027-05-01', 'Tag der Arbeit', 100);</v>
      </c>
    </row>
    <row r="189" spans="11:33" x14ac:dyDescent="0.45">
      <c r="K189" s="10">
        <v>46513</v>
      </c>
      <c r="L189" t="str">
        <f t="shared" si="42"/>
        <v>'2027-05-06'</v>
      </c>
      <c r="M189" s="3" t="s">
        <v>559</v>
      </c>
      <c r="N189">
        <v>100</v>
      </c>
      <c r="R189" s="10">
        <f t="shared" si="35"/>
        <v>52782</v>
      </c>
      <c r="S189" t="str">
        <f t="shared" si="28"/>
        <v>'2044-07-04'</v>
      </c>
      <c r="T189">
        <f t="shared" si="29"/>
        <v>0</v>
      </c>
      <c r="U189">
        <f t="shared" si="30"/>
        <v>27</v>
      </c>
      <c r="V189">
        <f t="shared" si="31"/>
        <v>2044</v>
      </c>
      <c r="W189">
        <f t="shared" si="32"/>
        <v>7</v>
      </c>
      <c r="X189">
        <f t="shared" si="33"/>
        <v>4</v>
      </c>
      <c r="Y189">
        <f t="shared" si="34"/>
        <v>2</v>
      </c>
      <c r="AE189" s="2" t="str" cm="1">
        <f t="array" ref="AE189">CONCATENATE($AE$2,Liste(S189:U189),";")</f>
        <v>INSERT INTO WD_Workdays (CalendarDay, CalendarWeekday, CalendarWeek) VALUES ('2044-07-04', 0, 27);</v>
      </c>
      <c r="AF189" s="2"/>
      <c r="AG189" s="2" t="str" cm="1">
        <f t="array" ref="AG189">CONCATENATE($AG$2,Liste(L189:O189),";")</f>
        <v>INSERT INTO WD_Holidays (CalendarDay, Donation, Share) VALUES ('2027-05-06', 'Christi Himmelfahrt', 100);</v>
      </c>
    </row>
    <row r="190" spans="11:33" x14ac:dyDescent="0.45">
      <c r="K190" s="10">
        <v>46523</v>
      </c>
      <c r="L190" t="str">
        <f t="shared" si="42"/>
        <v>'2027-05-16'</v>
      </c>
      <c r="M190" s="3" t="s">
        <v>779</v>
      </c>
      <c r="N190">
        <v>100</v>
      </c>
      <c r="R190" s="10">
        <f t="shared" si="35"/>
        <v>52783</v>
      </c>
      <c r="S190" t="str">
        <f t="shared" si="28"/>
        <v>'2044-07-05'</v>
      </c>
      <c r="T190">
        <f t="shared" si="29"/>
        <v>1</v>
      </c>
      <c r="U190">
        <f t="shared" si="30"/>
        <v>27</v>
      </c>
      <c r="V190">
        <f t="shared" si="31"/>
        <v>2044</v>
      </c>
      <c r="W190">
        <f t="shared" si="32"/>
        <v>7</v>
      </c>
      <c r="X190">
        <f t="shared" si="33"/>
        <v>5</v>
      </c>
      <c r="Y190">
        <f t="shared" si="34"/>
        <v>2</v>
      </c>
      <c r="AE190" s="2" t="str" cm="1">
        <f t="array" ref="AE190">CONCATENATE($AE$2,Liste(S190:U190),";")</f>
        <v>INSERT INTO WD_Workdays (CalendarDay, CalendarWeekday, CalendarWeek) VALUES ('2044-07-05', 1, 27);</v>
      </c>
      <c r="AF190" s="2"/>
      <c r="AG190" s="2" t="str" cm="1">
        <f t="array" ref="AG190">CONCATENATE($AG$2,Liste(L190:O190),";")</f>
        <v>INSERT INTO WD_Holidays (CalendarDay, Donation, Share) VALUES ('2027-05-16', 'Pfingstsonntag', 100);</v>
      </c>
    </row>
    <row r="191" spans="11:33" x14ac:dyDescent="0.45">
      <c r="K191" s="10">
        <v>46524</v>
      </c>
      <c r="L191" t="str">
        <f t="shared" si="42"/>
        <v>'2027-05-17'</v>
      </c>
      <c r="M191" s="3" t="s">
        <v>560</v>
      </c>
      <c r="N191">
        <v>100</v>
      </c>
      <c r="R191" s="10">
        <f t="shared" si="35"/>
        <v>52784</v>
      </c>
      <c r="S191" t="str">
        <f t="shared" si="28"/>
        <v>'2044-07-06'</v>
      </c>
      <c r="T191">
        <f t="shared" si="29"/>
        <v>2</v>
      </c>
      <c r="U191">
        <f t="shared" si="30"/>
        <v>27</v>
      </c>
      <c r="V191">
        <f t="shared" si="31"/>
        <v>2044</v>
      </c>
      <c r="W191">
        <f t="shared" si="32"/>
        <v>7</v>
      </c>
      <c r="X191">
        <f t="shared" si="33"/>
        <v>6</v>
      </c>
      <c r="Y191">
        <f t="shared" si="34"/>
        <v>2</v>
      </c>
      <c r="AE191" s="2" t="str" cm="1">
        <f t="array" ref="AE191">CONCATENATE($AE$2,Liste(S191:U191),";")</f>
        <v>INSERT INTO WD_Workdays (CalendarDay, CalendarWeekday, CalendarWeek) VALUES ('2044-07-06', 2, 27);</v>
      </c>
      <c r="AF191" s="2"/>
      <c r="AG191" s="2" t="str" cm="1">
        <f t="array" ref="AG191">CONCATENATE($AG$2,Liste(L191:O191),";")</f>
        <v>INSERT INTO WD_Holidays (CalendarDay, Donation, Share) VALUES ('2027-05-17', 'Pfingstmontag', 100);</v>
      </c>
    </row>
    <row r="192" spans="11:33" x14ac:dyDescent="0.45">
      <c r="K192" s="10">
        <v>46663</v>
      </c>
      <c r="L192" t="str">
        <f t="shared" si="42"/>
        <v>'2027-10-03'</v>
      </c>
      <c r="M192" s="3" t="s">
        <v>561</v>
      </c>
      <c r="N192">
        <v>100</v>
      </c>
      <c r="R192" s="10">
        <f t="shared" si="35"/>
        <v>52785</v>
      </c>
      <c r="S192" t="str">
        <f t="shared" si="28"/>
        <v>'2044-07-07'</v>
      </c>
      <c r="T192">
        <f t="shared" si="29"/>
        <v>3</v>
      </c>
      <c r="U192">
        <f t="shared" si="30"/>
        <v>27</v>
      </c>
      <c r="V192">
        <f t="shared" si="31"/>
        <v>2044</v>
      </c>
      <c r="W192">
        <f t="shared" si="32"/>
        <v>7</v>
      </c>
      <c r="X192">
        <f t="shared" si="33"/>
        <v>7</v>
      </c>
      <c r="Y192">
        <f t="shared" si="34"/>
        <v>2</v>
      </c>
      <c r="AE192" s="2" t="str" cm="1">
        <f t="array" ref="AE192">CONCATENATE($AE$2,Liste(S192:U192),";")</f>
        <v>INSERT INTO WD_Workdays (CalendarDay, CalendarWeekday, CalendarWeek) VALUES ('2044-07-07', 3, 27);</v>
      </c>
      <c r="AF192" s="2"/>
      <c r="AG192" s="2" t="str" cm="1">
        <f t="array" ref="AG192">CONCATENATE($AG$2,Liste(L192:O192),";")</f>
        <v>INSERT INTO WD_Holidays (CalendarDay, Donation, Share) VALUES ('2027-10-03', 'Tag der Deutschen Einheit', 100);</v>
      </c>
    </row>
    <row r="193" spans="11:33" x14ac:dyDescent="0.45">
      <c r="K193" s="10">
        <v>46745</v>
      </c>
      <c r="L193" t="str">
        <f t="shared" si="42"/>
        <v>'2027-12-24'</v>
      </c>
      <c r="M193" s="3" t="s">
        <v>562</v>
      </c>
      <c r="N193">
        <v>50</v>
      </c>
      <c r="R193" s="10">
        <f t="shared" si="35"/>
        <v>52786</v>
      </c>
      <c r="S193" t="str">
        <f t="shared" si="28"/>
        <v>'2044-07-08'</v>
      </c>
      <c r="T193">
        <f t="shared" si="29"/>
        <v>4</v>
      </c>
      <c r="U193">
        <f t="shared" si="30"/>
        <v>27</v>
      </c>
      <c r="V193">
        <f t="shared" si="31"/>
        <v>2044</v>
      </c>
      <c r="W193">
        <f t="shared" si="32"/>
        <v>7</v>
      </c>
      <c r="X193">
        <f t="shared" si="33"/>
        <v>8</v>
      </c>
      <c r="Y193">
        <f t="shared" si="34"/>
        <v>2</v>
      </c>
      <c r="AE193" s="2" t="str" cm="1">
        <f t="array" ref="AE193">CONCATENATE($AE$2,Liste(S193:U193),";")</f>
        <v>INSERT INTO WD_Workdays (CalendarDay, CalendarWeekday, CalendarWeek) VALUES ('2044-07-08', 4, 27);</v>
      </c>
      <c r="AF193" s="2"/>
      <c r="AG193" s="2" t="str" cm="1">
        <f t="array" ref="AG193">CONCATENATE($AG$2,Liste(L193:O193),";")</f>
        <v>INSERT INTO WD_Holidays (CalendarDay, Donation, Share) VALUES ('2027-12-24', 'Heiligabend', 50);</v>
      </c>
    </row>
    <row r="194" spans="11:33" x14ac:dyDescent="0.45">
      <c r="K194" s="10">
        <v>46746</v>
      </c>
      <c r="L194" t="str">
        <f t="shared" si="42"/>
        <v>'2027-12-25'</v>
      </c>
      <c r="M194" s="3" t="s">
        <v>563</v>
      </c>
      <c r="N194">
        <v>100</v>
      </c>
      <c r="R194" s="10">
        <f t="shared" si="35"/>
        <v>52787</v>
      </c>
      <c r="S194" t="str">
        <f t="shared" si="28"/>
        <v>'2044-07-09'</v>
      </c>
      <c r="T194">
        <f t="shared" si="29"/>
        <v>5</v>
      </c>
      <c r="U194">
        <f t="shared" si="30"/>
        <v>27</v>
      </c>
      <c r="V194">
        <f t="shared" si="31"/>
        <v>2044</v>
      </c>
      <c r="W194">
        <f t="shared" si="32"/>
        <v>7</v>
      </c>
      <c r="X194">
        <f t="shared" si="33"/>
        <v>9</v>
      </c>
      <c r="Y194">
        <f t="shared" si="34"/>
        <v>2</v>
      </c>
      <c r="AE194" s="2" t="str" cm="1">
        <f t="array" ref="AE194">CONCATENATE($AE$2,Liste(S194:U194),";")</f>
        <v>INSERT INTO WD_Workdays (CalendarDay, CalendarWeekday, CalendarWeek) VALUES ('2044-07-09', 5, 27);</v>
      </c>
      <c r="AF194" s="2"/>
      <c r="AG194" s="2" t="str" cm="1">
        <f t="array" ref="AG194">CONCATENATE($AG$2,Liste(L194:O194),";")</f>
        <v>INSERT INTO WD_Holidays (CalendarDay, Donation, Share) VALUES ('2027-12-25', '1. Weihnachtsfeiertag', 100);</v>
      </c>
    </row>
    <row r="195" spans="11:33" x14ac:dyDescent="0.45">
      <c r="K195" s="10">
        <v>46747</v>
      </c>
      <c r="L195" t="str">
        <f t="shared" si="42"/>
        <v>'2027-12-26'</v>
      </c>
      <c r="M195" s="3" t="s">
        <v>564</v>
      </c>
      <c r="N195">
        <v>100</v>
      </c>
      <c r="R195" s="10">
        <f t="shared" si="35"/>
        <v>52788</v>
      </c>
      <c r="S195" t="str">
        <f t="shared" si="28"/>
        <v>'2044-07-10'</v>
      </c>
      <c r="T195">
        <f t="shared" si="29"/>
        <v>6</v>
      </c>
      <c r="U195">
        <f t="shared" si="30"/>
        <v>27</v>
      </c>
      <c r="V195">
        <f t="shared" si="31"/>
        <v>2044</v>
      </c>
      <c r="W195">
        <f t="shared" si="32"/>
        <v>7</v>
      </c>
      <c r="X195">
        <f t="shared" si="33"/>
        <v>10</v>
      </c>
      <c r="Y195">
        <f t="shared" si="34"/>
        <v>2</v>
      </c>
      <c r="AE195" s="2" t="str" cm="1">
        <f t="array" ref="AE195">CONCATENATE($AE$2,Liste(S195:U195),";")</f>
        <v>INSERT INTO WD_Workdays (CalendarDay, CalendarWeekday, CalendarWeek) VALUES ('2044-07-10', 6, 27);</v>
      </c>
      <c r="AF195" s="2"/>
      <c r="AG195" s="2" t="str" cm="1">
        <f t="array" ref="AG195">CONCATENATE($AG$2,Liste(L195:O195),";")</f>
        <v>INSERT INTO WD_Holidays (CalendarDay, Donation, Share) VALUES ('2027-12-26', '2. Weihnachtsfeiertag', 100);</v>
      </c>
    </row>
    <row r="196" spans="11:33" x14ac:dyDescent="0.45">
      <c r="K196" s="10">
        <v>46752</v>
      </c>
      <c r="L196" t="str">
        <f t="shared" si="42"/>
        <v>'2027-12-31'</v>
      </c>
      <c r="M196" s="3" t="s">
        <v>565</v>
      </c>
      <c r="N196">
        <v>50</v>
      </c>
      <c r="R196" s="10">
        <f t="shared" si="35"/>
        <v>52789</v>
      </c>
      <c r="S196" t="str">
        <f t="shared" si="28"/>
        <v>'2044-07-11'</v>
      </c>
      <c r="T196">
        <f t="shared" si="29"/>
        <v>0</v>
      </c>
      <c r="U196">
        <f t="shared" si="30"/>
        <v>28</v>
      </c>
      <c r="V196">
        <f t="shared" si="31"/>
        <v>2044</v>
      </c>
      <c r="W196">
        <f t="shared" si="32"/>
        <v>7</v>
      </c>
      <c r="X196">
        <f t="shared" si="33"/>
        <v>11</v>
      </c>
      <c r="Y196">
        <f t="shared" si="34"/>
        <v>2</v>
      </c>
      <c r="AE196" s="2" t="str" cm="1">
        <f t="array" ref="AE196">CONCATENATE($AE$2,Liste(S196:U196),";")</f>
        <v>INSERT INTO WD_Workdays (CalendarDay, CalendarWeekday, CalendarWeek) VALUES ('2044-07-11', 0, 28);</v>
      </c>
      <c r="AF196" s="2"/>
      <c r="AG196" s="2" t="str" cm="1">
        <f t="array" ref="AG196">CONCATENATE($AG$2,Liste(L196:O196),";")</f>
        <v>INSERT INTO WD_Holidays (CalendarDay, Donation, Share) VALUES ('2027-12-31', 'Silvester', 50);</v>
      </c>
    </row>
    <row r="197" spans="11:33" x14ac:dyDescent="0.45">
      <c r="K197" s="10">
        <v>46753</v>
      </c>
      <c r="L197" t="str">
        <f t="shared" si="42"/>
        <v>'2028-01-01'</v>
      </c>
      <c r="M197" s="3" t="s">
        <v>481</v>
      </c>
      <c r="N197">
        <v>100</v>
      </c>
      <c r="R197" s="10">
        <f t="shared" si="35"/>
        <v>52790</v>
      </c>
      <c r="S197" t="str">
        <f t="shared" ref="S197:S260" si="43">CONCATENATE("'",TEXT(R197,"jjjj-MM-tt"),"'")</f>
        <v>'2044-07-12'</v>
      </c>
      <c r="T197">
        <f t="shared" ref="T197:T260" si="44">WEEKDAY(R197,3)</f>
        <v>1</v>
      </c>
      <c r="U197">
        <f t="shared" ref="U197:U260" si="45">_xlfn.ISOWEEKNUM(R197)</f>
        <v>28</v>
      </c>
      <c r="V197">
        <f t="shared" ref="V197:V260" si="46">YEAR(R197)</f>
        <v>2044</v>
      </c>
      <c r="W197">
        <f t="shared" ref="W197:W260" si="47">MONTH(R197)</f>
        <v>7</v>
      </c>
      <c r="X197">
        <f t="shared" ref="X197:X260" si="48">DAY(R197)</f>
        <v>12</v>
      </c>
      <c r="Y197">
        <f t="shared" ref="Y197:Y260" si="49">IF(AND(W197&gt;=1,W197&lt;=3),0,IF(AND(W197&gt;=4,W197&lt;=6),1,IF(AND(W197&gt;=7,W197&lt;=8),2,IF(AND(W197&gt;=9,W197&lt;=12),3,-1))))</f>
        <v>2</v>
      </c>
      <c r="AE197" s="2" t="str" cm="1">
        <f t="array" ref="AE197">CONCATENATE($AE$2,Liste(S197:U197),";")</f>
        <v>INSERT INTO WD_Workdays (CalendarDay, CalendarWeekday, CalendarWeek) VALUES ('2044-07-12', 1, 28);</v>
      </c>
      <c r="AF197" s="2"/>
      <c r="AG197" s="2" t="str" cm="1">
        <f t="array" ref="AG197">CONCATENATE($AG$2,Liste(L197:O197),";")</f>
        <v>INSERT INTO WD_Holidays (CalendarDay, Donation, Share) VALUES ('2028-01-01', 'Neujahr', 100);</v>
      </c>
    </row>
    <row r="198" spans="11:33" x14ac:dyDescent="0.45">
      <c r="K198" s="10">
        <v>46820</v>
      </c>
      <c r="L198" t="str">
        <f t="shared" si="42"/>
        <v>'2028-03-08'</v>
      </c>
      <c r="M198" s="3" t="s">
        <v>554</v>
      </c>
      <c r="N198">
        <v>100</v>
      </c>
      <c r="R198" s="10">
        <f t="shared" ref="R198:R261" si="50">R197+1</f>
        <v>52791</v>
      </c>
      <c r="S198" t="str">
        <f t="shared" si="43"/>
        <v>'2044-07-13'</v>
      </c>
      <c r="T198">
        <f t="shared" si="44"/>
        <v>2</v>
      </c>
      <c r="U198">
        <f t="shared" si="45"/>
        <v>28</v>
      </c>
      <c r="V198">
        <f t="shared" si="46"/>
        <v>2044</v>
      </c>
      <c r="W198">
        <f t="shared" si="47"/>
        <v>7</v>
      </c>
      <c r="X198">
        <f t="shared" si="48"/>
        <v>13</v>
      </c>
      <c r="Y198">
        <f t="shared" si="49"/>
        <v>2</v>
      </c>
      <c r="AE198" s="2" t="str" cm="1">
        <f t="array" ref="AE198">CONCATENATE($AE$2,Liste(S198:U198),";")</f>
        <v>INSERT INTO WD_Workdays (CalendarDay, CalendarWeekday, CalendarWeek) VALUES ('2044-07-13', 2, 28);</v>
      </c>
      <c r="AF198" s="2"/>
      <c r="AG198" s="2" t="str" cm="1">
        <f t="array" ref="AG198">CONCATENATE($AG$2,Liste(L198:O198),";")</f>
        <v>INSERT INTO WD_Holidays (CalendarDay, Donation, Share) VALUES ('2028-03-08', 'Internationaler Frauentag', 100);</v>
      </c>
    </row>
    <row r="199" spans="11:33" x14ac:dyDescent="0.45">
      <c r="K199" s="10">
        <v>46857</v>
      </c>
      <c r="L199" t="str">
        <f t="shared" si="42"/>
        <v>'2028-04-14'</v>
      </c>
      <c r="M199" s="3" t="s">
        <v>555</v>
      </c>
      <c r="N199">
        <v>100</v>
      </c>
      <c r="R199" s="10">
        <f t="shared" si="50"/>
        <v>52792</v>
      </c>
      <c r="S199" t="str">
        <f t="shared" si="43"/>
        <v>'2044-07-14'</v>
      </c>
      <c r="T199">
        <f t="shared" si="44"/>
        <v>3</v>
      </c>
      <c r="U199">
        <f t="shared" si="45"/>
        <v>28</v>
      </c>
      <c r="V199">
        <f t="shared" si="46"/>
        <v>2044</v>
      </c>
      <c r="W199">
        <f t="shared" si="47"/>
        <v>7</v>
      </c>
      <c r="X199">
        <f t="shared" si="48"/>
        <v>14</v>
      </c>
      <c r="Y199">
        <f t="shared" si="49"/>
        <v>2</v>
      </c>
      <c r="AE199" s="2" t="str" cm="1">
        <f t="array" ref="AE199">CONCATENATE($AE$2,Liste(S199:U199),";")</f>
        <v>INSERT INTO WD_Workdays (CalendarDay, CalendarWeekday, CalendarWeek) VALUES ('2044-07-14', 3, 28);</v>
      </c>
      <c r="AF199" s="2"/>
      <c r="AG199" s="2" t="str" cm="1">
        <f t="array" ref="AG199">CONCATENATE($AG$2,Liste(L199:O199),";")</f>
        <v>INSERT INTO WD_Holidays (CalendarDay, Donation, Share) VALUES ('2028-04-14', 'Karfreitag', 100);</v>
      </c>
    </row>
    <row r="200" spans="11:33" x14ac:dyDescent="0.45">
      <c r="K200" s="10">
        <v>46859</v>
      </c>
      <c r="L200" t="str">
        <f t="shared" si="42"/>
        <v>'2028-04-16'</v>
      </c>
      <c r="M200" s="3" t="s">
        <v>556</v>
      </c>
      <c r="N200">
        <v>100</v>
      </c>
      <c r="R200" s="10">
        <f t="shared" si="50"/>
        <v>52793</v>
      </c>
      <c r="S200" t="str">
        <f t="shared" si="43"/>
        <v>'2044-07-15'</v>
      </c>
      <c r="T200">
        <f t="shared" si="44"/>
        <v>4</v>
      </c>
      <c r="U200">
        <f t="shared" si="45"/>
        <v>28</v>
      </c>
      <c r="V200">
        <f t="shared" si="46"/>
        <v>2044</v>
      </c>
      <c r="W200">
        <f t="shared" si="47"/>
        <v>7</v>
      </c>
      <c r="X200">
        <f t="shared" si="48"/>
        <v>15</v>
      </c>
      <c r="Y200">
        <f t="shared" si="49"/>
        <v>2</v>
      </c>
      <c r="AE200" s="2" t="str" cm="1">
        <f t="array" ref="AE200">CONCATENATE($AE$2,Liste(S200:U200),";")</f>
        <v>INSERT INTO WD_Workdays (CalendarDay, CalendarWeekday, CalendarWeek) VALUES ('2044-07-15', 4, 28);</v>
      </c>
      <c r="AF200" s="2"/>
      <c r="AG200" s="2" t="str" cm="1">
        <f t="array" ref="AG200">CONCATENATE($AG$2,Liste(L200:O200),";")</f>
        <v>INSERT INTO WD_Holidays (CalendarDay, Donation, Share) VALUES ('2028-04-16', 'Ostersonntag', 100);</v>
      </c>
    </row>
    <row r="201" spans="11:33" x14ac:dyDescent="0.45">
      <c r="K201" s="10">
        <v>46860</v>
      </c>
      <c r="L201" t="str">
        <f t="shared" si="42"/>
        <v>'2028-04-17'</v>
      </c>
      <c r="M201" s="3" t="s">
        <v>557</v>
      </c>
      <c r="N201">
        <v>100</v>
      </c>
      <c r="R201" s="10">
        <f t="shared" si="50"/>
        <v>52794</v>
      </c>
      <c r="S201" t="str">
        <f t="shared" si="43"/>
        <v>'2044-07-16'</v>
      </c>
      <c r="T201">
        <f t="shared" si="44"/>
        <v>5</v>
      </c>
      <c r="U201">
        <f t="shared" si="45"/>
        <v>28</v>
      </c>
      <c r="V201">
        <f t="shared" si="46"/>
        <v>2044</v>
      </c>
      <c r="W201">
        <f t="shared" si="47"/>
        <v>7</v>
      </c>
      <c r="X201">
        <f t="shared" si="48"/>
        <v>16</v>
      </c>
      <c r="Y201">
        <f t="shared" si="49"/>
        <v>2</v>
      </c>
      <c r="AE201" s="2" t="str" cm="1">
        <f t="array" ref="AE201">CONCATENATE($AE$2,Liste(S201:U201),";")</f>
        <v>INSERT INTO WD_Workdays (CalendarDay, CalendarWeekday, CalendarWeek) VALUES ('2044-07-16', 5, 28);</v>
      </c>
      <c r="AF201" s="2"/>
      <c r="AG201" s="2" t="str" cm="1">
        <f t="array" ref="AG201">CONCATENATE($AG$2,Liste(L201:O201),";")</f>
        <v>INSERT INTO WD_Holidays (CalendarDay, Donation, Share) VALUES ('2028-04-17', 'Ostermontag', 100);</v>
      </c>
    </row>
    <row r="202" spans="11:33" x14ac:dyDescent="0.45">
      <c r="K202" s="10">
        <v>46874</v>
      </c>
      <c r="L202" t="str">
        <f t="shared" si="42"/>
        <v>'2028-05-01'</v>
      </c>
      <c r="M202" s="3" t="s">
        <v>558</v>
      </c>
      <c r="N202">
        <v>100</v>
      </c>
      <c r="R202" s="10">
        <f t="shared" si="50"/>
        <v>52795</v>
      </c>
      <c r="S202" t="str">
        <f t="shared" si="43"/>
        <v>'2044-07-17'</v>
      </c>
      <c r="T202">
        <f t="shared" si="44"/>
        <v>6</v>
      </c>
      <c r="U202">
        <f t="shared" si="45"/>
        <v>28</v>
      </c>
      <c r="V202">
        <f t="shared" si="46"/>
        <v>2044</v>
      </c>
      <c r="W202">
        <f t="shared" si="47"/>
        <v>7</v>
      </c>
      <c r="X202">
        <f t="shared" si="48"/>
        <v>17</v>
      </c>
      <c r="Y202">
        <f t="shared" si="49"/>
        <v>2</v>
      </c>
      <c r="AE202" s="2" t="str" cm="1">
        <f t="array" ref="AE202">CONCATENATE($AE$2,Liste(S202:U202),";")</f>
        <v>INSERT INTO WD_Workdays (CalendarDay, CalendarWeekday, CalendarWeek) VALUES ('2044-07-17', 6, 28);</v>
      </c>
      <c r="AF202" s="2"/>
      <c r="AG202" s="2" t="str" cm="1">
        <f t="array" ref="AG202">CONCATENATE($AG$2,Liste(L202:O202),";")</f>
        <v>INSERT INTO WD_Holidays (CalendarDay, Donation, Share) VALUES ('2028-05-01', 'Tag der Arbeit', 100);</v>
      </c>
    </row>
    <row r="203" spans="11:33" x14ac:dyDescent="0.45">
      <c r="K203" s="10">
        <v>46898</v>
      </c>
      <c r="L203" t="str">
        <f t="shared" si="42"/>
        <v>'2028-05-25'</v>
      </c>
      <c r="M203" s="3" t="s">
        <v>559</v>
      </c>
      <c r="N203">
        <v>100</v>
      </c>
      <c r="R203" s="10">
        <f t="shared" si="50"/>
        <v>52796</v>
      </c>
      <c r="S203" t="str">
        <f t="shared" si="43"/>
        <v>'2044-07-18'</v>
      </c>
      <c r="T203">
        <f t="shared" si="44"/>
        <v>0</v>
      </c>
      <c r="U203">
        <f t="shared" si="45"/>
        <v>29</v>
      </c>
      <c r="V203">
        <f t="shared" si="46"/>
        <v>2044</v>
      </c>
      <c r="W203">
        <f t="shared" si="47"/>
        <v>7</v>
      </c>
      <c r="X203">
        <f t="shared" si="48"/>
        <v>18</v>
      </c>
      <c r="Y203">
        <f t="shared" si="49"/>
        <v>2</v>
      </c>
      <c r="AE203" s="2" t="str" cm="1">
        <f t="array" ref="AE203">CONCATENATE($AE$2,Liste(S203:U203),";")</f>
        <v>INSERT INTO WD_Workdays (CalendarDay, CalendarWeekday, CalendarWeek) VALUES ('2044-07-18', 0, 29);</v>
      </c>
      <c r="AF203" s="2"/>
      <c r="AG203" s="2" t="str" cm="1">
        <f t="array" ref="AG203">CONCATENATE($AG$2,Liste(L203:O203),";")</f>
        <v>INSERT INTO WD_Holidays (CalendarDay, Donation, Share) VALUES ('2028-05-25', 'Christi Himmelfahrt', 100);</v>
      </c>
    </row>
    <row r="204" spans="11:33" x14ac:dyDescent="0.45">
      <c r="K204" s="10">
        <v>46908</v>
      </c>
      <c r="L204" t="str">
        <f t="shared" si="42"/>
        <v>'2028-06-04'</v>
      </c>
      <c r="M204" s="3" t="s">
        <v>779</v>
      </c>
      <c r="N204">
        <v>100</v>
      </c>
      <c r="R204" s="10">
        <f t="shared" si="50"/>
        <v>52797</v>
      </c>
      <c r="S204" t="str">
        <f t="shared" si="43"/>
        <v>'2044-07-19'</v>
      </c>
      <c r="T204">
        <f t="shared" si="44"/>
        <v>1</v>
      </c>
      <c r="U204">
        <f t="shared" si="45"/>
        <v>29</v>
      </c>
      <c r="V204">
        <f t="shared" si="46"/>
        <v>2044</v>
      </c>
      <c r="W204">
        <f t="shared" si="47"/>
        <v>7</v>
      </c>
      <c r="X204">
        <f t="shared" si="48"/>
        <v>19</v>
      </c>
      <c r="Y204">
        <f t="shared" si="49"/>
        <v>2</v>
      </c>
      <c r="AE204" s="2" t="str" cm="1">
        <f t="array" ref="AE204">CONCATENATE($AE$2,Liste(S204:U204),";")</f>
        <v>INSERT INTO WD_Workdays (CalendarDay, CalendarWeekday, CalendarWeek) VALUES ('2044-07-19', 1, 29);</v>
      </c>
      <c r="AF204" s="2"/>
      <c r="AG204" s="2" t="str" cm="1">
        <f t="array" ref="AG204">CONCATENATE($AG$2,Liste(L204:O204),";")</f>
        <v>INSERT INTO WD_Holidays (CalendarDay, Donation, Share) VALUES ('2028-06-04', 'Pfingstsonntag', 100);</v>
      </c>
    </row>
    <row r="205" spans="11:33" x14ac:dyDescent="0.45">
      <c r="K205" s="10">
        <v>46909</v>
      </c>
      <c r="L205" t="str">
        <f t="shared" si="42"/>
        <v>'2028-06-05'</v>
      </c>
      <c r="M205" s="3" t="s">
        <v>560</v>
      </c>
      <c r="N205">
        <v>100</v>
      </c>
      <c r="R205" s="10">
        <f t="shared" si="50"/>
        <v>52798</v>
      </c>
      <c r="S205" t="str">
        <f t="shared" si="43"/>
        <v>'2044-07-20'</v>
      </c>
      <c r="T205">
        <f t="shared" si="44"/>
        <v>2</v>
      </c>
      <c r="U205">
        <f t="shared" si="45"/>
        <v>29</v>
      </c>
      <c r="V205">
        <f t="shared" si="46"/>
        <v>2044</v>
      </c>
      <c r="W205">
        <f t="shared" si="47"/>
        <v>7</v>
      </c>
      <c r="X205">
        <f t="shared" si="48"/>
        <v>20</v>
      </c>
      <c r="Y205">
        <f t="shared" si="49"/>
        <v>2</v>
      </c>
      <c r="AE205" s="2" t="str" cm="1">
        <f t="array" ref="AE205">CONCATENATE($AE$2,Liste(S205:U205),";")</f>
        <v>INSERT INTO WD_Workdays (CalendarDay, CalendarWeekday, CalendarWeek) VALUES ('2044-07-20', 2, 29);</v>
      </c>
      <c r="AF205" s="2"/>
      <c r="AG205" s="2" t="str" cm="1">
        <f t="array" ref="AG205">CONCATENATE($AG$2,Liste(L205:O205),";")</f>
        <v>INSERT INTO WD_Holidays (CalendarDay, Donation, Share) VALUES ('2028-06-05', 'Pfingstmontag', 100);</v>
      </c>
    </row>
    <row r="206" spans="11:33" x14ac:dyDescent="0.45">
      <c r="K206" s="10">
        <v>47029</v>
      </c>
      <c r="L206" t="str">
        <f t="shared" si="42"/>
        <v>'2028-10-03'</v>
      </c>
      <c r="M206" s="3" t="s">
        <v>561</v>
      </c>
      <c r="N206">
        <v>100</v>
      </c>
      <c r="R206" s="10">
        <f t="shared" si="50"/>
        <v>52799</v>
      </c>
      <c r="S206" t="str">
        <f t="shared" si="43"/>
        <v>'2044-07-21'</v>
      </c>
      <c r="T206">
        <f t="shared" si="44"/>
        <v>3</v>
      </c>
      <c r="U206">
        <f t="shared" si="45"/>
        <v>29</v>
      </c>
      <c r="V206">
        <f t="shared" si="46"/>
        <v>2044</v>
      </c>
      <c r="W206">
        <f t="shared" si="47"/>
        <v>7</v>
      </c>
      <c r="X206">
        <f t="shared" si="48"/>
        <v>21</v>
      </c>
      <c r="Y206">
        <f t="shared" si="49"/>
        <v>2</v>
      </c>
      <c r="AE206" s="2" t="str" cm="1">
        <f t="array" ref="AE206">CONCATENATE($AE$2,Liste(S206:U206),";")</f>
        <v>INSERT INTO WD_Workdays (CalendarDay, CalendarWeekday, CalendarWeek) VALUES ('2044-07-21', 3, 29);</v>
      </c>
      <c r="AF206" s="2"/>
      <c r="AG206" s="2" t="str" cm="1">
        <f t="array" ref="AG206">CONCATENATE($AG$2,Liste(L206:O206),";")</f>
        <v>INSERT INTO WD_Holidays (CalendarDay, Donation, Share) VALUES ('2028-10-03', 'Tag der Deutschen Einheit', 100);</v>
      </c>
    </row>
    <row r="207" spans="11:33" x14ac:dyDescent="0.45">
      <c r="K207" s="10">
        <v>47111</v>
      </c>
      <c r="L207" t="str">
        <f t="shared" si="42"/>
        <v>'2028-12-24'</v>
      </c>
      <c r="M207" s="3" t="s">
        <v>562</v>
      </c>
      <c r="N207">
        <v>50</v>
      </c>
      <c r="R207" s="10">
        <f t="shared" si="50"/>
        <v>52800</v>
      </c>
      <c r="S207" t="str">
        <f t="shared" si="43"/>
        <v>'2044-07-22'</v>
      </c>
      <c r="T207">
        <f t="shared" si="44"/>
        <v>4</v>
      </c>
      <c r="U207">
        <f t="shared" si="45"/>
        <v>29</v>
      </c>
      <c r="V207">
        <f t="shared" si="46"/>
        <v>2044</v>
      </c>
      <c r="W207">
        <f t="shared" si="47"/>
        <v>7</v>
      </c>
      <c r="X207">
        <f t="shared" si="48"/>
        <v>22</v>
      </c>
      <c r="Y207">
        <f t="shared" si="49"/>
        <v>2</v>
      </c>
      <c r="AE207" s="2" t="str" cm="1">
        <f t="array" ref="AE207">CONCATENATE($AE$2,Liste(S207:U207),";")</f>
        <v>INSERT INTO WD_Workdays (CalendarDay, CalendarWeekday, CalendarWeek) VALUES ('2044-07-22', 4, 29);</v>
      </c>
      <c r="AF207" s="2"/>
      <c r="AG207" s="2" t="str" cm="1">
        <f t="array" ref="AG207">CONCATENATE($AG$2,Liste(L207:O207),";")</f>
        <v>INSERT INTO WD_Holidays (CalendarDay, Donation, Share) VALUES ('2028-12-24', 'Heiligabend', 50);</v>
      </c>
    </row>
    <row r="208" spans="11:33" x14ac:dyDescent="0.45">
      <c r="K208" s="10">
        <v>47112</v>
      </c>
      <c r="L208" t="str">
        <f t="shared" si="42"/>
        <v>'2028-12-25'</v>
      </c>
      <c r="M208" s="3" t="s">
        <v>563</v>
      </c>
      <c r="N208">
        <v>100</v>
      </c>
      <c r="R208" s="10">
        <f t="shared" si="50"/>
        <v>52801</v>
      </c>
      <c r="S208" t="str">
        <f t="shared" si="43"/>
        <v>'2044-07-23'</v>
      </c>
      <c r="T208">
        <f t="shared" si="44"/>
        <v>5</v>
      </c>
      <c r="U208">
        <f t="shared" si="45"/>
        <v>29</v>
      </c>
      <c r="V208">
        <f t="shared" si="46"/>
        <v>2044</v>
      </c>
      <c r="W208">
        <f t="shared" si="47"/>
        <v>7</v>
      </c>
      <c r="X208">
        <f t="shared" si="48"/>
        <v>23</v>
      </c>
      <c r="Y208">
        <f t="shared" si="49"/>
        <v>2</v>
      </c>
      <c r="AE208" s="2" t="str" cm="1">
        <f t="array" ref="AE208">CONCATENATE($AE$2,Liste(S208:U208),";")</f>
        <v>INSERT INTO WD_Workdays (CalendarDay, CalendarWeekday, CalendarWeek) VALUES ('2044-07-23', 5, 29);</v>
      </c>
      <c r="AF208" s="2"/>
      <c r="AG208" s="2" t="str" cm="1">
        <f t="array" ref="AG208">CONCATENATE($AG$2,Liste(L208:O208),";")</f>
        <v>INSERT INTO WD_Holidays (CalendarDay, Donation, Share) VALUES ('2028-12-25', '1. Weihnachtsfeiertag', 100);</v>
      </c>
    </row>
    <row r="209" spans="11:33" x14ac:dyDescent="0.45">
      <c r="K209" s="10">
        <v>47113</v>
      </c>
      <c r="L209" t="str">
        <f t="shared" si="42"/>
        <v>'2028-12-26'</v>
      </c>
      <c r="M209" s="3" t="s">
        <v>564</v>
      </c>
      <c r="N209">
        <v>100</v>
      </c>
      <c r="R209" s="10">
        <f t="shared" si="50"/>
        <v>52802</v>
      </c>
      <c r="S209" t="str">
        <f t="shared" si="43"/>
        <v>'2044-07-24'</v>
      </c>
      <c r="T209">
        <f t="shared" si="44"/>
        <v>6</v>
      </c>
      <c r="U209">
        <f t="shared" si="45"/>
        <v>29</v>
      </c>
      <c r="V209">
        <f t="shared" si="46"/>
        <v>2044</v>
      </c>
      <c r="W209">
        <f t="shared" si="47"/>
        <v>7</v>
      </c>
      <c r="X209">
        <f t="shared" si="48"/>
        <v>24</v>
      </c>
      <c r="Y209">
        <f t="shared" si="49"/>
        <v>2</v>
      </c>
      <c r="AE209" s="2" t="str" cm="1">
        <f t="array" ref="AE209">CONCATENATE($AE$2,Liste(S209:U209),";")</f>
        <v>INSERT INTO WD_Workdays (CalendarDay, CalendarWeekday, CalendarWeek) VALUES ('2044-07-24', 6, 29);</v>
      </c>
      <c r="AF209" s="2"/>
      <c r="AG209" s="2" t="str" cm="1">
        <f t="array" ref="AG209">CONCATENATE($AG$2,Liste(L209:O209),";")</f>
        <v>INSERT INTO WD_Holidays (CalendarDay, Donation, Share) VALUES ('2028-12-26', '2. Weihnachtsfeiertag', 100);</v>
      </c>
    </row>
    <row r="210" spans="11:33" x14ac:dyDescent="0.45">
      <c r="K210" s="10">
        <v>47118</v>
      </c>
      <c r="L210" t="str">
        <f t="shared" si="42"/>
        <v>'2028-12-31'</v>
      </c>
      <c r="M210" s="3" t="s">
        <v>565</v>
      </c>
      <c r="N210">
        <v>50</v>
      </c>
      <c r="R210" s="10">
        <f t="shared" si="50"/>
        <v>52803</v>
      </c>
      <c r="S210" t="str">
        <f t="shared" si="43"/>
        <v>'2044-07-25'</v>
      </c>
      <c r="T210">
        <f t="shared" si="44"/>
        <v>0</v>
      </c>
      <c r="U210">
        <f t="shared" si="45"/>
        <v>30</v>
      </c>
      <c r="V210">
        <f t="shared" si="46"/>
        <v>2044</v>
      </c>
      <c r="W210">
        <f t="shared" si="47"/>
        <v>7</v>
      </c>
      <c r="X210">
        <f t="shared" si="48"/>
        <v>25</v>
      </c>
      <c r="Y210">
        <f t="shared" si="49"/>
        <v>2</v>
      </c>
      <c r="AE210" s="2" t="str" cm="1">
        <f t="array" ref="AE210">CONCATENATE($AE$2,Liste(S210:U210),";")</f>
        <v>INSERT INTO WD_Workdays (CalendarDay, CalendarWeekday, CalendarWeek) VALUES ('2044-07-25', 0, 30);</v>
      </c>
      <c r="AF210" s="2"/>
      <c r="AG210" s="2" t="str" cm="1">
        <f t="array" ref="AG210">CONCATENATE($AG$2,Liste(L210:O210),";")</f>
        <v>INSERT INTO WD_Holidays (CalendarDay, Donation, Share) VALUES ('2028-12-31', 'Silvester', 50);</v>
      </c>
    </row>
    <row r="211" spans="11:33" x14ac:dyDescent="0.45">
      <c r="K211" s="10">
        <v>47119</v>
      </c>
      <c r="L211" t="str">
        <f t="shared" si="42"/>
        <v>'2029-01-01'</v>
      </c>
      <c r="M211" s="3" t="s">
        <v>481</v>
      </c>
      <c r="N211">
        <v>100</v>
      </c>
      <c r="R211" s="10">
        <f t="shared" si="50"/>
        <v>52804</v>
      </c>
      <c r="S211" t="str">
        <f t="shared" si="43"/>
        <v>'2044-07-26'</v>
      </c>
      <c r="T211">
        <f t="shared" si="44"/>
        <v>1</v>
      </c>
      <c r="U211">
        <f t="shared" si="45"/>
        <v>30</v>
      </c>
      <c r="V211">
        <f t="shared" si="46"/>
        <v>2044</v>
      </c>
      <c r="W211">
        <f t="shared" si="47"/>
        <v>7</v>
      </c>
      <c r="X211">
        <f t="shared" si="48"/>
        <v>26</v>
      </c>
      <c r="Y211">
        <f t="shared" si="49"/>
        <v>2</v>
      </c>
      <c r="AE211" s="2" t="str" cm="1">
        <f t="array" ref="AE211">CONCATENATE($AE$2,Liste(S211:U211),";")</f>
        <v>INSERT INTO WD_Workdays (CalendarDay, CalendarWeekday, CalendarWeek) VALUES ('2044-07-26', 1, 30);</v>
      </c>
      <c r="AF211" s="2"/>
      <c r="AG211" s="2" t="str" cm="1">
        <f t="array" ref="AG211">CONCATENATE($AG$2,Liste(L211:O211),";")</f>
        <v>INSERT INTO WD_Holidays (CalendarDay, Donation, Share) VALUES ('2029-01-01', 'Neujahr', 100);</v>
      </c>
    </row>
    <row r="212" spans="11:33" x14ac:dyDescent="0.45">
      <c r="K212" s="10">
        <v>47185</v>
      </c>
      <c r="L212" t="str">
        <f t="shared" si="42"/>
        <v>'2029-03-08'</v>
      </c>
      <c r="M212" s="3" t="s">
        <v>554</v>
      </c>
      <c r="N212">
        <v>100</v>
      </c>
      <c r="R212" s="10">
        <f t="shared" si="50"/>
        <v>52805</v>
      </c>
      <c r="S212" t="str">
        <f t="shared" si="43"/>
        <v>'2044-07-27'</v>
      </c>
      <c r="T212">
        <f t="shared" si="44"/>
        <v>2</v>
      </c>
      <c r="U212">
        <f t="shared" si="45"/>
        <v>30</v>
      </c>
      <c r="V212">
        <f t="shared" si="46"/>
        <v>2044</v>
      </c>
      <c r="W212">
        <f t="shared" si="47"/>
        <v>7</v>
      </c>
      <c r="X212">
        <f t="shared" si="48"/>
        <v>27</v>
      </c>
      <c r="Y212">
        <f t="shared" si="49"/>
        <v>2</v>
      </c>
      <c r="AE212" s="2" t="str" cm="1">
        <f t="array" ref="AE212">CONCATENATE($AE$2,Liste(S212:U212),";")</f>
        <v>INSERT INTO WD_Workdays (CalendarDay, CalendarWeekday, CalendarWeek) VALUES ('2044-07-27', 2, 30);</v>
      </c>
      <c r="AF212" s="2"/>
      <c r="AG212" s="2" t="str" cm="1">
        <f t="array" ref="AG212">CONCATENATE($AG$2,Liste(L212:O212),";")</f>
        <v>INSERT INTO WD_Holidays (CalendarDay, Donation, Share) VALUES ('2029-03-08', 'Internationaler Frauentag', 100);</v>
      </c>
    </row>
    <row r="213" spans="11:33" x14ac:dyDescent="0.45">
      <c r="K213" s="10">
        <v>47207</v>
      </c>
      <c r="L213" t="str">
        <f t="shared" si="42"/>
        <v>'2029-03-30'</v>
      </c>
      <c r="M213" s="3" t="s">
        <v>555</v>
      </c>
      <c r="N213">
        <v>100</v>
      </c>
      <c r="R213" s="10">
        <f t="shared" si="50"/>
        <v>52806</v>
      </c>
      <c r="S213" t="str">
        <f t="shared" si="43"/>
        <v>'2044-07-28'</v>
      </c>
      <c r="T213">
        <f t="shared" si="44"/>
        <v>3</v>
      </c>
      <c r="U213">
        <f t="shared" si="45"/>
        <v>30</v>
      </c>
      <c r="V213">
        <f t="shared" si="46"/>
        <v>2044</v>
      </c>
      <c r="W213">
        <f t="shared" si="47"/>
        <v>7</v>
      </c>
      <c r="X213">
        <f t="shared" si="48"/>
        <v>28</v>
      </c>
      <c r="Y213">
        <f t="shared" si="49"/>
        <v>2</v>
      </c>
      <c r="AE213" s="2" t="str" cm="1">
        <f t="array" ref="AE213">CONCATENATE($AE$2,Liste(S213:U213),";")</f>
        <v>INSERT INTO WD_Workdays (CalendarDay, CalendarWeekday, CalendarWeek) VALUES ('2044-07-28', 3, 30);</v>
      </c>
      <c r="AF213" s="2"/>
      <c r="AG213" s="2" t="str" cm="1">
        <f t="array" ref="AG213">CONCATENATE($AG$2,Liste(L213:O213),";")</f>
        <v>INSERT INTO WD_Holidays (CalendarDay, Donation, Share) VALUES ('2029-03-30', 'Karfreitag', 100);</v>
      </c>
    </row>
    <row r="214" spans="11:33" x14ac:dyDescent="0.45">
      <c r="K214" s="10">
        <v>47209</v>
      </c>
      <c r="L214" t="str">
        <f t="shared" si="42"/>
        <v>'2029-04-01'</v>
      </c>
      <c r="M214" s="3" t="s">
        <v>556</v>
      </c>
      <c r="N214">
        <v>100</v>
      </c>
      <c r="R214" s="10">
        <f t="shared" si="50"/>
        <v>52807</v>
      </c>
      <c r="S214" t="str">
        <f t="shared" si="43"/>
        <v>'2044-07-29'</v>
      </c>
      <c r="T214">
        <f t="shared" si="44"/>
        <v>4</v>
      </c>
      <c r="U214">
        <f t="shared" si="45"/>
        <v>30</v>
      </c>
      <c r="V214">
        <f t="shared" si="46"/>
        <v>2044</v>
      </c>
      <c r="W214">
        <f t="shared" si="47"/>
        <v>7</v>
      </c>
      <c r="X214">
        <f t="shared" si="48"/>
        <v>29</v>
      </c>
      <c r="Y214">
        <f t="shared" si="49"/>
        <v>2</v>
      </c>
      <c r="AE214" s="2" t="str" cm="1">
        <f t="array" ref="AE214">CONCATENATE($AE$2,Liste(S214:U214),";")</f>
        <v>INSERT INTO WD_Workdays (CalendarDay, CalendarWeekday, CalendarWeek) VALUES ('2044-07-29', 4, 30);</v>
      </c>
      <c r="AF214" s="2"/>
      <c r="AG214" s="2" t="str" cm="1">
        <f t="array" ref="AG214">CONCATENATE($AG$2,Liste(L214:O214),";")</f>
        <v>INSERT INTO WD_Holidays (CalendarDay, Donation, Share) VALUES ('2029-04-01', 'Ostersonntag', 100);</v>
      </c>
    </row>
    <row r="215" spans="11:33" x14ac:dyDescent="0.45">
      <c r="K215" s="10">
        <v>47210</v>
      </c>
      <c r="L215" t="str">
        <f t="shared" si="42"/>
        <v>'2029-04-02'</v>
      </c>
      <c r="M215" s="3" t="s">
        <v>557</v>
      </c>
      <c r="N215">
        <v>100</v>
      </c>
      <c r="R215" s="10">
        <f t="shared" si="50"/>
        <v>52808</v>
      </c>
      <c r="S215" t="str">
        <f t="shared" si="43"/>
        <v>'2044-07-30'</v>
      </c>
      <c r="T215">
        <f t="shared" si="44"/>
        <v>5</v>
      </c>
      <c r="U215">
        <f t="shared" si="45"/>
        <v>30</v>
      </c>
      <c r="V215">
        <f t="shared" si="46"/>
        <v>2044</v>
      </c>
      <c r="W215">
        <f t="shared" si="47"/>
        <v>7</v>
      </c>
      <c r="X215">
        <f t="shared" si="48"/>
        <v>30</v>
      </c>
      <c r="Y215">
        <f t="shared" si="49"/>
        <v>2</v>
      </c>
      <c r="AE215" s="2" t="str" cm="1">
        <f t="array" ref="AE215">CONCATENATE($AE$2,Liste(S215:U215),";")</f>
        <v>INSERT INTO WD_Workdays (CalendarDay, CalendarWeekday, CalendarWeek) VALUES ('2044-07-30', 5, 30);</v>
      </c>
      <c r="AF215" s="2"/>
      <c r="AG215" s="2" t="str" cm="1">
        <f t="array" ref="AG215">CONCATENATE($AG$2,Liste(L215:O215),";")</f>
        <v>INSERT INTO WD_Holidays (CalendarDay, Donation, Share) VALUES ('2029-04-02', 'Ostermontag', 100);</v>
      </c>
    </row>
    <row r="216" spans="11:33" x14ac:dyDescent="0.45">
      <c r="K216" s="10">
        <v>47239</v>
      </c>
      <c r="L216" t="str">
        <f t="shared" si="42"/>
        <v>'2029-05-01'</v>
      </c>
      <c r="M216" s="3" t="s">
        <v>558</v>
      </c>
      <c r="N216">
        <v>100</v>
      </c>
      <c r="R216" s="10">
        <f t="shared" si="50"/>
        <v>52809</v>
      </c>
      <c r="S216" t="str">
        <f t="shared" si="43"/>
        <v>'2044-07-31'</v>
      </c>
      <c r="T216">
        <f t="shared" si="44"/>
        <v>6</v>
      </c>
      <c r="U216">
        <f t="shared" si="45"/>
        <v>30</v>
      </c>
      <c r="V216">
        <f t="shared" si="46"/>
        <v>2044</v>
      </c>
      <c r="W216">
        <f t="shared" si="47"/>
        <v>7</v>
      </c>
      <c r="X216">
        <f t="shared" si="48"/>
        <v>31</v>
      </c>
      <c r="Y216">
        <f t="shared" si="49"/>
        <v>2</v>
      </c>
      <c r="AE216" s="2" t="str" cm="1">
        <f t="array" ref="AE216">CONCATENATE($AE$2,Liste(S216:U216),";")</f>
        <v>INSERT INTO WD_Workdays (CalendarDay, CalendarWeekday, CalendarWeek) VALUES ('2044-07-31', 6, 30);</v>
      </c>
      <c r="AF216" s="2"/>
      <c r="AG216" s="2" t="str" cm="1">
        <f t="array" ref="AG216">CONCATENATE($AG$2,Liste(L216:O216),";")</f>
        <v>INSERT INTO WD_Holidays (CalendarDay, Donation, Share) VALUES ('2029-05-01', 'Tag der Arbeit', 100);</v>
      </c>
    </row>
    <row r="217" spans="11:33" x14ac:dyDescent="0.45">
      <c r="K217" s="10">
        <v>47248</v>
      </c>
      <c r="L217" t="str">
        <f t="shared" si="42"/>
        <v>'2029-05-10'</v>
      </c>
      <c r="M217" s="3" t="s">
        <v>559</v>
      </c>
      <c r="N217">
        <v>100</v>
      </c>
      <c r="R217" s="10">
        <f t="shared" si="50"/>
        <v>52810</v>
      </c>
      <c r="S217" t="str">
        <f t="shared" si="43"/>
        <v>'2044-08-01'</v>
      </c>
      <c r="T217">
        <f t="shared" si="44"/>
        <v>0</v>
      </c>
      <c r="U217">
        <f t="shared" si="45"/>
        <v>31</v>
      </c>
      <c r="V217">
        <f t="shared" si="46"/>
        <v>2044</v>
      </c>
      <c r="W217">
        <f t="shared" si="47"/>
        <v>8</v>
      </c>
      <c r="X217">
        <f t="shared" si="48"/>
        <v>1</v>
      </c>
      <c r="Y217">
        <f t="shared" si="49"/>
        <v>2</v>
      </c>
      <c r="AE217" s="2" t="str" cm="1">
        <f t="array" ref="AE217">CONCATENATE($AE$2,Liste(S217:U217),";")</f>
        <v>INSERT INTO WD_Workdays (CalendarDay, CalendarWeekday, CalendarWeek) VALUES ('2044-08-01', 0, 31);</v>
      </c>
      <c r="AF217" s="2"/>
      <c r="AG217" s="2" t="str" cm="1">
        <f t="array" ref="AG217">CONCATENATE($AG$2,Liste(L217:O217),";")</f>
        <v>INSERT INTO WD_Holidays (CalendarDay, Donation, Share) VALUES ('2029-05-10', 'Christi Himmelfahrt', 100);</v>
      </c>
    </row>
    <row r="218" spans="11:33" x14ac:dyDescent="0.45">
      <c r="K218" s="10">
        <v>47258</v>
      </c>
      <c r="L218" t="str">
        <f t="shared" si="42"/>
        <v>'2029-05-20'</v>
      </c>
      <c r="M218" s="3" t="s">
        <v>779</v>
      </c>
      <c r="N218">
        <v>100</v>
      </c>
      <c r="R218" s="10">
        <f t="shared" si="50"/>
        <v>52811</v>
      </c>
      <c r="S218" t="str">
        <f t="shared" si="43"/>
        <v>'2044-08-02'</v>
      </c>
      <c r="T218">
        <f t="shared" si="44"/>
        <v>1</v>
      </c>
      <c r="U218">
        <f t="shared" si="45"/>
        <v>31</v>
      </c>
      <c r="V218">
        <f t="shared" si="46"/>
        <v>2044</v>
      </c>
      <c r="W218">
        <f t="shared" si="47"/>
        <v>8</v>
      </c>
      <c r="X218">
        <f t="shared" si="48"/>
        <v>2</v>
      </c>
      <c r="Y218">
        <f t="shared" si="49"/>
        <v>2</v>
      </c>
      <c r="AE218" s="2" t="str" cm="1">
        <f t="array" ref="AE218">CONCATENATE($AE$2,Liste(S218:U218),";")</f>
        <v>INSERT INTO WD_Workdays (CalendarDay, CalendarWeekday, CalendarWeek) VALUES ('2044-08-02', 1, 31);</v>
      </c>
      <c r="AF218" s="2"/>
      <c r="AG218" s="2" t="str" cm="1">
        <f t="array" ref="AG218">CONCATENATE($AG$2,Liste(L218:O218),";")</f>
        <v>INSERT INTO WD_Holidays (CalendarDay, Donation, Share) VALUES ('2029-05-20', 'Pfingstsonntag', 100);</v>
      </c>
    </row>
    <row r="219" spans="11:33" x14ac:dyDescent="0.45">
      <c r="K219" s="10">
        <v>47259</v>
      </c>
      <c r="L219" t="str">
        <f t="shared" si="42"/>
        <v>'2029-05-21'</v>
      </c>
      <c r="M219" s="3" t="s">
        <v>560</v>
      </c>
      <c r="N219">
        <v>100</v>
      </c>
      <c r="R219" s="10">
        <f t="shared" si="50"/>
        <v>52812</v>
      </c>
      <c r="S219" t="str">
        <f t="shared" si="43"/>
        <v>'2044-08-03'</v>
      </c>
      <c r="T219">
        <f t="shared" si="44"/>
        <v>2</v>
      </c>
      <c r="U219">
        <f t="shared" si="45"/>
        <v>31</v>
      </c>
      <c r="V219">
        <f t="shared" si="46"/>
        <v>2044</v>
      </c>
      <c r="W219">
        <f t="shared" si="47"/>
        <v>8</v>
      </c>
      <c r="X219">
        <f t="shared" si="48"/>
        <v>3</v>
      </c>
      <c r="Y219">
        <f t="shared" si="49"/>
        <v>2</v>
      </c>
      <c r="AE219" s="2" t="str" cm="1">
        <f t="array" ref="AE219">CONCATENATE($AE$2,Liste(S219:U219),";")</f>
        <v>INSERT INTO WD_Workdays (CalendarDay, CalendarWeekday, CalendarWeek) VALUES ('2044-08-03', 2, 31);</v>
      </c>
      <c r="AF219" s="2"/>
      <c r="AG219" s="2" t="str" cm="1">
        <f t="array" ref="AG219">CONCATENATE($AG$2,Liste(L219:O219),";")</f>
        <v>INSERT INTO WD_Holidays (CalendarDay, Donation, Share) VALUES ('2029-05-21', 'Pfingstmontag', 100);</v>
      </c>
    </row>
    <row r="220" spans="11:33" x14ac:dyDescent="0.45">
      <c r="K220" s="10">
        <v>47394</v>
      </c>
      <c r="L220" t="str">
        <f t="shared" si="42"/>
        <v>'2029-10-03'</v>
      </c>
      <c r="M220" s="3" t="s">
        <v>561</v>
      </c>
      <c r="N220">
        <v>100</v>
      </c>
      <c r="R220" s="10">
        <f t="shared" si="50"/>
        <v>52813</v>
      </c>
      <c r="S220" t="str">
        <f t="shared" si="43"/>
        <v>'2044-08-04'</v>
      </c>
      <c r="T220">
        <f t="shared" si="44"/>
        <v>3</v>
      </c>
      <c r="U220">
        <f t="shared" si="45"/>
        <v>31</v>
      </c>
      <c r="V220">
        <f t="shared" si="46"/>
        <v>2044</v>
      </c>
      <c r="W220">
        <f t="shared" si="47"/>
        <v>8</v>
      </c>
      <c r="X220">
        <f t="shared" si="48"/>
        <v>4</v>
      </c>
      <c r="Y220">
        <f t="shared" si="49"/>
        <v>2</v>
      </c>
      <c r="AE220" s="2" t="str" cm="1">
        <f t="array" ref="AE220">CONCATENATE($AE$2,Liste(S220:U220),";")</f>
        <v>INSERT INTO WD_Workdays (CalendarDay, CalendarWeekday, CalendarWeek) VALUES ('2044-08-04', 3, 31);</v>
      </c>
      <c r="AF220" s="2"/>
      <c r="AG220" s="2" t="str" cm="1">
        <f t="array" ref="AG220">CONCATENATE($AG$2,Liste(L220:O220),";")</f>
        <v>INSERT INTO WD_Holidays (CalendarDay, Donation, Share) VALUES ('2029-10-03', 'Tag der Deutschen Einheit', 100);</v>
      </c>
    </row>
    <row r="221" spans="11:33" x14ac:dyDescent="0.45">
      <c r="K221" s="10">
        <v>47476</v>
      </c>
      <c r="L221" t="str">
        <f t="shared" si="42"/>
        <v>'2029-12-24'</v>
      </c>
      <c r="M221" s="3" t="s">
        <v>562</v>
      </c>
      <c r="N221">
        <v>50</v>
      </c>
      <c r="R221" s="10">
        <f t="shared" si="50"/>
        <v>52814</v>
      </c>
      <c r="S221" t="str">
        <f t="shared" si="43"/>
        <v>'2044-08-05'</v>
      </c>
      <c r="T221">
        <f t="shared" si="44"/>
        <v>4</v>
      </c>
      <c r="U221">
        <f t="shared" si="45"/>
        <v>31</v>
      </c>
      <c r="V221">
        <f t="shared" si="46"/>
        <v>2044</v>
      </c>
      <c r="W221">
        <f t="shared" si="47"/>
        <v>8</v>
      </c>
      <c r="X221">
        <f t="shared" si="48"/>
        <v>5</v>
      </c>
      <c r="Y221">
        <f t="shared" si="49"/>
        <v>2</v>
      </c>
      <c r="AE221" s="2" t="str" cm="1">
        <f t="array" ref="AE221">CONCATENATE($AE$2,Liste(S221:U221),";")</f>
        <v>INSERT INTO WD_Workdays (CalendarDay, CalendarWeekday, CalendarWeek) VALUES ('2044-08-05', 4, 31);</v>
      </c>
      <c r="AF221" s="2"/>
      <c r="AG221" s="2" t="str" cm="1">
        <f t="array" ref="AG221">CONCATENATE($AG$2,Liste(L221:O221),";")</f>
        <v>INSERT INTO WD_Holidays (CalendarDay, Donation, Share) VALUES ('2029-12-24', 'Heiligabend', 50);</v>
      </c>
    </row>
    <row r="222" spans="11:33" x14ac:dyDescent="0.45">
      <c r="K222" s="10">
        <v>47477</v>
      </c>
      <c r="L222" t="str">
        <f t="shared" si="42"/>
        <v>'2029-12-25'</v>
      </c>
      <c r="M222" s="3" t="s">
        <v>563</v>
      </c>
      <c r="N222">
        <v>100</v>
      </c>
      <c r="R222" s="10">
        <f t="shared" si="50"/>
        <v>52815</v>
      </c>
      <c r="S222" t="str">
        <f t="shared" si="43"/>
        <v>'2044-08-06'</v>
      </c>
      <c r="T222">
        <f t="shared" si="44"/>
        <v>5</v>
      </c>
      <c r="U222">
        <f t="shared" si="45"/>
        <v>31</v>
      </c>
      <c r="V222">
        <f t="shared" si="46"/>
        <v>2044</v>
      </c>
      <c r="W222">
        <f t="shared" si="47"/>
        <v>8</v>
      </c>
      <c r="X222">
        <f t="shared" si="48"/>
        <v>6</v>
      </c>
      <c r="Y222">
        <f t="shared" si="49"/>
        <v>2</v>
      </c>
      <c r="AE222" s="2" t="str" cm="1">
        <f t="array" ref="AE222">CONCATENATE($AE$2,Liste(S222:U222),";")</f>
        <v>INSERT INTO WD_Workdays (CalendarDay, CalendarWeekday, CalendarWeek) VALUES ('2044-08-06', 5, 31);</v>
      </c>
      <c r="AF222" s="2"/>
      <c r="AG222" s="2" t="str" cm="1">
        <f t="array" ref="AG222">CONCATENATE($AG$2,Liste(L222:O222),";")</f>
        <v>INSERT INTO WD_Holidays (CalendarDay, Donation, Share) VALUES ('2029-12-25', '1. Weihnachtsfeiertag', 100);</v>
      </c>
    </row>
    <row r="223" spans="11:33" x14ac:dyDescent="0.45">
      <c r="K223" s="10">
        <v>47478</v>
      </c>
      <c r="L223" t="str">
        <f t="shared" si="42"/>
        <v>'2029-12-26'</v>
      </c>
      <c r="M223" s="3" t="s">
        <v>564</v>
      </c>
      <c r="N223">
        <v>100</v>
      </c>
      <c r="R223" s="10">
        <f t="shared" si="50"/>
        <v>52816</v>
      </c>
      <c r="S223" t="str">
        <f t="shared" si="43"/>
        <v>'2044-08-07'</v>
      </c>
      <c r="T223">
        <f t="shared" si="44"/>
        <v>6</v>
      </c>
      <c r="U223">
        <f t="shared" si="45"/>
        <v>31</v>
      </c>
      <c r="V223">
        <f t="shared" si="46"/>
        <v>2044</v>
      </c>
      <c r="W223">
        <f t="shared" si="47"/>
        <v>8</v>
      </c>
      <c r="X223">
        <f t="shared" si="48"/>
        <v>7</v>
      </c>
      <c r="Y223">
        <f t="shared" si="49"/>
        <v>2</v>
      </c>
      <c r="AE223" s="2" t="str" cm="1">
        <f t="array" ref="AE223">CONCATENATE($AE$2,Liste(S223:U223),";")</f>
        <v>INSERT INTO WD_Workdays (CalendarDay, CalendarWeekday, CalendarWeek) VALUES ('2044-08-07', 6, 31);</v>
      </c>
      <c r="AF223" s="2"/>
      <c r="AG223" s="2" t="str" cm="1">
        <f t="array" ref="AG223">CONCATENATE($AG$2,Liste(L223:O223),";")</f>
        <v>INSERT INTO WD_Holidays (CalendarDay, Donation, Share) VALUES ('2029-12-26', '2. Weihnachtsfeiertag', 100);</v>
      </c>
    </row>
    <row r="224" spans="11:33" x14ac:dyDescent="0.45">
      <c r="K224" s="10">
        <v>47483</v>
      </c>
      <c r="L224" t="str">
        <f t="shared" si="42"/>
        <v>'2029-12-31'</v>
      </c>
      <c r="M224" s="3" t="s">
        <v>565</v>
      </c>
      <c r="N224">
        <v>50</v>
      </c>
      <c r="R224" s="10">
        <f t="shared" si="50"/>
        <v>52817</v>
      </c>
      <c r="S224" t="str">
        <f t="shared" si="43"/>
        <v>'2044-08-08'</v>
      </c>
      <c r="T224">
        <f t="shared" si="44"/>
        <v>0</v>
      </c>
      <c r="U224">
        <f t="shared" si="45"/>
        <v>32</v>
      </c>
      <c r="V224">
        <f t="shared" si="46"/>
        <v>2044</v>
      </c>
      <c r="W224">
        <f t="shared" si="47"/>
        <v>8</v>
      </c>
      <c r="X224">
        <f t="shared" si="48"/>
        <v>8</v>
      </c>
      <c r="Y224">
        <f t="shared" si="49"/>
        <v>2</v>
      </c>
      <c r="AE224" s="2" t="str" cm="1">
        <f t="array" ref="AE224">CONCATENATE($AE$2,Liste(S224:U224),";")</f>
        <v>INSERT INTO WD_Workdays (CalendarDay, CalendarWeekday, CalendarWeek) VALUES ('2044-08-08', 0, 32);</v>
      </c>
      <c r="AF224" s="2"/>
      <c r="AG224" s="2" t="str" cm="1">
        <f t="array" ref="AG224">CONCATENATE($AG$2,Liste(L224:O224),";")</f>
        <v>INSERT INTO WD_Holidays (CalendarDay, Donation, Share) VALUES ('2029-12-31', 'Silvester', 50);</v>
      </c>
    </row>
    <row r="225" spans="11:33" x14ac:dyDescent="0.45">
      <c r="K225" s="10">
        <v>47484</v>
      </c>
      <c r="L225" t="str">
        <f t="shared" si="42"/>
        <v>'2030-01-01'</v>
      </c>
      <c r="M225" s="3" t="s">
        <v>481</v>
      </c>
      <c r="N225">
        <v>100</v>
      </c>
      <c r="R225" s="10">
        <f t="shared" si="50"/>
        <v>52818</v>
      </c>
      <c r="S225" t="str">
        <f t="shared" si="43"/>
        <v>'2044-08-09'</v>
      </c>
      <c r="T225">
        <f t="shared" si="44"/>
        <v>1</v>
      </c>
      <c r="U225">
        <f t="shared" si="45"/>
        <v>32</v>
      </c>
      <c r="V225">
        <f t="shared" si="46"/>
        <v>2044</v>
      </c>
      <c r="W225">
        <f t="shared" si="47"/>
        <v>8</v>
      </c>
      <c r="X225">
        <f t="shared" si="48"/>
        <v>9</v>
      </c>
      <c r="Y225">
        <f t="shared" si="49"/>
        <v>2</v>
      </c>
      <c r="AE225" s="2" t="str" cm="1">
        <f t="array" ref="AE225">CONCATENATE($AE$2,Liste(S225:U225),";")</f>
        <v>INSERT INTO WD_Workdays (CalendarDay, CalendarWeekday, CalendarWeek) VALUES ('2044-08-09', 1, 32);</v>
      </c>
      <c r="AF225" s="2"/>
      <c r="AG225" s="2" t="str" cm="1">
        <f t="array" ref="AG225">CONCATENATE($AG$2,Liste(L225:O225),";")</f>
        <v>INSERT INTO WD_Holidays (CalendarDay, Donation, Share) VALUES ('2030-01-01', 'Neujahr', 100);</v>
      </c>
    </row>
    <row r="226" spans="11:33" x14ac:dyDescent="0.45">
      <c r="K226" s="10">
        <v>47550</v>
      </c>
      <c r="L226" t="str">
        <f t="shared" si="42"/>
        <v>'2030-03-08'</v>
      </c>
      <c r="M226" s="3" t="s">
        <v>554</v>
      </c>
      <c r="N226">
        <v>100</v>
      </c>
      <c r="R226" s="10">
        <f t="shared" si="50"/>
        <v>52819</v>
      </c>
      <c r="S226" t="str">
        <f t="shared" si="43"/>
        <v>'2044-08-10'</v>
      </c>
      <c r="T226">
        <f t="shared" si="44"/>
        <v>2</v>
      </c>
      <c r="U226">
        <f t="shared" si="45"/>
        <v>32</v>
      </c>
      <c r="V226">
        <f t="shared" si="46"/>
        <v>2044</v>
      </c>
      <c r="W226">
        <f t="shared" si="47"/>
        <v>8</v>
      </c>
      <c r="X226">
        <f t="shared" si="48"/>
        <v>10</v>
      </c>
      <c r="Y226">
        <f t="shared" si="49"/>
        <v>2</v>
      </c>
      <c r="AE226" s="2" t="str" cm="1">
        <f t="array" ref="AE226">CONCATENATE($AE$2,Liste(S226:U226),";")</f>
        <v>INSERT INTO WD_Workdays (CalendarDay, CalendarWeekday, CalendarWeek) VALUES ('2044-08-10', 2, 32);</v>
      </c>
      <c r="AF226" s="2"/>
      <c r="AG226" s="2" t="str" cm="1">
        <f t="array" ref="AG226">CONCATENATE($AG$2,Liste(L226:O226),";")</f>
        <v>INSERT INTO WD_Holidays (CalendarDay, Donation, Share) VALUES ('2030-03-08', 'Internationaler Frauentag', 100);</v>
      </c>
    </row>
    <row r="227" spans="11:33" x14ac:dyDescent="0.45">
      <c r="K227" s="10">
        <v>47592</v>
      </c>
      <c r="L227" t="str">
        <f t="shared" si="42"/>
        <v>'2030-04-19'</v>
      </c>
      <c r="M227" s="3" t="s">
        <v>555</v>
      </c>
      <c r="N227">
        <v>100</v>
      </c>
      <c r="R227" s="10">
        <f t="shared" si="50"/>
        <v>52820</v>
      </c>
      <c r="S227" t="str">
        <f t="shared" si="43"/>
        <v>'2044-08-11'</v>
      </c>
      <c r="T227">
        <f t="shared" si="44"/>
        <v>3</v>
      </c>
      <c r="U227">
        <f t="shared" si="45"/>
        <v>32</v>
      </c>
      <c r="V227">
        <f t="shared" si="46"/>
        <v>2044</v>
      </c>
      <c r="W227">
        <f t="shared" si="47"/>
        <v>8</v>
      </c>
      <c r="X227">
        <f t="shared" si="48"/>
        <v>11</v>
      </c>
      <c r="Y227">
        <f t="shared" si="49"/>
        <v>2</v>
      </c>
      <c r="AE227" s="2" t="str" cm="1">
        <f t="array" ref="AE227">CONCATENATE($AE$2,Liste(S227:U227),";")</f>
        <v>INSERT INTO WD_Workdays (CalendarDay, CalendarWeekday, CalendarWeek) VALUES ('2044-08-11', 3, 32);</v>
      </c>
      <c r="AF227" s="2"/>
      <c r="AG227" s="2" t="str" cm="1">
        <f t="array" ref="AG227">CONCATENATE($AG$2,Liste(L227:O227),";")</f>
        <v>INSERT INTO WD_Holidays (CalendarDay, Donation, Share) VALUES ('2030-04-19', 'Karfreitag', 100);</v>
      </c>
    </row>
    <row r="228" spans="11:33" x14ac:dyDescent="0.45">
      <c r="K228" s="10">
        <v>47594</v>
      </c>
      <c r="L228" t="str">
        <f t="shared" si="42"/>
        <v>'2030-04-21'</v>
      </c>
      <c r="M228" s="3" t="s">
        <v>556</v>
      </c>
      <c r="N228">
        <v>100</v>
      </c>
      <c r="R228" s="10">
        <f t="shared" si="50"/>
        <v>52821</v>
      </c>
      <c r="S228" t="str">
        <f t="shared" si="43"/>
        <v>'2044-08-12'</v>
      </c>
      <c r="T228">
        <f t="shared" si="44"/>
        <v>4</v>
      </c>
      <c r="U228">
        <f t="shared" si="45"/>
        <v>32</v>
      </c>
      <c r="V228">
        <f t="shared" si="46"/>
        <v>2044</v>
      </c>
      <c r="W228">
        <f t="shared" si="47"/>
        <v>8</v>
      </c>
      <c r="X228">
        <f t="shared" si="48"/>
        <v>12</v>
      </c>
      <c r="Y228">
        <f t="shared" si="49"/>
        <v>2</v>
      </c>
      <c r="AE228" s="2" t="str" cm="1">
        <f t="array" ref="AE228">CONCATENATE($AE$2,Liste(S228:U228),";")</f>
        <v>INSERT INTO WD_Workdays (CalendarDay, CalendarWeekday, CalendarWeek) VALUES ('2044-08-12', 4, 32);</v>
      </c>
      <c r="AF228" s="2"/>
      <c r="AG228" s="2" t="str" cm="1">
        <f t="array" ref="AG228">CONCATENATE($AG$2,Liste(L228:O228),";")</f>
        <v>INSERT INTO WD_Holidays (CalendarDay, Donation, Share) VALUES ('2030-04-21', 'Ostersonntag', 100);</v>
      </c>
    </row>
    <row r="229" spans="11:33" x14ac:dyDescent="0.45">
      <c r="K229" s="10">
        <v>47595</v>
      </c>
      <c r="L229" t="str">
        <f t="shared" si="42"/>
        <v>'2030-04-22'</v>
      </c>
      <c r="M229" s="3" t="s">
        <v>557</v>
      </c>
      <c r="N229">
        <v>100</v>
      </c>
      <c r="R229" s="10">
        <f t="shared" si="50"/>
        <v>52822</v>
      </c>
      <c r="S229" t="str">
        <f t="shared" si="43"/>
        <v>'2044-08-13'</v>
      </c>
      <c r="T229">
        <f t="shared" si="44"/>
        <v>5</v>
      </c>
      <c r="U229">
        <f t="shared" si="45"/>
        <v>32</v>
      </c>
      <c r="V229">
        <f t="shared" si="46"/>
        <v>2044</v>
      </c>
      <c r="W229">
        <f t="shared" si="47"/>
        <v>8</v>
      </c>
      <c r="X229">
        <f t="shared" si="48"/>
        <v>13</v>
      </c>
      <c r="Y229">
        <f t="shared" si="49"/>
        <v>2</v>
      </c>
      <c r="AE229" s="2" t="str" cm="1">
        <f t="array" ref="AE229">CONCATENATE($AE$2,Liste(S229:U229),";")</f>
        <v>INSERT INTO WD_Workdays (CalendarDay, CalendarWeekday, CalendarWeek) VALUES ('2044-08-13', 5, 32);</v>
      </c>
      <c r="AF229" s="2"/>
      <c r="AG229" s="2" t="str" cm="1">
        <f t="array" ref="AG229">CONCATENATE($AG$2,Liste(L229:O229),";")</f>
        <v>INSERT INTO WD_Holidays (CalendarDay, Donation, Share) VALUES ('2030-04-22', 'Ostermontag', 100);</v>
      </c>
    </row>
    <row r="230" spans="11:33" x14ac:dyDescent="0.45">
      <c r="K230" s="10">
        <v>47604</v>
      </c>
      <c r="L230" t="str">
        <f t="shared" si="42"/>
        <v>'2030-05-01'</v>
      </c>
      <c r="M230" s="3" t="s">
        <v>558</v>
      </c>
      <c r="N230">
        <v>100</v>
      </c>
      <c r="R230" s="10">
        <f t="shared" si="50"/>
        <v>52823</v>
      </c>
      <c r="S230" t="str">
        <f t="shared" si="43"/>
        <v>'2044-08-14'</v>
      </c>
      <c r="T230">
        <f t="shared" si="44"/>
        <v>6</v>
      </c>
      <c r="U230">
        <f t="shared" si="45"/>
        <v>32</v>
      </c>
      <c r="V230">
        <f t="shared" si="46"/>
        <v>2044</v>
      </c>
      <c r="W230">
        <f t="shared" si="47"/>
        <v>8</v>
      </c>
      <c r="X230">
        <f t="shared" si="48"/>
        <v>14</v>
      </c>
      <c r="Y230">
        <f t="shared" si="49"/>
        <v>2</v>
      </c>
      <c r="AE230" s="2" t="str" cm="1">
        <f t="array" ref="AE230">CONCATENATE($AE$2,Liste(S230:U230),";")</f>
        <v>INSERT INTO WD_Workdays (CalendarDay, CalendarWeekday, CalendarWeek) VALUES ('2044-08-14', 6, 32);</v>
      </c>
      <c r="AF230" s="2"/>
      <c r="AG230" s="2" t="str" cm="1">
        <f t="array" ref="AG230">CONCATENATE($AG$2,Liste(L230:O230),";")</f>
        <v>INSERT INTO WD_Holidays (CalendarDay, Donation, Share) VALUES ('2030-05-01', 'Tag der Arbeit', 100);</v>
      </c>
    </row>
    <row r="231" spans="11:33" x14ac:dyDescent="0.45">
      <c r="K231" s="10">
        <v>47633</v>
      </c>
      <c r="L231" t="str">
        <f t="shared" si="42"/>
        <v>'2030-05-30'</v>
      </c>
      <c r="M231" s="3" t="s">
        <v>559</v>
      </c>
      <c r="N231">
        <v>100</v>
      </c>
      <c r="R231" s="10">
        <f t="shared" si="50"/>
        <v>52824</v>
      </c>
      <c r="S231" t="str">
        <f t="shared" si="43"/>
        <v>'2044-08-15'</v>
      </c>
      <c r="T231">
        <f t="shared" si="44"/>
        <v>0</v>
      </c>
      <c r="U231">
        <f t="shared" si="45"/>
        <v>33</v>
      </c>
      <c r="V231">
        <f t="shared" si="46"/>
        <v>2044</v>
      </c>
      <c r="W231">
        <f t="shared" si="47"/>
        <v>8</v>
      </c>
      <c r="X231">
        <f t="shared" si="48"/>
        <v>15</v>
      </c>
      <c r="Y231">
        <f t="shared" si="49"/>
        <v>2</v>
      </c>
      <c r="AE231" s="2" t="str" cm="1">
        <f t="array" ref="AE231">CONCATENATE($AE$2,Liste(S231:U231),";")</f>
        <v>INSERT INTO WD_Workdays (CalendarDay, CalendarWeekday, CalendarWeek) VALUES ('2044-08-15', 0, 33);</v>
      </c>
      <c r="AF231" s="2"/>
      <c r="AG231" s="2" t="str" cm="1">
        <f t="array" ref="AG231">CONCATENATE($AG$2,Liste(L231:O231),";")</f>
        <v>INSERT INTO WD_Holidays (CalendarDay, Donation, Share) VALUES ('2030-05-30', 'Christi Himmelfahrt', 100);</v>
      </c>
    </row>
    <row r="232" spans="11:33" x14ac:dyDescent="0.45">
      <c r="K232" s="10">
        <v>47643</v>
      </c>
      <c r="L232" t="str">
        <f t="shared" si="42"/>
        <v>'2030-06-09'</v>
      </c>
      <c r="M232" s="3" t="s">
        <v>779</v>
      </c>
      <c r="N232">
        <v>100</v>
      </c>
      <c r="R232" s="10">
        <f t="shared" si="50"/>
        <v>52825</v>
      </c>
      <c r="S232" t="str">
        <f t="shared" si="43"/>
        <v>'2044-08-16'</v>
      </c>
      <c r="T232">
        <f t="shared" si="44"/>
        <v>1</v>
      </c>
      <c r="U232">
        <f t="shared" si="45"/>
        <v>33</v>
      </c>
      <c r="V232">
        <f t="shared" si="46"/>
        <v>2044</v>
      </c>
      <c r="W232">
        <f t="shared" si="47"/>
        <v>8</v>
      </c>
      <c r="X232">
        <f t="shared" si="48"/>
        <v>16</v>
      </c>
      <c r="Y232">
        <f t="shared" si="49"/>
        <v>2</v>
      </c>
      <c r="AE232" s="2" t="str" cm="1">
        <f t="array" ref="AE232">CONCATENATE($AE$2,Liste(S232:U232),";")</f>
        <v>INSERT INTO WD_Workdays (CalendarDay, CalendarWeekday, CalendarWeek) VALUES ('2044-08-16', 1, 33);</v>
      </c>
      <c r="AF232" s="2"/>
      <c r="AG232" s="2" t="str" cm="1">
        <f t="array" ref="AG232">CONCATENATE($AG$2,Liste(L232:O232),";")</f>
        <v>INSERT INTO WD_Holidays (CalendarDay, Donation, Share) VALUES ('2030-06-09', 'Pfingstsonntag', 100);</v>
      </c>
    </row>
    <row r="233" spans="11:33" x14ac:dyDescent="0.45">
      <c r="K233" s="10">
        <v>47644</v>
      </c>
      <c r="L233" t="str">
        <f t="shared" si="42"/>
        <v>'2030-06-10'</v>
      </c>
      <c r="M233" s="3" t="s">
        <v>560</v>
      </c>
      <c r="N233">
        <v>100</v>
      </c>
      <c r="R233" s="10">
        <f t="shared" si="50"/>
        <v>52826</v>
      </c>
      <c r="S233" t="str">
        <f t="shared" si="43"/>
        <v>'2044-08-17'</v>
      </c>
      <c r="T233">
        <f t="shared" si="44"/>
        <v>2</v>
      </c>
      <c r="U233">
        <f t="shared" si="45"/>
        <v>33</v>
      </c>
      <c r="V233">
        <f t="shared" si="46"/>
        <v>2044</v>
      </c>
      <c r="W233">
        <f t="shared" si="47"/>
        <v>8</v>
      </c>
      <c r="X233">
        <f t="shared" si="48"/>
        <v>17</v>
      </c>
      <c r="Y233">
        <f t="shared" si="49"/>
        <v>2</v>
      </c>
      <c r="AE233" s="2" t="str" cm="1">
        <f t="array" ref="AE233">CONCATENATE($AE$2,Liste(S233:U233),";")</f>
        <v>INSERT INTO WD_Workdays (CalendarDay, CalendarWeekday, CalendarWeek) VALUES ('2044-08-17', 2, 33);</v>
      </c>
      <c r="AF233" s="2"/>
      <c r="AG233" s="2" t="str" cm="1">
        <f t="array" ref="AG233">CONCATENATE($AG$2,Liste(L233:O233),";")</f>
        <v>INSERT INTO WD_Holidays (CalendarDay, Donation, Share) VALUES ('2030-06-10', 'Pfingstmontag', 100);</v>
      </c>
    </row>
    <row r="234" spans="11:33" x14ac:dyDescent="0.45">
      <c r="K234" s="10">
        <v>47759</v>
      </c>
      <c r="L234" t="str">
        <f t="shared" si="42"/>
        <v>'2030-10-03'</v>
      </c>
      <c r="M234" s="3" t="s">
        <v>561</v>
      </c>
      <c r="N234">
        <v>100</v>
      </c>
      <c r="R234" s="10">
        <f t="shared" si="50"/>
        <v>52827</v>
      </c>
      <c r="S234" t="str">
        <f t="shared" si="43"/>
        <v>'2044-08-18'</v>
      </c>
      <c r="T234">
        <f t="shared" si="44"/>
        <v>3</v>
      </c>
      <c r="U234">
        <f t="shared" si="45"/>
        <v>33</v>
      </c>
      <c r="V234">
        <f t="shared" si="46"/>
        <v>2044</v>
      </c>
      <c r="W234">
        <f t="shared" si="47"/>
        <v>8</v>
      </c>
      <c r="X234">
        <f t="shared" si="48"/>
        <v>18</v>
      </c>
      <c r="Y234">
        <f t="shared" si="49"/>
        <v>2</v>
      </c>
      <c r="AE234" s="2" t="str" cm="1">
        <f t="array" ref="AE234">CONCATENATE($AE$2,Liste(S234:U234),";")</f>
        <v>INSERT INTO WD_Workdays (CalendarDay, CalendarWeekday, CalendarWeek) VALUES ('2044-08-18', 3, 33);</v>
      </c>
      <c r="AF234" s="2"/>
      <c r="AG234" s="2" t="str" cm="1">
        <f t="array" ref="AG234">CONCATENATE($AG$2,Liste(L234:O234),";")</f>
        <v>INSERT INTO WD_Holidays (CalendarDay, Donation, Share) VALUES ('2030-10-03', 'Tag der Deutschen Einheit', 100);</v>
      </c>
    </row>
    <row r="235" spans="11:33" x14ac:dyDescent="0.45">
      <c r="K235" s="10">
        <v>47841</v>
      </c>
      <c r="L235" t="str">
        <f t="shared" si="42"/>
        <v>'2030-12-24'</v>
      </c>
      <c r="M235" s="3" t="s">
        <v>562</v>
      </c>
      <c r="N235">
        <v>50</v>
      </c>
      <c r="R235" s="10">
        <f t="shared" si="50"/>
        <v>52828</v>
      </c>
      <c r="S235" t="str">
        <f t="shared" si="43"/>
        <v>'2044-08-19'</v>
      </c>
      <c r="T235">
        <f t="shared" si="44"/>
        <v>4</v>
      </c>
      <c r="U235">
        <f t="shared" si="45"/>
        <v>33</v>
      </c>
      <c r="V235">
        <f t="shared" si="46"/>
        <v>2044</v>
      </c>
      <c r="W235">
        <f t="shared" si="47"/>
        <v>8</v>
      </c>
      <c r="X235">
        <f t="shared" si="48"/>
        <v>19</v>
      </c>
      <c r="Y235">
        <f t="shared" si="49"/>
        <v>2</v>
      </c>
      <c r="AE235" s="2" t="str" cm="1">
        <f t="array" ref="AE235">CONCATENATE($AE$2,Liste(S235:U235),";")</f>
        <v>INSERT INTO WD_Workdays (CalendarDay, CalendarWeekday, CalendarWeek) VALUES ('2044-08-19', 4, 33);</v>
      </c>
      <c r="AF235" s="2"/>
      <c r="AG235" s="2" t="str" cm="1">
        <f t="array" ref="AG235">CONCATENATE($AG$2,Liste(L235:O235),";")</f>
        <v>INSERT INTO WD_Holidays (CalendarDay, Donation, Share) VALUES ('2030-12-24', 'Heiligabend', 50);</v>
      </c>
    </row>
    <row r="236" spans="11:33" x14ac:dyDescent="0.45">
      <c r="K236" s="10">
        <v>47842</v>
      </c>
      <c r="L236" t="str">
        <f t="shared" si="42"/>
        <v>'2030-12-25'</v>
      </c>
      <c r="M236" s="3" t="s">
        <v>563</v>
      </c>
      <c r="N236">
        <v>100</v>
      </c>
      <c r="R236" s="10">
        <f t="shared" si="50"/>
        <v>52829</v>
      </c>
      <c r="S236" t="str">
        <f t="shared" si="43"/>
        <v>'2044-08-20'</v>
      </c>
      <c r="T236">
        <f t="shared" si="44"/>
        <v>5</v>
      </c>
      <c r="U236">
        <f t="shared" si="45"/>
        <v>33</v>
      </c>
      <c r="V236">
        <f t="shared" si="46"/>
        <v>2044</v>
      </c>
      <c r="W236">
        <f t="shared" si="47"/>
        <v>8</v>
      </c>
      <c r="X236">
        <f t="shared" si="48"/>
        <v>20</v>
      </c>
      <c r="Y236">
        <f t="shared" si="49"/>
        <v>2</v>
      </c>
      <c r="AE236" s="2" t="str" cm="1">
        <f t="array" ref="AE236">CONCATENATE($AE$2,Liste(S236:U236),";")</f>
        <v>INSERT INTO WD_Workdays (CalendarDay, CalendarWeekday, CalendarWeek) VALUES ('2044-08-20', 5, 33);</v>
      </c>
      <c r="AF236" s="2"/>
      <c r="AG236" s="2" t="str" cm="1">
        <f t="array" ref="AG236">CONCATENATE($AG$2,Liste(L236:O236),";")</f>
        <v>INSERT INTO WD_Holidays (CalendarDay, Donation, Share) VALUES ('2030-12-25', '1. Weihnachtsfeiertag', 100);</v>
      </c>
    </row>
    <row r="237" spans="11:33" x14ac:dyDescent="0.45">
      <c r="K237" s="10">
        <v>47843</v>
      </c>
      <c r="L237" t="str">
        <f t="shared" si="42"/>
        <v>'2030-12-26'</v>
      </c>
      <c r="M237" s="3" t="s">
        <v>564</v>
      </c>
      <c r="N237">
        <v>100</v>
      </c>
      <c r="R237" s="10">
        <f t="shared" si="50"/>
        <v>52830</v>
      </c>
      <c r="S237" t="str">
        <f t="shared" si="43"/>
        <v>'2044-08-21'</v>
      </c>
      <c r="T237">
        <f t="shared" si="44"/>
        <v>6</v>
      </c>
      <c r="U237">
        <f t="shared" si="45"/>
        <v>33</v>
      </c>
      <c r="V237">
        <f t="shared" si="46"/>
        <v>2044</v>
      </c>
      <c r="W237">
        <f t="shared" si="47"/>
        <v>8</v>
      </c>
      <c r="X237">
        <f t="shared" si="48"/>
        <v>21</v>
      </c>
      <c r="Y237">
        <f t="shared" si="49"/>
        <v>2</v>
      </c>
      <c r="AE237" s="2" t="str" cm="1">
        <f t="array" ref="AE237">CONCATENATE($AE$2,Liste(S237:U237),";")</f>
        <v>INSERT INTO WD_Workdays (CalendarDay, CalendarWeekday, CalendarWeek) VALUES ('2044-08-21', 6, 33);</v>
      </c>
      <c r="AF237" s="2"/>
      <c r="AG237" s="2" t="str" cm="1">
        <f t="array" ref="AG237">CONCATENATE($AG$2,Liste(L237:O237),";")</f>
        <v>INSERT INTO WD_Holidays (CalendarDay, Donation, Share) VALUES ('2030-12-26', '2. Weihnachtsfeiertag', 100);</v>
      </c>
    </row>
    <row r="238" spans="11:33" x14ac:dyDescent="0.45">
      <c r="K238" s="10">
        <v>47848</v>
      </c>
      <c r="L238" t="str">
        <f t="shared" si="42"/>
        <v>'2030-12-31'</v>
      </c>
      <c r="M238" s="3" t="s">
        <v>565</v>
      </c>
      <c r="N238">
        <v>50</v>
      </c>
      <c r="R238" s="10">
        <f t="shared" si="50"/>
        <v>52831</v>
      </c>
      <c r="S238" t="str">
        <f t="shared" si="43"/>
        <v>'2044-08-22'</v>
      </c>
      <c r="T238">
        <f t="shared" si="44"/>
        <v>0</v>
      </c>
      <c r="U238">
        <f t="shared" si="45"/>
        <v>34</v>
      </c>
      <c r="V238">
        <f t="shared" si="46"/>
        <v>2044</v>
      </c>
      <c r="W238">
        <f t="shared" si="47"/>
        <v>8</v>
      </c>
      <c r="X238">
        <f t="shared" si="48"/>
        <v>22</v>
      </c>
      <c r="Y238">
        <f t="shared" si="49"/>
        <v>2</v>
      </c>
      <c r="AE238" s="2" t="str" cm="1">
        <f t="array" ref="AE238">CONCATENATE($AE$2,Liste(S238:U238),";")</f>
        <v>INSERT INTO WD_Workdays (CalendarDay, CalendarWeekday, CalendarWeek) VALUES ('2044-08-22', 0, 34);</v>
      </c>
      <c r="AF238" s="2"/>
      <c r="AG238" s="2" t="str" cm="1">
        <f t="array" ref="AG238">CONCATENATE($AG$2,Liste(L238:O238),";")</f>
        <v>INSERT INTO WD_Holidays (CalendarDay, Donation, Share) VALUES ('2030-12-31', 'Silvester', 50);</v>
      </c>
    </row>
    <row r="239" spans="11:33" x14ac:dyDescent="0.45">
      <c r="K239" s="10">
        <v>47849</v>
      </c>
      <c r="L239" t="str">
        <f t="shared" si="42"/>
        <v>'2031-01-01'</v>
      </c>
      <c r="M239" s="3" t="s">
        <v>481</v>
      </c>
      <c r="N239">
        <v>100</v>
      </c>
      <c r="R239" s="10">
        <f t="shared" si="50"/>
        <v>52832</v>
      </c>
      <c r="S239" t="str">
        <f t="shared" si="43"/>
        <v>'2044-08-23'</v>
      </c>
      <c r="T239">
        <f t="shared" si="44"/>
        <v>1</v>
      </c>
      <c r="U239">
        <f t="shared" si="45"/>
        <v>34</v>
      </c>
      <c r="V239">
        <f t="shared" si="46"/>
        <v>2044</v>
      </c>
      <c r="W239">
        <f t="shared" si="47"/>
        <v>8</v>
      </c>
      <c r="X239">
        <f t="shared" si="48"/>
        <v>23</v>
      </c>
      <c r="Y239">
        <f t="shared" si="49"/>
        <v>2</v>
      </c>
      <c r="AE239" s="2" t="str" cm="1">
        <f t="array" ref="AE239">CONCATENATE($AE$2,Liste(S239:U239),";")</f>
        <v>INSERT INTO WD_Workdays (CalendarDay, CalendarWeekday, CalendarWeek) VALUES ('2044-08-23', 1, 34);</v>
      </c>
      <c r="AF239" s="2"/>
      <c r="AG239" s="2" t="str" cm="1">
        <f t="array" ref="AG239">CONCATENATE($AG$2,Liste(L239:O239),";")</f>
        <v>INSERT INTO WD_Holidays (CalendarDay, Donation, Share) VALUES ('2031-01-01', 'Neujahr', 100);</v>
      </c>
    </row>
    <row r="240" spans="11:33" x14ac:dyDescent="0.45">
      <c r="K240" s="10">
        <v>47915</v>
      </c>
      <c r="L240" t="str">
        <f t="shared" si="42"/>
        <v>'2031-03-08'</v>
      </c>
      <c r="M240" s="3" t="s">
        <v>554</v>
      </c>
      <c r="N240">
        <v>100</v>
      </c>
      <c r="R240" s="10">
        <f t="shared" si="50"/>
        <v>52833</v>
      </c>
      <c r="S240" t="str">
        <f t="shared" si="43"/>
        <v>'2044-08-24'</v>
      </c>
      <c r="T240">
        <f t="shared" si="44"/>
        <v>2</v>
      </c>
      <c r="U240">
        <f t="shared" si="45"/>
        <v>34</v>
      </c>
      <c r="V240">
        <f t="shared" si="46"/>
        <v>2044</v>
      </c>
      <c r="W240">
        <f t="shared" si="47"/>
        <v>8</v>
      </c>
      <c r="X240">
        <f t="shared" si="48"/>
        <v>24</v>
      </c>
      <c r="Y240">
        <f t="shared" si="49"/>
        <v>2</v>
      </c>
      <c r="AE240" s="2" t="str" cm="1">
        <f t="array" ref="AE240">CONCATENATE($AE$2,Liste(S240:U240),";")</f>
        <v>INSERT INTO WD_Workdays (CalendarDay, CalendarWeekday, CalendarWeek) VALUES ('2044-08-24', 2, 34);</v>
      </c>
      <c r="AF240" s="2"/>
      <c r="AG240" s="2" t="str" cm="1">
        <f t="array" ref="AG240">CONCATENATE($AG$2,Liste(L240:O240),";")</f>
        <v>INSERT INTO WD_Holidays (CalendarDay, Donation, Share) VALUES ('2031-03-08', 'Internationaler Frauentag', 100);</v>
      </c>
    </row>
    <row r="241" spans="11:33" x14ac:dyDescent="0.45">
      <c r="K241" s="10">
        <v>47949</v>
      </c>
      <c r="L241" t="str">
        <f t="shared" ref="L241:L304" si="51">CONCATENATE("'",TEXT(K241,"jjjj-MM-tt"),"'")</f>
        <v>'2031-04-11'</v>
      </c>
      <c r="M241" s="3" t="s">
        <v>555</v>
      </c>
      <c r="N241">
        <v>100</v>
      </c>
      <c r="R241" s="10">
        <f t="shared" si="50"/>
        <v>52834</v>
      </c>
      <c r="S241" t="str">
        <f t="shared" si="43"/>
        <v>'2044-08-25'</v>
      </c>
      <c r="T241">
        <f t="shared" si="44"/>
        <v>3</v>
      </c>
      <c r="U241">
        <f t="shared" si="45"/>
        <v>34</v>
      </c>
      <c r="V241">
        <f t="shared" si="46"/>
        <v>2044</v>
      </c>
      <c r="W241">
        <f t="shared" si="47"/>
        <v>8</v>
      </c>
      <c r="X241">
        <f t="shared" si="48"/>
        <v>25</v>
      </c>
      <c r="Y241">
        <f t="shared" si="49"/>
        <v>2</v>
      </c>
      <c r="AE241" s="2" t="str" cm="1">
        <f t="array" ref="AE241">CONCATENATE($AE$2,Liste(S241:U241),";")</f>
        <v>INSERT INTO WD_Workdays (CalendarDay, CalendarWeekday, CalendarWeek) VALUES ('2044-08-25', 3, 34);</v>
      </c>
      <c r="AF241" s="2"/>
      <c r="AG241" s="2" t="str" cm="1">
        <f t="array" ref="AG241">CONCATENATE($AG$2,Liste(L241:O241),";")</f>
        <v>INSERT INTO WD_Holidays (CalendarDay, Donation, Share) VALUES ('2031-04-11', 'Karfreitag', 100);</v>
      </c>
    </row>
    <row r="242" spans="11:33" x14ac:dyDescent="0.45">
      <c r="K242" s="10">
        <v>47951</v>
      </c>
      <c r="L242" t="str">
        <f t="shared" si="51"/>
        <v>'2031-04-13'</v>
      </c>
      <c r="M242" s="3" t="s">
        <v>556</v>
      </c>
      <c r="N242">
        <v>100</v>
      </c>
      <c r="R242" s="10">
        <f t="shared" si="50"/>
        <v>52835</v>
      </c>
      <c r="S242" t="str">
        <f t="shared" si="43"/>
        <v>'2044-08-26'</v>
      </c>
      <c r="T242">
        <f t="shared" si="44"/>
        <v>4</v>
      </c>
      <c r="U242">
        <f t="shared" si="45"/>
        <v>34</v>
      </c>
      <c r="V242">
        <f t="shared" si="46"/>
        <v>2044</v>
      </c>
      <c r="W242">
        <f t="shared" si="47"/>
        <v>8</v>
      </c>
      <c r="X242">
        <f t="shared" si="48"/>
        <v>26</v>
      </c>
      <c r="Y242">
        <f t="shared" si="49"/>
        <v>2</v>
      </c>
      <c r="AE242" s="2" t="str" cm="1">
        <f t="array" ref="AE242">CONCATENATE($AE$2,Liste(S242:U242),";")</f>
        <v>INSERT INTO WD_Workdays (CalendarDay, CalendarWeekday, CalendarWeek) VALUES ('2044-08-26', 4, 34);</v>
      </c>
      <c r="AF242" s="2"/>
      <c r="AG242" s="2" t="str" cm="1">
        <f t="array" ref="AG242">CONCATENATE($AG$2,Liste(L242:O242),";")</f>
        <v>INSERT INTO WD_Holidays (CalendarDay, Donation, Share) VALUES ('2031-04-13', 'Ostersonntag', 100);</v>
      </c>
    </row>
    <row r="243" spans="11:33" x14ac:dyDescent="0.45">
      <c r="K243" s="10">
        <v>47952</v>
      </c>
      <c r="L243" t="str">
        <f t="shared" si="51"/>
        <v>'2031-04-14'</v>
      </c>
      <c r="M243" s="3" t="s">
        <v>557</v>
      </c>
      <c r="N243">
        <v>100</v>
      </c>
      <c r="R243" s="10">
        <f t="shared" si="50"/>
        <v>52836</v>
      </c>
      <c r="S243" t="str">
        <f t="shared" si="43"/>
        <v>'2044-08-27'</v>
      </c>
      <c r="T243">
        <f t="shared" si="44"/>
        <v>5</v>
      </c>
      <c r="U243">
        <f t="shared" si="45"/>
        <v>34</v>
      </c>
      <c r="V243">
        <f t="shared" si="46"/>
        <v>2044</v>
      </c>
      <c r="W243">
        <f t="shared" si="47"/>
        <v>8</v>
      </c>
      <c r="X243">
        <f t="shared" si="48"/>
        <v>27</v>
      </c>
      <c r="Y243">
        <f t="shared" si="49"/>
        <v>2</v>
      </c>
      <c r="AE243" s="2" t="str" cm="1">
        <f t="array" ref="AE243">CONCATENATE($AE$2,Liste(S243:U243),";")</f>
        <v>INSERT INTO WD_Workdays (CalendarDay, CalendarWeekday, CalendarWeek) VALUES ('2044-08-27', 5, 34);</v>
      </c>
      <c r="AF243" s="2"/>
      <c r="AG243" s="2" t="str" cm="1">
        <f t="array" ref="AG243">CONCATENATE($AG$2,Liste(L243:O243),";")</f>
        <v>INSERT INTO WD_Holidays (CalendarDay, Donation, Share) VALUES ('2031-04-14', 'Ostermontag', 100);</v>
      </c>
    </row>
    <row r="244" spans="11:33" x14ac:dyDescent="0.45">
      <c r="K244" s="10">
        <v>47969</v>
      </c>
      <c r="L244" t="str">
        <f t="shared" si="51"/>
        <v>'2031-05-01'</v>
      </c>
      <c r="M244" s="3" t="s">
        <v>558</v>
      </c>
      <c r="N244">
        <v>100</v>
      </c>
      <c r="R244" s="10">
        <f t="shared" si="50"/>
        <v>52837</v>
      </c>
      <c r="S244" t="str">
        <f t="shared" si="43"/>
        <v>'2044-08-28'</v>
      </c>
      <c r="T244">
        <f t="shared" si="44"/>
        <v>6</v>
      </c>
      <c r="U244">
        <f t="shared" si="45"/>
        <v>34</v>
      </c>
      <c r="V244">
        <f t="shared" si="46"/>
        <v>2044</v>
      </c>
      <c r="W244">
        <f t="shared" si="47"/>
        <v>8</v>
      </c>
      <c r="X244">
        <f t="shared" si="48"/>
        <v>28</v>
      </c>
      <c r="Y244">
        <f t="shared" si="49"/>
        <v>2</v>
      </c>
      <c r="AE244" s="2" t="str" cm="1">
        <f t="array" ref="AE244">CONCATENATE($AE$2,Liste(S244:U244),";")</f>
        <v>INSERT INTO WD_Workdays (CalendarDay, CalendarWeekday, CalendarWeek) VALUES ('2044-08-28', 6, 34);</v>
      </c>
      <c r="AF244" s="2"/>
      <c r="AG244" s="2" t="str" cm="1">
        <f t="array" ref="AG244">CONCATENATE($AG$2,Liste(L244:O244),";")</f>
        <v>INSERT INTO WD_Holidays (CalendarDay, Donation, Share) VALUES ('2031-05-01', 'Tag der Arbeit', 100);</v>
      </c>
    </row>
    <row r="245" spans="11:33" x14ac:dyDescent="0.45">
      <c r="K245" s="10">
        <v>47990</v>
      </c>
      <c r="L245" t="str">
        <f t="shared" si="51"/>
        <v>'2031-05-22'</v>
      </c>
      <c r="M245" s="3" t="s">
        <v>559</v>
      </c>
      <c r="N245">
        <v>100</v>
      </c>
      <c r="R245" s="10">
        <f t="shared" si="50"/>
        <v>52838</v>
      </c>
      <c r="S245" t="str">
        <f t="shared" si="43"/>
        <v>'2044-08-29'</v>
      </c>
      <c r="T245">
        <f t="shared" si="44"/>
        <v>0</v>
      </c>
      <c r="U245">
        <f t="shared" si="45"/>
        <v>35</v>
      </c>
      <c r="V245">
        <f t="shared" si="46"/>
        <v>2044</v>
      </c>
      <c r="W245">
        <f t="shared" si="47"/>
        <v>8</v>
      </c>
      <c r="X245">
        <f t="shared" si="48"/>
        <v>29</v>
      </c>
      <c r="Y245">
        <f t="shared" si="49"/>
        <v>2</v>
      </c>
      <c r="AE245" s="2" t="str" cm="1">
        <f t="array" ref="AE245">CONCATENATE($AE$2,Liste(S245:U245),";")</f>
        <v>INSERT INTO WD_Workdays (CalendarDay, CalendarWeekday, CalendarWeek) VALUES ('2044-08-29', 0, 35);</v>
      </c>
      <c r="AF245" s="2"/>
      <c r="AG245" s="2" t="str" cm="1">
        <f t="array" ref="AG245">CONCATENATE($AG$2,Liste(L245:O245),";")</f>
        <v>INSERT INTO WD_Holidays (CalendarDay, Donation, Share) VALUES ('2031-05-22', 'Christi Himmelfahrt', 100);</v>
      </c>
    </row>
    <row r="246" spans="11:33" x14ac:dyDescent="0.45">
      <c r="K246" s="10">
        <v>48000</v>
      </c>
      <c r="L246" t="str">
        <f t="shared" si="51"/>
        <v>'2031-06-01'</v>
      </c>
      <c r="M246" s="3" t="s">
        <v>779</v>
      </c>
      <c r="N246">
        <v>100</v>
      </c>
      <c r="R246" s="10">
        <f t="shared" si="50"/>
        <v>52839</v>
      </c>
      <c r="S246" t="str">
        <f t="shared" si="43"/>
        <v>'2044-08-30'</v>
      </c>
      <c r="T246">
        <f t="shared" si="44"/>
        <v>1</v>
      </c>
      <c r="U246">
        <f t="shared" si="45"/>
        <v>35</v>
      </c>
      <c r="V246">
        <f t="shared" si="46"/>
        <v>2044</v>
      </c>
      <c r="W246">
        <f t="shared" si="47"/>
        <v>8</v>
      </c>
      <c r="X246">
        <f t="shared" si="48"/>
        <v>30</v>
      </c>
      <c r="Y246">
        <f t="shared" si="49"/>
        <v>2</v>
      </c>
      <c r="AE246" s="2" t="str" cm="1">
        <f t="array" ref="AE246">CONCATENATE($AE$2,Liste(S246:U246),";")</f>
        <v>INSERT INTO WD_Workdays (CalendarDay, CalendarWeekday, CalendarWeek) VALUES ('2044-08-30', 1, 35);</v>
      </c>
      <c r="AF246" s="2"/>
      <c r="AG246" s="2" t="str" cm="1">
        <f t="array" ref="AG246">CONCATENATE($AG$2,Liste(L246:O246),";")</f>
        <v>INSERT INTO WD_Holidays (CalendarDay, Donation, Share) VALUES ('2031-06-01', 'Pfingstsonntag', 100);</v>
      </c>
    </row>
    <row r="247" spans="11:33" x14ac:dyDescent="0.45">
      <c r="K247" s="10">
        <v>48001</v>
      </c>
      <c r="L247" t="str">
        <f t="shared" si="51"/>
        <v>'2031-06-02'</v>
      </c>
      <c r="M247" s="3" t="s">
        <v>560</v>
      </c>
      <c r="N247">
        <v>100</v>
      </c>
      <c r="R247" s="10">
        <f t="shared" si="50"/>
        <v>52840</v>
      </c>
      <c r="S247" t="str">
        <f t="shared" si="43"/>
        <v>'2044-08-31'</v>
      </c>
      <c r="T247">
        <f t="shared" si="44"/>
        <v>2</v>
      </c>
      <c r="U247">
        <f t="shared" si="45"/>
        <v>35</v>
      </c>
      <c r="V247">
        <f t="shared" si="46"/>
        <v>2044</v>
      </c>
      <c r="W247">
        <f t="shared" si="47"/>
        <v>8</v>
      </c>
      <c r="X247">
        <f t="shared" si="48"/>
        <v>31</v>
      </c>
      <c r="Y247">
        <f t="shared" si="49"/>
        <v>2</v>
      </c>
      <c r="AE247" s="2" t="str" cm="1">
        <f t="array" ref="AE247">CONCATENATE($AE$2,Liste(S247:U247),";")</f>
        <v>INSERT INTO WD_Workdays (CalendarDay, CalendarWeekday, CalendarWeek) VALUES ('2044-08-31', 2, 35);</v>
      </c>
      <c r="AF247" s="2"/>
      <c r="AG247" s="2" t="str" cm="1">
        <f t="array" ref="AG247">CONCATENATE($AG$2,Liste(L247:O247),";")</f>
        <v>INSERT INTO WD_Holidays (CalendarDay, Donation, Share) VALUES ('2031-06-02', 'Pfingstmontag', 100);</v>
      </c>
    </row>
    <row r="248" spans="11:33" x14ac:dyDescent="0.45">
      <c r="K248" s="10">
        <v>48124</v>
      </c>
      <c r="L248" t="str">
        <f t="shared" si="51"/>
        <v>'2031-10-03'</v>
      </c>
      <c r="M248" s="3" t="s">
        <v>561</v>
      </c>
      <c r="N248">
        <v>100</v>
      </c>
      <c r="R248" s="10">
        <f t="shared" si="50"/>
        <v>52841</v>
      </c>
      <c r="S248" t="str">
        <f t="shared" si="43"/>
        <v>'2044-09-01'</v>
      </c>
      <c r="T248">
        <f t="shared" si="44"/>
        <v>3</v>
      </c>
      <c r="U248">
        <f t="shared" si="45"/>
        <v>35</v>
      </c>
      <c r="V248">
        <f t="shared" si="46"/>
        <v>2044</v>
      </c>
      <c r="W248">
        <f t="shared" si="47"/>
        <v>9</v>
      </c>
      <c r="X248">
        <f t="shared" si="48"/>
        <v>1</v>
      </c>
      <c r="Y248">
        <f t="shared" si="49"/>
        <v>3</v>
      </c>
      <c r="AE248" s="2" t="str" cm="1">
        <f t="array" ref="AE248">CONCATENATE($AE$2,Liste(S248:U248),";")</f>
        <v>INSERT INTO WD_Workdays (CalendarDay, CalendarWeekday, CalendarWeek) VALUES ('2044-09-01', 3, 35);</v>
      </c>
      <c r="AF248" s="2"/>
      <c r="AG248" s="2" t="str" cm="1">
        <f t="array" ref="AG248">CONCATENATE($AG$2,Liste(L248:O248),";")</f>
        <v>INSERT INTO WD_Holidays (CalendarDay, Donation, Share) VALUES ('2031-10-03', 'Tag der Deutschen Einheit', 100);</v>
      </c>
    </row>
    <row r="249" spans="11:33" x14ac:dyDescent="0.45">
      <c r="K249" s="10">
        <v>48206</v>
      </c>
      <c r="L249" t="str">
        <f t="shared" si="51"/>
        <v>'2031-12-24'</v>
      </c>
      <c r="M249" s="3" t="s">
        <v>562</v>
      </c>
      <c r="N249">
        <v>50</v>
      </c>
      <c r="R249" s="10">
        <f t="shared" si="50"/>
        <v>52842</v>
      </c>
      <c r="S249" t="str">
        <f t="shared" si="43"/>
        <v>'2044-09-02'</v>
      </c>
      <c r="T249">
        <f t="shared" si="44"/>
        <v>4</v>
      </c>
      <c r="U249">
        <f t="shared" si="45"/>
        <v>35</v>
      </c>
      <c r="V249">
        <f t="shared" si="46"/>
        <v>2044</v>
      </c>
      <c r="W249">
        <f t="shared" si="47"/>
        <v>9</v>
      </c>
      <c r="X249">
        <f t="shared" si="48"/>
        <v>2</v>
      </c>
      <c r="Y249">
        <f t="shared" si="49"/>
        <v>3</v>
      </c>
      <c r="AE249" s="2" t="str" cm="1">
        <f t="array" ref="AE249">CONCATENATE($AE$2,Liste(S249:U249),";")</f>
        <v>INSERT INTO WD_Workdays (CalendarDay, CalendarWeekday, CalendarWeek) VALUES ('2044-09-02', 4, 35);</v>
      </c>
      <c r="AF249" s="2"/>
      <c r="AG249" s="2" t="str" cm="1">
        <f t="array" ref="AG249">CONCATENATE($AG$2,Liste(L249:O249),";")</f>
        <v>INSERT INTO WD_Holidays (CalendarDay, Donation, Share) VALUES ('2031-12-24', 'Heiligabend', 50);</v>
      </c>
    </row>
    <row r="250" spans="11:33" x14ac:dyDescent="0.45">
      <c r="K250" s="10">
        <v>48207</v>
      </c>
      <c r="L250" t="str">
        <f t="shared" si="51"/>
        <v>'2031-12-25'</v>
      </c>
      <c r="M250" s="3" t="s">
        <v>563</v>
      </c>
      <c r="N250">
        <v>100</v>
      </c>
      <c r="R250" s="10">
        <f t="shared" si="50"/>
        <v>52843</v>
      </c>
      <c r="S250" t="str">
        <f t="shared" si="43"/>
        <v>'2044-09-03'</v>
      </c>
      <c r="T250">
        <f t="shared" si="44"/>
        <v>5</v>
      </c>
      <c r="U250">
        <f t="shared" si="45"/>
        <v>35</v>
      </c>
      <c r="V250">
        <f t="shared" si="46"/>
        <v>2044</v>
      </c>
      <c r="W250">
        <f t="shared" si="47"/>
        <v>9</v>
      </c>
      <c r="X250">
        <f t="shared" si="48"/>
        <v>3</v>
      </c>
      <c r="Y250">
        <f t="shared" si="49"/>
        <v>3</v>
      </c>
      <c r="AE250" s="2" t="str" cm="1">
        <f t="array" ref="AE250">CONCATENATE($AE$2,Liste(S250:U250),";")</f>
        <v>INSERT INTO WD_Workdays (CalendarDay, CalendarWeekday, CalendarWeek) VALUES ('2044-09-03', 5, 35);</v>
      </c>
      <c r="AF250" s="2"/>
      <c r="AG250" s="2" t="str" cm="1">
        <f t="array" ref="AG250">CONCATENATE($AG$2,Liste(L250:O250),";")</f>
        <v>INSERT INTO WD_Holidays (CalendarDay, Donation, Share) VALUES ('2031-12-25', '1. Weihnachtsfeiertag', 100);</v>
      </c>
    </row>
    <row r="251" spans="11:33" x14ac:dyDescent="0.45">
      <c r="K251" s="10">
        <v>48208</v>
      </c>
      <c r="L251" t="str">
        <f t="shared" si="51"/>
        <v>'2031-12-26'</v>
      </c>
      <c r="M251" s="3" t="s">
        <v>564</v>
      </c>
      <c r="N251">
        <v>100</v>
      </c>
      <c r="R251" s="10">
        <f t="shared" si="50"/>
        <v>52844</v>
      </c>
      <c r="S251" t="str">
        <f t="shared" si="43"/>
        <v>'2044-09-04'</v>
      </c>
      <c r="T251">
        <f t="shared" si="44"/>
        <v>6</v>
      </c>
      <c r="U251">
        <f t="shared" si="45"/>
        <v>35</v>
      </c>
      <c r="V251">
        <f t="shared" si="46"/>
        <v>2044</v>
      </c>
      <c r="W251">
        <f t="shared" si="47"/>
        <v>9</v>
      </c>
      <c r="X251">
        <f t="shared" si="48"/>
        <v>4</v>
      </c>
      <c r="Y251">
        <f t="shared" si="49"/>
        <v>3</v>
      </c>
      <c r="AE251" s="2" t="str" cm="1">
        <f t="array" ref="AE251">CONCATENATE($AE$2,Liste(S251:U251),";")</f>
        <v>INSERT INTO WD_Workdays (CalendarDay, CalendarWeekday, CalendarWeek) VALUES ('2044-09-04', 6, 35);</v>
      </c>
      <c r="AF251" s="2"/>
      <c r="AG251" s="2" t="str" cm="1">
        <f t="array" ref="AG251">CONCATENATE($AG$2,Liste(L251:O251),";")</f>
        <v>INSERT INTO WD_Holidays (CalendarDay, Donation, Share) VALUES ('2031-12-26', '2. Weihnachtsfeiertag', 100);</v>
      </c>
    </row>
    <row r="252" spans="11:33" x14ac:dyDescent="0.45">
      <c r="K252" s="10">
        <v>48213</v>
      </c>
      <c r="L252" t="str">
        <f t="shared" si="51"/>
        <v>'2031-12-31'</v>
      </c>
      <c r="M252" s="3" t="s">
        <v>565</v>
      </c>
      <c r="N252">
        <v>50</v>
      </c>
      <c r="R252" s="10">
        <f t="shared" si="50"/>
        <v>52845</v>
      </c>
      <c r="S252" t="str">
        <f t="shared" si="43"/>
        <v>'2044-09-05'</v>
      </c>
      <c r="T252">
        <f t="shared" si="44"/>
        <v>0</v>
      </c>
      <c r="U252">
        <f t="shared" si="45"/>
        <v>36</v>
      </c>
      <c r="V252">
        <f t="shared" si="46"/>
        <v>2044</v>
      </c>
      <c r="W252">
        <f t="shared" si="47"/>
        <v>9</v>
      </c>
      <c r="X252">
        <f t="shared" si="48"/>
        <v>5</v>
      </c>
      <c r="Y252">
        <f t="shared" si="49"/>
        <v>3</v>
      </c>
      <c r="AE252" s="2" t="str" cm="1">
        <f t="array" ref="AE252">CONCATENATE($AE$2,Liste(S252:U252),";")</f>
        <v>INSERT INTO WD_Workdays (CalendarDay, CalendarWeekday, CalendarWeek) VALUES ('2044-09-05', 0, 36);</v>
      </c>
      <c r="AF252" s="2"/>
      <c r="AG252" s="2" t="str" cm="1">
        <f t="array" ref="AG252">CONCATENATE($AG$2,Liste(L252:O252),";")</f>
        <v>INSERT INTO WD_Holidays (CalendarDay, Donation, Share) VALUES ('2031-12-31', 'Silvester', 50);</v>
      </c>
    </row>
    <row r="253" spans="11:33" x14ac:dyDescent="0.45">
      <c r="K253" s="10">
        <v>48214</v>
      </c>
      <c r="L253" t="str">
        <f t="shared" si="51"/>
        <v>'2032-01-01'</v>
      </c>
      <c r="M253" s="3" t="s">
        <v>481</v>
      </c>
      <c r="N253">
        <v>100</v>
      </c>
      <c r="R253" s="10">
        <f t="shared" si="50"/>
        <v>52846</v>
      </c>
      <c r="S253" t="str">
        <f t="shared" si="43"/>
        <v>'2044-09-06'</v>
      </c>
      <c r="T253">
        <f t="shared" si="44"/>
        <v>1</v>
      </c>
      <c r="U253">
        <f t="shared" si="45"/>
        <v>36</v>
      </c>
      <c r="V253">
        <f t="shared" si="46"/>
        <v>2044</v>
      </c>
      <c r="W253">
        <f t="shared" si="47"/>
        <v>9</v>
      </c>
      <c r="X253">
        <f t="shared" si="48"/>
        <v>6</v>
      </c>
      <c r="Y253">
        <f t="shared" si="49"/>
        <v>3</v>
      </c>
      <c r="AE253" s="2" t="str" cm="1">
        <f t="array" ref="AE253">CONCATENATE($AE$2,Liste(S253:U253),";")</f>
        <v>INSERT INTO WD_Workdays (CalendarDay, CalendarWeekday, CalendarWeek) VALUES ('2044-09-06', 1, 36);</v>
      </c>
      <c r="AF253" s="2"/>
      <c r="AG253" s="2" t="str" cm="1">
        <f t="array" ref="AG253">CONCATENATE($AG$2,Liste(L253:O253),";")</f>
        <v>INSERT INTO WD_Holidays (CalendarDay, Donation, Share) VALUES ('2032-01-01', 'Neujahr', 100);</v>
      </c>
    </row>
    <row r="254" spans="11:33" x14ac:dyDescent="0.45">
      <c r="K254" s="10">
        <v>48281</v>
      </c>
      <c r="L254" t="str">
        <f t="shared" si="51"/>
        <v>'2032-03-08'</v>
      </c>
      <c r="M254" s="3" t="s">
        <v>554</v>
      </c>
      <c r="N254">
        <v>100</v>
      </c>
      <c r="R254" s="10">
        <f t="shared" si="50"/>
        <v>52847</v>
      </c>
      <c r="S254" t="str">
        <f t="shared" si="43"/>
        <v>'2044-09-07'</v>
      </c>
      <c r="T254">
        <f t="shared" si="44"/>
        <v>2</v>
      </c>
      <c r="U254">
        <f t="shared" si="45"/>
        <v>36</v>
      </c>
      <c r="V254">
        <f t="shared" si="46"/>
        <v>2044</v>
      </c>
      <c r="W254">
        <f t="shared" si="47"/>
        <v>9</v>
      </c>
      <c r="X254">
        <f t="shared" si="48"/>
        <v>7</v>
      </c>
      <c r="Y254">
        <f t="shared" si="49"/>
        <v>3</v>
      </c>
      <c r="AE254" s="2" t="str" cm="1">
        <f t="array" ref="AE254">CONCATENATE($AE$2,Liste(S254:U254),";")</f>
        <v>INSERT INTO WD_Workdays (CalendarDay, CalendarWeekday, CalendarWeek) VALUES ('2044-09-07', 2, 36);</v>
      </c>
      <c r="AF254" s="2"/>
      <c r="AG254" s="2" t="str" cm="1">
        <f t="array" ref="AG254">CONCATENATE($AG$2,Liste(L254:O254),";")</f>
        <v>INSERT INTO WD_Holidays (CalendarDay, Donation, Share) VALUES ('2032-03-08', 'Internationaler Frauentag', 100);</v>
      </c>
    </row>
    <row r="255" spans="11:33" x14ac:dyDescent="0.45">
      <c r="K255" s="10">
        <v>48299</v>
      </c>
      <c r="L255" t="str">
        <f t="shared" si="51"/>
        <v>'2032-03-26'</v>
      </c>
      <c r="M255" s="3" t="s">
        <v>555</v>
      </c>
      <c r="N255">
        <v>100</v>
      </c>
      <c r="R255" s="10">
        <f t="shared" si="50"/>
        <v>52848</v>
      </c>
      <c r="S255" t="str">
        <f t="shared" si="43"/>
        <v>'2044-09-08'</v>
      </c>
      <c r="T255">
        <f t="shared" si="44"/>
        <v>3</v>
      </c>
      <c r="U255">
        <f t="shared" si="45"/>
        <v>36</v>
      </c>
      <c r="V255">
        <f t="shared" si="46"/>
        <v>2044</v>
      </c>
      <c r="W255">
        <f t="shared" si="47"/>
        <v>9</v>
      </c>
      <c r="X255">
        <f t="shared" si="48"/>
        <v>8</v>
      </c>
      <c r="Y255">
        <f t="shared" si="49"/>
        <v>3</v>
      </c>
      <c r="AE255" s="2" t="str" cm="1">
        <f t="array" ref="AE255">CONCATENATE($AE$2,Liste(S255:U255),";")</f>
        <v>INSERT INTO WD_Workdays (CalendarDay, CalendarWeekday, CalendarWeek) VALUES ('2044-09-08', 3, 36);</v>
      </c>
      <c r="AF255" s="2"/>
      <c r="AG255" s="2" t="str" cm="1">
        <f t="array" ref="AG255">CONCATENATE($AG$2,Liste(L255:O255),";")</f>
        <v>INSERT INTO WD_Holidays (CalendarDay, Donation, Share) VALUES ('2032-03-26', 'Karfreitag', 100);</v>
      </c>
    </row>
    <row r="256" spans="11:33" x14ac:dyDescent="0.45">
      <c r="K256" s="10">
        <v>48301</v>
      </c>
      <c r="L256" t="str">
        <f t="shared" si="51"/>
        <v>'2032-03-28'</v>
      </c>
      <c r="M256" s="3" t="s">
        <v>556</v>
      </c>
      <c r="N256">
        <v>100</v>
      </c>
      <c r="R256" s="10">
        <f t="shared" si="50"/>
        <v>52849</v>
      </c>
      <c r="S256" t="str">
        <f t="shared" si="43"/>
        <v>'2044-09-09'</v>
      </c>
      <c r="T256">
        <f t="shared" si="44"/>
        <v>4</v>
      </c>
      <c r="U256">
        <f t="shared" si="45"/>
        <v>36</v>
      </c>
      <c r="V256">
        <f t="shared" si="46"/>
        <v>2044</v>
      </c>
      <c r="W256">
        <f t="shared" si="47"/>
        <v>9</v>
      </c>
      <c r="X256">
        <f t="shared" si="48"/>
        <v>9</v>
      </c>
      <c r="Y256">
        <f t="shared" si="49"/>
        <v>3</v>
      </c>
      <c r="AE256" s="2" t="str" cm="1">
        <f t="array" ref="AE256">CONCATENATE($AE$2,Liste(S256:U256),";")</f>
        <v>INSERT INTO WD_Workdays (CalendarDay, CalendarWeekday, CalendarWeek) VALUES ('2044-09-09', 4, 36);</v>
      </c>
      <c r="AF256" s="2"/>
      <c r="AG256" s="2" t="str" cm="1">
        <f t="array" ref="AG256">CONCATENATE($AG$2,Liste(L256:O256),";")</f>
        <v>INSERT INTO WD_Holidays (CalendarDay, Donation, Share) VALUES ('2032-03-28', 'Ostersonntag', 100);</v>
      </c>
    </row>
    <row r="257" spans="11:33" x14ac:dyDescent="0.45">
      <c r="K257" s="10">
        <v>48302</v>
      </c>
      <c r="L257" t="str">
        <f t="shared" si="51"/>
        <v>'2032-03-29'</v>
      </c>
      <c r="M257" s="3" t="s">
        <v>557</v>
      </c>
      <c r="N257">
        <v>100</v>
      </c>
      <c r="R257" s="10">
        <f t="shared" si="50"/>
        <v>52850</v>
      </c>
      <c r="S257" t="str">
        <f t="shared" si="43"/>
        <v>'2044-09-10'</v>
      </c>
      <c r="T257">
        <f t="shared" si="44"/>
        <v>5</v>
      </c>
      <c r="U257">
        <f t="shared" si="45"/>
        <v>36</v>
      </c>
      <c r="V257">
        <f t="shared" si="46"/>
        <v>2044</v>
      </c>
      <c r="W257">
        <f t="shared" si="47"/>
        <v>9</v>
      </c>
      <c r="X257">
        <f t="shared" si="48"/>
        <v>10</v>
      </c>
      <c r="Y257">
        <f t="shared" si="49"/>
        <v>3</v>
      </c>
      <c r="AE257" s="2" t="str" cm="1">
        <f t="array" ref="AE257">CONCATENATE($AE$2,Liste(S257:U257),";")</f>
        <v>INSERT INTO WD_Workdays (CalendarDay, CalendarWeekday, CalendarWeek) VALUES ('2044-09-10', 5, 36);</v>
      </c>
      <c r="AF257" s="2"/>
      <c r="AG257" s="2" t="str" cm="1">
        <f t="array" ref="AG257">CONCATENATE($AG$2,Liste(L257:O257),";")</f>
        <v>INSERT INTO WD_Holidays (CalendarDay, Donation, Share) VALUES ('2032-03-29', 'Ostermontag', 100);</v>
      </c>
    </row>
    <row r="258" spans="11:33" x14ac:dyDescent="0.45">
      <c r="K258" s="10">
        <v>48335</v>
      </c>
      <c r="L258" t="str">
        <f t="shared" si="51"/>
        <v>'2032-05-01'</v>
      </c>
      <c r="M258" s="3" t="s">
        <v>558</v>
      </c>
      <c r="N258">
        <v>100</v>
      </c>
      <c r="R258" s="10">
        <f t="shared" si="50"/>
        <v>52851</v>
      </c>
      <c r="S258" t="str">
        <f t="shared" si="43"/>
        <v>'2044-09-11'</v>
      </c>
      <c r="T258">
        <f t="shared" si="44"/>
        <v>6</v>
      </c>
      <c r="U258">
        <f t="shared" si="45"/>
        <v>36</v>
      </c>
      <c r="V258">
        <f t="shared" si="46"/>
        <v>2044</v>
      </c>
      <c r="W258">
        <f t="shared" si="47"/>
        <v>9</v>
      </c>
      <c r="X258">
        <f t="shared" si="48"/>
        <v>11</v>
      </c>
      <c r="Y258">
        <f t="shared" si="49"/>
        <v>3</v>
      </c>
      <c r="AE258" s="2" t="str" cm="1">
        <f t="array" ref="AE258">CONCATENATE($AE$2,Liste(S258:U258),";")</f>
        <v>INSERT INTO WD_Workdays (CalendarDay, CalendarWeekday, CalendarWeek) VALUES ('2044-09-11', 6, 36);</v>
      </c>
      <c r="AF258" s="2"/>
      <c r="AG258" s="2" t="str" cm="1">
        <f t="array" ref="AG258">CONCATENATE($AG$2,Liste(L258:O258),";")</f>
        <v>INSERT INTO WD_Holidays (CalendarDay, Donation, Share) VALUES ('2032-05-01', 'Tag der Arbeit', 100);</v>
      </c>
    </row>
    <row r="259" spans="11:33" x14ac:dyDescent="0.45">
      <c r="K259" s="10">
        <v>48347</v>
      </c>
      <c r="L259" t="str">
        <f t="shared" si="51"/>
        <v>'2032-05-13'</v>
      </c>
      <c r="M259" s="3" t="s">
        <v>559</v>
      </c>
      <c r="N259">
        <v>100</v>
      </c>
      <c r="R259" s="10">
        <f t="shared" si="50"/>
        <v>52852</v>
      </c>
      <c r="S259" t="str">
        <f t="shared" si="43"/>
        <v>'2044-09-12'</v>
      </c>
      <c r="T259">
        <f t="shared" si="44"/>
        <v>0</v>
      </c>
      <c r="U259">
        <f t="shared" si="45"/>
        <v>37</v>
      </c>
      <c r="V259">
        <f t="shared" si="46"/>
        <v>2044</v>
      </c>
      <c r="W259">
        <f t="shared" si="47"/>
        <v>9</v>
      </c>
      <c r="X259">
        <f t="shared" si="48"/>
        <v>12</v>
      </c>
      <c r="Y259">
        <f t="shared" si="49"/>
        <v>3</v>
      </c>
      <c r="AE259" s="2" t="str" cm="1">
        <f t="array" ref="AE259">CONCATENATE($AE$2,Liste(S259:U259),";")</f>
        <v>INSERT INTO WD_Workdays (CalendarDay, CalendarWeekday, CalendarWeek) VALUES ('2044-09-12', 0, 37);</v>
      </c>
      <c r="AF259" s="2"/>
      <c r="AG259" s="2" t="str" cm="1">
        <f t="array" ref="AG259">CONCATENATE($AG$2,Liste(L259:O259),";")</f>
        <v>INSERT INTO WD_Holidays (CalendarDay, Donation, Share) VALUES ('2032-05-13', 'Christi Himmelfahrt', 100);</v>
      </c>
    </row>
    <row r="260" spans="11:33" x14ac:dyDescent="0.45">
      <c r="K260" s="10">
        <v>48357</v>
      </c>
      <c r="L260" t="str">
        <f t="shared" si="51"/>
        <v>'2032-05-23'</v>
      </c>
      <c r="M260" s="3" t="s">
        <v>779</v>
      </c>
      <c r="N260">
        <v>100</v>
      </c>
      <c r="R260" s="10">
        <f t="shared" si="50"/>
        <v>52853</v>
      </c>
      <c r="S260" t="str">
        <f t="shared" si="43"/>
        <v>'2044-09-13'</v>
      </c>
      <c r="T260">
        <f t="shared" si="44"/>
        <v>1</v>
      </c>
      <c r="U260">
        <f t="shared" si="45"/>
        <v>37</v>
      </c>
      <c r="V260">
        <f t="shared" si="46"/>
        <v>2044</v>
      </c>
      <c r="W260">
        <f t="shared" si="47"/>
        <v>9</v>
      </c>
      <c r="X260">
        <f t="shared" si="48"/>
        <v>13</v>
      </c>
      <c r="Y260">
        <f t="shared" si="49"/>
        <v>3</v>
      </c>
      <c r="AE260" s="2" t="str" cm="1">
        <f t="array" ref="AE260">CONCATENATE($AE$2,Liste(S260:U260),";")</f>
        <v>INSERT INTO WD_Workdays (CalendarDay, CalendarWeekday, CalendarWeek) VALUES ('2044-09-13', 1, 37);</v>
      </c>
      <c r="AF260" s="2"/>
      <c r="AG260" s="2" t="str" cm="1">
        <f t="array" ref="AG260">CONCATENATE($AG$2,Liste(L260:O260),";")</f>
        <v>INSERT INTO WD_Holidays (CalendarDay, Donation, Share) VALUES ('2032-05-23', 'Pfingstsonntag', 100);</v>
      </c>
    </row>
    <row r="261" spans="11:33" x14ac:dyDescent="0.45">
      <c r="K261" s="10">
        <v>48358</v>
      </c>
      <c r="L261" t="str">
        <f t="shared" si="51"/>
        <v>'2032-05-24'</v>
      </c>
      <c r="M261" s="3" t="s">
        <v>560</v>
      </c>
      <c r="N261">
        <v>100</v>
      </c>
      <c r="R261" s="10">
        <f t="shared" si="50"/>
        <v>52854</v>
      </c>
      <c r="S261" t="str">
        <f t="shared" ref="S261:S324" si="52">CONCATENATE("'",TEXT(R261,"jjjj-MM-tt"),"'")</f>
        <v>'2044-09-14'</v>
      </c>
      <c r="T261">
        <f t="shared" ref="T261:T324" si="53">WEEKDAY(R261,3)</f>
        <v>2</v>
      </c>
      <c r="U261">
        <f t="shared" ref="U261:U324" si="54">_xlfn.ISOWEEKNUM(R261)</f>
        <v>37</v>
      </c>
      <c r="V261">
        <f t="shared" ref="V261:V324" si="55">YEAR(R261)</f>
        <v>2044</v>
      </c>
      <c r="W261">
        <f t="shared" ref="W261:W324" si="56">MONTH(R261)</f>
        <v>9</v>
      </c>
      <c r="X261">
        <f t="shared" ref="X261:X324" si="57">DAY(R261)</f>
        <v>14</v>
      </c>
      <c r="Y261">
        <f t="shared" ref="Y261:Y324" si="58">IF(AND(W261&gt;=1,W261&lt;=3),0,IF(AND(W261&gt;=4,W261&lt;=6),1,IF(AND(W261&gt;=7,W261&lt;=8),2,IF(AND(W261&gt;=9,W261&lt;=12),3,-1))))</f>
        <v>3</v>
      </c>
      <c r="AE261" s="2" t="str" cm="1">
        <f t="array" ref="AE261">CONCATENATE($AE$2,Liste(S261:U261),";")</f>
        <v>INSERT INTO WD_Workdays (CalendarDay, CalendarWeekday, CalendarWeek) VALUES ('2044-09-14', 2, 37);</v>
      </c>
      <c r="AF261" s="2"/>
      <c r="AG261" s="2" t="str" cm="1">
        <f t="array" ref="AG261">CONCATENATE($AG$2,Liste(L261:O261),";")</f>
        <v>INSERT INTO WD_Holidays (CalendarDay, Donation, Share) VALUES ('2032-05-24', 'Pfingstmontag', 100);</v>
      </c>
    </row>
    <row r="262" spans="11:33" x14ac:dyDescent="0.45">
      <c r="K262" s="10">
        <v>48490</v>
      </c>
      <c r="L262" t="str">
        <f t="shared" si="51"/>
        <v>'2032-10-03'</v>
      </c>
      <c r="M262" s="3" t="s">
        <v>561</v>
      </c>
      <c r="N262">
        <v>100</v>
      </c>
      <c r="R262" s="10">
        <f t="shared" ref="R262:R325" si="59">R261+1</f>
        <v>52855</v>
      </c>
      <c r="S262" t="str">
        <f t="shared" si="52"/>
        <v>'2044-09-15'</v>
      </c>
      <c r="T262">
        <f t="shared" si="53"/>
        <v>3</v>
      </c>
      <c r="U262">
        <f t="shared" si="54"/>
        <v>37</v>
      </c>
      <c r="V262">
        <f t="shared" si="55"/>
        <v>2044</v>
      </c>
      <c r="W262">
        <f t="shared" si="56"/>
        <v>9</v>
      </c>
      <c r="X262">
        <f t="shared" si="57"/>
        <v>15</v>
      </c>
      <c r="Y262">
        <f t="shared" si="58"/>
        <v>3</v>
      </c>
      <c r="AE262" s="2" t="str" cm="1">
        <f t="array" ref="AE262">CONCATENATE($AE$2,Liste(S262:U262),";")</f>
        <v>INSERT INTO WD_Workdays (CalendarDay, CalendarWeekday, CalendarWeek) VALUES ('2044-09-15', 3, 37);</v>
      </c>
      <c r="AF262" s="2"/>
      <c r="AG262" s="2" t="str" cm="1">
        <f t="array" ref="AG262">CONCATENATE($AG$2,Liste(L262:O262),";")</f>
        <v>INSERT INTO WD_Holidays (CalendarDay, Donation, Share) VALUES ('2032-10-03', 'Tag der Deutschen Einheit', 100);</v>
      </c>
    </row>
    <row r="263" spans="11:33" x14ac:dyDescent="0.45">
      <c r="K263" s="10">
        <v>48572</v>
      </c>
      <c r="L263" t="str">
        <f t="shared" si="51"/>
        <v>'2032-12-24'</v>
      </c>
      <c r="M263" s="3" t="s">
        <v>562</v>
      </c>
      <c r="N263">
        <v>50</v>
      </c>
      <c r="R263" s="10">
        <f t="shared" si="59"/>
        <v>52856</v>
      </c>
      <c r="S263" t="str">
        <f t="shared" si="52"/>
        <v>'2044-09-16'</v>
      </c>
      <c r="T263">
        <f t="shared" si="53"/>
        <v>4</v>
      </c>
      <c r="U263">
        <f t="shared" si="54"/>
        <v>37</v>
      </c>
      <c r="V263">
        <f t="shared" si="55"/>
        <v>2044</v>
      </c>
      <c r="W263">
        <f t="shared" si="56"/>
        <v>9</v>
      </c>
      <c r="X263">
        <f t="shared" si="57"/>
        <v>16</v>
      </c>
      <c r="Y263">
        <f t="shared" si="58"/>
        <v>3</v>
      </c>
      <c r="AE263" s="2" t="str" cm="1">
        <f t="array" ref="AE263">CONCATENATE($AE$2,Liste(S263:U263),";")</f>
        <v>INSERT INTO WD_Workdays (CalendarDay, CalendarWeekday, CalendarWeek) VALUES ('2044-09-16', 4, 37);</v>
      </c>
      <c r="AF263" s="2"/>
      <c r="AG263" s="2" t="str" cm="1">
        <f t="array" ref="AG263">CONCATENATE($AG$2,Liste(L263:O263),";")</f>
        <v>INSERT INTO WD_Holidays (CalendarDay, Donation, Share) VALUES ('2032-12-24', 'Heiligabend', 50);</v>
      </c>
    </row>
    <row r="264" spans="11:33" x14ac:dyDescent="0.45">
      <c r="K264" s="10">
        <v>48573</v>
      </c>
      <c r="L264" t="str">
        <f t="shared" si="51"/>
        <v>'2032-12-25'</v>
      </c>
      <c r="M264" s="3" t="s">
        <v>563</v>
      </c>
      <c r="N264">
        <v>100</v>
      </c>
      <c r="R264" s="10">
        <f t="shared" si="59"/>
        <v>52857</v>
      </c>
      <c r="S264" t="str">
        <f t="shared" si="52"/>
        <v>'2044-09-17'</v>
      </c>
      <c r="T264">
        <f t="shared" si="53"/>
        <v>5</v>
      </c>
      <c r="U264">
        <f t="shared" si="54"/>
        <v>37</v>
      </c>
      <c r="V264">
        <f t="shared" si="55"/>
        <v>2044</v>
      </c>
      <c r="W264">
        <f t="shared" si="56"/>
        <v>9</v>
      </c>
      <c r="X264">
        <f t="shared" si="57"/>
        <v>17</v>
      </c>
      <c r="Y264">
        <f t="shared" si="58"/>
        <v>3</v>
      </c>
      <c r="AE264" s="2" t="str" cm="1">
        <f t="array" ref="AE264">CONCATENATE($AE$2,Liste(S264:U264),";")</f>
        <v>INSERT INTO WD_Workdays (CalendarDay, CalendarWeekday, CalendarWeek) VALUES ('2044-09-17', 5, 37);</v>
      </c>
      <c r="AF264" s="2"/>
      <c r="AG264" s="2" t="str" cm="1">
        <f t="array" ref="AG264">CONCATENATE($AG$2,Liste(L264:O264),";")</f>
        <v>INSERT INTO WD_Holidays (CalendarDay, Donation, Share) VALUES ('2032-12-25', '1. Weihnachtsfeiertag', 100);</v>
      </c>
    </row>
    <row r="265" spans="11:33" x14ac:dyDescent="0.45">
      <c r="K265" s="10">
        <v>48574</v>
      </c>
      <c r="L265" t="str">
        <f t="shared" si="51"/>
        <v>'2032-12-26'</v>
      </c>
      <c r="M265" s="3" t="s">
        <v>564</v>
      </c>
      <c r="N265">
        <v>100</v>
      </c>
      <c r="R265" s="10">
        <f t="shared" si="59"/>
        <v>52858</v>
      </c>
      <c r="S265" t="str">
        <f t="shared" si="52"/>
        <v>'2044-09-18'</v>
      </c>
      <c r="T265">
        <f t="shared" si="53"/>
        <v>6</v>
      </c>
      <c r="U265">
        <f t="shared" si="54"/>
        <v>37</v>
      </c>
      <c r="V265">
        <f t="shared" si="55"/>
        <v>2044</v>
      </c>
      <c r="W265">
        <f t="shared" si="56"/>
        <v>9</v>
      </c>
      <c r="X265">
        <f t="shared" si="57"/>
        <v>18</v>
      </c>
      <c r="Y265">
        <f t="shared" si="58"/>
        <v>3</v>
      </c>
      <c r="AE265" s="2" t="str" cm="1">
        <f t="array" ref="AE265">CONCATENATE($AE$2,Liste(S265:U265),";")</f>
        <v>INSERT INTO WD_Workdays (CalendarDay, CalendarWeekday, CalendarWeek) VALUES ('2044-09-18', 6, 37);</v>
      </c>
      <c r="AF265" s="2"/>
      <c r="AG265" s="2" t="str" cm="1">
        <f t="array" ref="AG265">CONCATENATE($AG$2,Liste(L265:O265),";")</f>
        <v>INSERT INTO WD_Holidays (CalendarDay, Donation, Share) VALUES ('2032-12-26', '2. Weihnachtsfeiertag', 100);</v>
      </c>
    </row>
    <row r="266" spans="11:33" x14ac:dyDescent="0.45">
      <c r="K266" s="10">
        <v>48579</v>
      </c>
      <c r="L266" t="str">
        <f t="shared" si="51"/>
        <v>'2032-12-31'</v>
      </c>
      <c r="M266" s="3" t="s">
        <v>565</v>
      </c>
      <c r="N266">
        <v>50</v>
      </c>
      <c r="R266" s="10">
        <f t="shared" si="59"/>
        <v>52859</v>
      </c>
      <c r="S266" t="str">
        <f t="shared" si="52"/>
        <v>'2044-09-19'</v>
      </c>
      <c r="T266">
        <f t="shared" si="53"/>
        <v>0</v>
      </c>
      <c r="U266">
        <f t="shared" si="54"/>
        <v>38</v>
      </c>
      <c r="V266">
        <f t="shared" si="55"/>
        <v>2044</v>
      </c>
      <c r="W266">
        <f t="shared" si="56"/>
        <v>9</v>
      </c>
      <c r="X266">
        <f t="shared" si="57"/>
        <v>19</v>
      </c>
      <c r="Y266">
        <f t="shared" si="58"/>
        <v>3</v>
      </c>
      <c r="AE266" s="2" t="str" cm="1">
        <f t="array" ref="AE266">CONCATENATE($AE$2,Liste(S266:U266),";")</f>
        <v>INSERT INTO WD_Workdays (CalendarDay, CalendarWeekday, CalendarWeek) VALUES ('2044-09-19', 0, 38);</v>
      </c>
      <c r="AF266" s="2"/>
      <c r="AG266" s="2" t="str" cm="1">
        <f t="array" ref="AG266">CONCATENATE($AG$2,Liste(L266:O266),";")</f>
        <v>INSERT INTO WD_Holidays (CalendarDay, Donation, Share) VALUES ('2032-12-31', 'Silvester', 50);</v>
      </c>
    </row>
    <row r="267" spans="11:33" x14ac:dyDescent="0.45">
      <c r="K267" s="10">
        <v>48580</v>
      </c>
      <c r="L267" t="str">
        <f t="shared" si="51"/>
        <v>'2033-01-01'</v>
      </c>
      <c r="M267" s="3" t="s">
        <v>481</v>
      </c>
      <c r="N267">
        <v>100</v>
      </c>
      <c r="R267" s="10">
        <f t="shared" si="59"/>
        <v>52860</v>
      </c>
      <c r="S267" t="str">
        <f t="shared" si="52"/>
        <v>'2044-09-20'</v>
      </c>
      <c r="T267">
        <f t="shared" si="53"/>
        <v>1</v>
      </c>
      <c r="U267">
        <f t="shared" si="54"/>
        <v>38</v>
      </c>
      <c r="V267">
        <f t="shared" si="55"/>
        <v>2044</v>
      </c>
      <c r="W267">
        <f t="shared" si="56"/>
        <v>9</v>
      </c>
      <c r="X267">
        <f t="shared" si="57"/>
        <v>20</v>
      </c>
      <c r="Y267">
        <f t="shared" si="58"/>
        <v>3</v>
      </c>
      <c r="AE267" s="2" t="str" cm="1">
        <f t="array" ref="AE267">CONCATENATE($AE$2,Liste(S267:U267),";")</f>
        <v>INSERT INTO WD_Workdays (CalendarDay, CalendarWeekday, CalendarWeek) VALUES ('2044-09-20', 1, 38);</v>
      </c>
      <c r="AF267" s="2"/>
      <c r="AG267" s="2" t="str" cm="1">
        <f t="array" ref="AG267">CONCATENATE($AG$2,Liste(L267:O267),";")</f>
        <v>INSERT INTO WD_Holidays (CalendarDay, Donation, Share) VALUES ('2033-01-01', 'Neujahr', 100);</v>
      </c>
    </row>
    <row r="268" spans="11:33" x14ac:dyDescent="0.45">
      <c r="K268" s="10">
        <v>48646</v>
      </c>
      <c r="L268" t="str">
        <f t="shared" si="51"/>
        <v>'2033-03-08'</v>
      </c>
      <c r="M268" s="3" t="s">
        <v>554</v>
      </c>
      <c r="N268">
        <v>100</v>
      </c>
      <c r="R268" s="10">
        <f t="shared" si="59"/>
        <v>52861</v>
      </c>
      <c r="S268" t="str">
        <f t="shared" si="52"/>
        <v>'2044-09-21'</v>
      </c>
      <c r="T268">
        <f t="shared" si="53"/>
        <v>2</v>
      </c>
      <c r="U268">
        <f t="shared" si="54"/>
        <v>38</v>
      </c>
      <c r="V268">
        <f t="shared" si="55"/>
        <v>2044</v>
      </c>
      <c r="W268">
        <f t="shared" si="56"/>
        <v>9</v>
      </c>
      <c r="X268">
        <f t="shared" si="57"/>
        <v>21</v>
      </c>
      <c r="Y268">
        <f t="shared" si="58"/>
        <v>3</v>
      </c>
      <c r="AE268" s="2" t="str" cm="1">
        <f t="array" ref="AE268">CONCATENATE($AE$2,Liste(S268:U268),";")</f>
        <v>INSERT INTO WD_Workdays (CalendarDay, CalendarWeekday, CalendarWeek) VALUES ('2044-09-21', 2, 38);</v>
      </c>
      <c r="AF268" s="2"/>
      <c r="AG268" s="2" t="str" cm="1">
        <f t="array" ref="AG268">CONCATENATE($AG$2,Liste(L268:O268),";")</f>
        <v>INSERT INTO WD_Holidays (CalendarDay, Donation, Share) VALUES ('2033-03-08', 'Internationaler Frauentag', 100);</v>
      </c>
    </row>
    <row r="269" spans="11:33" x14ac:dyDescent="0.45">
      <c r="K269" s="10">
        <v>48684</v>
      </c>
      <c r="L269" t="str">
        <f t="shared" si="51"/>
        <v>'2033-04-15'</v>
      </c>
      <c r="M269" s="3" t="s">
        <v>555</v>
      </c>
      <c r="N269">
        <v>100</v>
      </c>
      <c r="R269" s="10">
        <f t="shared" si="59"/>
        <v>52862</v>
      </c>
      <c r="S269" t="str">
        <f t="shared" si="52"/>
        <v>'2044-09-22'</v>
      </c>
      <c r="T269">
        <f t="shared" si="53"/>
        <v>3</v>
      </c>
      <c r="U269">
        <f t="shared" si="54"/>
        <v>38</v>
      </c>
      <c r="V269">
        <f t="shared" si="55"/>
        <v>2044</v>
      </c>
      <c r="W269">
        <f t="shared" si="56"/>
        <v>9</v>
      </c>
      <c r="X269">
        <f t="shared" si="57"/>
        <v>22</v>
      </c>
      <c r="Y269">
        <f t="shared" si="58"/>
        <v>3</v>
      </c>
      <c r="AE269" s="2" t="str" cm="1">
        <f t="array" ref="AE269">CONCATENATE($AE$2,Liste(S269:U269),";")</f>
        <v>INSERT INTO WD_Workdays (CalendarDay, CalendarWeekday, CalendarWeek) VALUES ('2044-09-22', 3, 38);</v>
      </c>
      <c r="AF269" s="2"/>
      <c r="AG269" s="2" t="str" cm="1">
        <f t="array" ref="AG269">CONCATENATE($AG$2,Liste(L269:O269),";")</f>
        <v>INSERT INTO WD_Holidays (CalendarDay, Donation, Share) VALUES ('2033-04-15', 'Karfreitag', 100);</v>
      </c>
    </row>
    <row r="270" spans="11:33" x14ac:dyDescent="0.45">
      <c r="K270" s="10">
        <v>48686</v>
      </c>
      <c r="L270" t="str">
        <f t="shared" si="51"/>
        <v>'2033-04-17'</v>
      </c>
      <c r="M270" s="3" t="s">
        <v>556</v>
      </c>
      <c r="N270">
        <v>100</v>
      </c>
      <c r="R270" s="10">
        <f t="shared" si="59"/>
        <v>52863</v>
      </c>
      <c r="S270" t="str">
        <f t="shared" si="52"/>
        <v>'2044-09-23'</v>
      </c>
      <c r="T270">
        <f t="shared" si="53"/>
        <v>4</v>
      </c>
      <c r="U270">
        <f t="shared" si="54"/>
        <v>38</v>
      </c>
      <c r="V270">
        <f t="shared" si="55"/>
        <v>2044</v>
      </c>
      <c r="W270">
        <f t="shared" si="56"/>
        <v>9</v>
      </c>
      <c r="X270">
        <f t="shared" si="57"/>
        <v>23</v>
      </c>
      <c r="Y270">
        <f t="shared" si="58"/>
        <v>3</v>
      </c>
      <c r="AE270" s="2" t="str" cm="1">
        <f t="array" ref="AE270">CONCATENATE($AE$2,Liste(S270:U270),";")</f>
        <v>INSERT INTO WD_Workdays (CalendarDay, CalendarWeekday, CalendarWeek) VALUES ('2044-09-23', 4, 38);</v>
      </c>
      <c r="AF270" s="2"/>
      <c r="AG270" s="2" t="str" cm="1">
        <f t="array" ref="AG270">CONCATENATE($AG$2,Liste(L270:O270),";")</f>
        <v>INSERT INTO WD_Holidays (CalendarDay, Donation, Share) VALUES ('2033-04-17', 'Ostersonntag', 100);</v>
      </c>
    </row>
    <row r="271" spans="11:33" x14ac:dyDescent="0.45">
      <c r="K271" s="10">
        <v>48687</v>
      </c>
      <c r="L271" t="str">
        <f t="shared" si="51"/>
        <v>'2033-04-18'</v>
      </c>
      <c r="M271" s="3" t="s">
        <v>557</v>
      </c>
      <c r="N271">
        <v>100</v>
      </c>
      <c r="R271" s="10">
        <f t="shared" si="59"/>
        <v>52864</v>
      </c>
      <c r="S271" t="str">
        <f t="shared" si="52"/>
        <v>'2044-09-24'</v>
      </c>
      <c r="T271">
        <f t="shared" si="53"/>
        <v>5</v>
      </c>
      <c r="U271">
        <f t="shared" si="54"/>
        <v>38</v>
      </c>
      <c r="V271">
        <f t="shared" si="55"/>
        <v>2044</v>
      </c>
      <c r="W271">
        <f t="shared" si="56"/>
        <v>9</v>
      </c>
      <c r="X271">
        <f t="shared" si="57"/>
        <v>24</v>
      </c>
      <c r="Y271">
        <f t="shared" si="58"/>
        <v>3</v>
      </c>
      <c r="AE271" s="2" t="str" cm="1">
        <f t="array" ref="AE271">CONCATENATE($AE$2,Liste(S271:U271),";")</f>
        <v>INSERT INTO WD_Workdays (CalendarDay, CalendarWeekday, CalendarWeek) VALUES ('2044-09-24', 5, 38);</v>
      </c>
      <c r="AF271" s="2"/>
      <c r="AG271" s="2" t="str" cm="1">
        <f t="array" ref="AG271">CONCATENATE($AG$2,Liste(L271:O271),";")</f>
        <v>INSERT INTO WD_Holidays (CalendarDay, Donation, Share) VALUES ('2033-04-18', 'Ostermontag', 100);</v>
      </c>
    </row>
    <row r="272" spans="11:33" x14ac:dyDescent="0.45">
      <c r="K272" s="10">
        <v>48700</v>
      </c>
      <c r="L272" t="str">
        <f t="shared" si="51"/>
        <v>'2033-05-01'</v>
      </c>
      <c r="M272" s="3" t="s">
        <v>558</v>
      </c>
      <c r="N272">
        <v>100</v>
      </c>
      <c r="R272" s="10">
        <f t="shared" si="59"/>
        <v>52865</v>
      </c>
      <c r="S272" t="str">
        <f t="shared" si="52"/>
        <v>'2044-09-25'</v>
      </c>
      <c r="T272">
        <f t="shared" si="53"/>
        <v>6</v>
      </c>
      <c r="U272">
        <f t="shared" si="54"/>
        <v>38</v>
      </c>
      <c r="V272">
        <f t="shared" si="55"/>
        <v>2044</v>
      </c>
      <c r="W272">
        <f t="shared" si="56"/>
        <v>9</v>
      </c>
      <c r="X272">
        <f t="shared" si="57"/>
        <v>25</v>
      </c>
      <c r="Y272">
        <f t="shared" si="58"/>
        <v>3</v>
      </c>
      <c r="AE272" s="2" t="str" cm="1">
        <f t="array" ref="AE272">CONCATENATE($AE$2,Liste(S272:U272),";")</f>
        <v>INSERT INTO WD_Workdays (CalendarDay, CalendarWeekday, CalendarWeek) VALUES ('2044-09-25', 6, 38);</v>
      </c>
      <c r="AF272" s="2"/>
      <c r="AG272" s="2" t="str" cm="1">
        <f t="array" ref="AG272">CONCATENATE($AG$2,Liste(L272:O272),";")</f>
        <v>INSERT INTO WD_Holidays (CalendarDay, Donation, Share) VALUES ('2033-05-01', 'Tag der Arbeit', 100);</v>
      </c>
    </row>
    <row r="273" spans="11:33" x14ac:dyDescent="0.45">
      <c r="K273" s="10">
        <v>48704</v>
      </c>
      <c r="L273" t="str">
        <f t="shared" si="51"/>
        <v>'2033-05-05'</v>
      </c>
      <c r="M273" s="3" t="s">
        <v>559</v>
      </c>
      <c r="N273">
        <v>100</v>
      </c>
      <c r="R273" s="10">
        <f t="shared" si="59"/>
        <v>52866</v>
      </c>
      <c r="S273" t="str">
        <f t="shared" si="52"/>
        <v>'2044-09-26'</v>
      </c>
      <c r="T273">
        <f t="shared" si="53"/>
        <v>0</v>
      </c>
      <c r="U273">
        <f t="shared" si="54"/>
        <v>39</v>
      </c>
      <c r="V273">
        <f t="shared" si="55"/>
        <v>2044</v>
      </c>
      <c r="W273">
        <f t="shared" si="56"/>
        <v>9</v>
      </c>
      <c r="X273">
        <f t="shared" si="57"/>
        <v>26</v>
      </c>
      <c r="Y273">
        <f t="shared" si="58"/>
        <v>3</v>
      </c>
      <c r="AE273" s="2" t="str" cm="1">
        <f t="array" ref="AE273">CONCATENATE($AE$2,Liste(S273:U273),";")</f>
        <v>INSERT INTO WD_Workdays (CalendarDay, CalendarWeekday, CalendarWeek) VALUES ('2044-09-26', 0, 39);</v>
      </c>
      <c r="AF273" s="2"/>
      <c r="AG273" s="2" t="str" cm="1">
        <f t="array" ref="AG273">CONCATENATE($AG$2,Liste(L273:O273),";")</f>
        <v>INSERT INTO WD_Holidays (CalendarDay, Donation, Share) VALUES ('2033-05-05', 'Christi Himmelfahrt', 100);</v>
      </c>
    </row>
    <row r="274" spans="11:33" x14ac:dyDescent="0.45">
      <c r="K274" s="10">
        <v>48714</v>
      </c>
      <c r="L274" t="str">
        <f t="shared" si="51"/>
        <v>'2033-05-15'</v>
      </c>
      <c r="M274" s="3" t="s">
        <v>779</v>
      </c>
      <c r="N274">
        <v>100</v>
      </c>
      <c r="R274" s="10">
        <f t="shared" si="59"/>
        <v>52867</v>
      </c>
      <c r="S274" t="str">
        <f t="shared" si="52"/>
        <v>'2044-09-27'</v>
      </c>
      <c r="T274">
        <f t="shared" si="53"/>
        <v>1</v>
      </c>
      <c r="U274">
        <f t="shared" si="54"/>
        <v>39</v>
      </c>
      <c r="V274">
        <f t="shared" si="55"/>
        <v>2044</v>
      </c>
      <c r="W274">
        <f t="shared" si="56"/>
        <v>9</v>
      </c>
      <c r="X274">
        <f t="shared" si="57"/>
        <v>27</v>
      </c>
      <c r="Y274">
        <f t="shared" si="58"/>
        <v>3</v>
      </c>
      <c r="AE274" s="2" t="str" cm="1">
        <f t="array" ref="AE274">CONCATENATE($AE$2,Liste(S274:U274),";")</f>
        <v>INSERT INTO WD_Workdays (CalendarDay, CalendarWeekday, CalendarWeek) VALUES ('2044-09-27', 1, 39);</v>
      </c>
      <c r="AF274" s="2"/>
      <c r="AG274" s="2" t="str" cm="1">
        <f t="array" ref="AG274">CONCATENATE($AG$2,Liste(L274:O274),";")</f>
        <v>INSERT INTO WD_Holidays (CalendarDay, Donation, Share) VALUES ('2033-05-15', 'Pfingstsonntag', 100);</v>
      </c>
    </row>
    <row r="275" spans="11:33" x14ac:dyDescent="0.45">
      <c r="K275" s="10">
        <v>48715</v>
      </c>
      <c r="L275" t="str">
        <f t="shared" si="51"/>
        <v>'2033-05-16'</v>
      </c>
      <c r="M275" s="3" t="s">
        <v>560</v>
      </c>
      <c r="N275">
        <v>100</v>
      </c>
      <c r="R275" s="10">
        <f t="shared" si="59"/>
        <v>52868</v>
      </c>
      <c r="S275" t="str">
        <f t="shared" si="52"/>
        <v>'2044-09-28'</v>
      </c>
      <c r="T275">
        <f t="shared" si="53"/>
        <v>2</v>
      </c>
      <c r="U275">
        <f t="shared" si="54"/>
        <v>39</v>
      </c>
      <c r="V275">
        <f t="shared" si="55"/>
        <v>2044</v>
      </c>
      <c r="W275">
        <f t="shared" si="56"/>
        <v>9</v>
      </c>
      <c r="X275">
        <f t="shared" si="57"/>
        <v>28</v>
      </c>
      <c r="Y275">
        <f t="shared" si="58"/>
        <v>3</v>
      </c>
      <c r="AE275" s="2" t="str" cm="1">
        <f t="array" ref="AE275">CONCATENATE($AE$2,Liste(S275:U275),";")</f>
        <v>INSERT INTO WD_Workdays (CalendarDay, CalendarWeekday, CalendarWeek) VALUES ('2044-09-28', 2, 39);</v>
      </c>
      <c r="AF275" s="2"/>
      <c r="AG275" s="2" t="str" cm="1">
        <f t="array" ref="AG275">CONCATENATE($AG$2,Liste(L275:O275),";")</f>
        <v>INSERT INTO WD_Holidays (CalendarDay, Donation, Share) VALUES ('2033-05-16', 'Pfingstmontag', 100);</v>
      </c>
    </row>
    <row r="276" spans="11:33" x14ac:dyDescent="0.45">
      <c r="K276" s="10">
        <v>48855</v>
      </c>
      <c r="L276" t="str">
        <f t="shared" si="51"/>
        <v>'2033-10-03'</v>
      </c>
      <c r="M276" s="3" t="s">
        <v>561</v>
      </c>
      <c r="N276">
        <v>100</v>
      </c>
      <c r="R276" s="10">
        <f t="shared" si="59"/>
        <v>52869</v>
      </c>
      <c r="S276" t="str">
        <f t="shared" si="52"/>
        <v>'2044-09-29'</v>
      </c>
      <c r="T276">
        <f t="shared" si="53"/>
        <v>3</v>
      </c>
      <c r="U276">
        <f t="shared" si="54"/>
        <v>39</v>
      </c>
      <c r="V276">
        <f t="shared" si="55"/>
        <v>2044</v>
      </c>
      <c r="W276">
        <f t="shared" si="56"/>
        <v>9</v>
      </c>
      <c r="X276">
        <f t="shared" si="57"/>
        <v>29</v>
      </c>
      <c r="Y276">
        <f t="shared" si="58"/>
        <v>3</v>
      </c>
      <c r="AE276" s="2" t="str" cm="1">
        <f t="array" ref="AE276">CONCATENATE($AE$2,Liste(S276:U276),";")</f>
        <v>INSERT INTO WD_Workdays (CalendarDay, CalendarWeekday, CalendarWeek) VALUES ('2044-09-29', 3, 39);</v>
      </c>
      <c r="AF276" s="2"/>
      <c r="AG276" s="2" t="str" cm="1">
        <f t="array" ref="AG276">CONCATENATE($AG$2,Liste(L276:O276),";")</f>
        <v>INSERT INTO WD_Holidays (CalendarDay, Donation, Share) VALUES ('2033-10-03', 'Tag der Deutschen Einheit', 100);</v>
      </c>
    </row>
    <row r="277" spans="11:33" x14ac:dyDescent="0.45">
      <c r="K277" s="10">
        <v>48937</v>
      </c>
      <c r="L277" t="str">
        <f t="shared" si="51"/>
        <v>'2033-12-24'</v>
      </c>
      <c r="M277" s="3" t="s">
        <v>562</v>
      </c>
      <c r="N277">
        <v>50</v>
      </c>
      <c r="R277" s="10">
        <f t="shared" si="59"/>
        <v>52870</v>
      </c>
      <c r="S277" t="str">
        <f t="shared" si="52"/>
        <v>'2044-09-30'</v>
      </c>
      <c r="T277">
        <f t="shared" si="53"/>
        <v>4</v>
      </c>
      <c r="U277">
        <f t="shared" si="54"/>
        <v>39</v>
      </c>
      <c r="V277">
        <f t="shared" si="55"/>
        <v>2044</v>
      </c>
      <c r="W277">
        <f t="shared" si="56"/>
        <v>9</v>
      </c>
      <c r="X277">
        <f t="shared" si="57"/>
        <v>30</v>
      </c>
      <c r="Y277">
        <f t="shared" si="58"/>
        <v>3</v>
      </c>
      <c r="AE277" s="2" t="str" cm="1">
        <f t="array" ref="AE277">CONCATENATE($AE$2,Liste(S277:U277),";")</f>
        <v>INSERT INTO WD_Workdays (CalendarDay, CalendarWeekday, CalendarWeek) VALUES ('2044-09-30', 4, 39);</v>
      </c>
      <c r="AF277" s="2"/>
      <c r="AG277" s="2" t="str" cm="1">
        <f t="array" ref="AG277">CONCATENATE($AG$2,Liste(L277:O277),";")</f>
        <v>INSERT INTO WD_Holidays (CalendarDay, Donation, Share) VALUES ('2033-12-24', 'Heiligabend', 50);</v>
      </c>
    </row>
    <row r="278" spans="11:33" x14ac:dyDescent="0.45">
      <c r="K278" s="10">
        <v>48938</v>
      </c>
      <c r="L278" t="str">
        <f t="shared" si="51"/>
        <v>'2033-12-25'</v>
      </c>
      <c r="M278" s="3" t="s">
        <v>563</v>
      </c>
      <c r="N278">
        <v>100</v>
      </c>
      <c r="R278" s="10">
        <f t="shared" si="59"/>
        <v>52871</v>
      </c>
      <c r="S278" t="str">
        <f t="shared" si="52"/>
        <v>'2044-10-01'</v>
      </c>
      <c r="T278">
        <f t="shared" si="53"/>
        <v>5</v>
      </c>
      <c r="U278">
        <f t="shared" si="54"/>
        <v>39</v>
      </c>
      <c r="V278">
        <f t="shared" si="55"/>
        <v>2044</v>
      </c>
      <c r="W278">
        <f t="shared" si="56"/>
        <v>10</v>
      </c>
      <c r="X278">
        <f t="shared" si="57"/>
        <v>1</v>
      </c>
      <c r="Y278">
        <f t="shared" si="58"/>
        <v>3</v>
      </c>
      <c r="AE278" s="2" t="str" cm="1">
        <f t="array" ref="AE278">CONCATENATE($AE$2,Liste(S278:U278),";")</f>
        <v>INSERT INTO WD_Workdays (CalendarDay, CalendarWeekday, CalendarWeek) VALUES ('2044-10-01', 5, 39);</v>
      </c>
      <c r="AF278" s="2"/>
      <c r="AG278" s="2" t="str" cm="1">
        <f t="array" ref="AG278">CONCATENATE($AG$2,Liste(L278:O278),";")</f>
        <v>INSERT INTO WD_Holidays (CalendarDay, Donation, Share) VALUES ('2033-12-25', '1. Weihnachtsfeiertag', 100);</v>
      </c>
    </row>
    <row r="279" spans="11:33" x14ac:dyDescent="0.45">
      <c r="K279" s="10">
        <v>48939</v>
      </c>
      <c r="L279" t="str">
        <f t="shared" si="51"/>
        <v>'2033-12-26'</v>
      </c>
      <c r="M279" s="3" t="s">
        <v>564</v>
      </c>
      <c r="N279">
        <v>100</v>
      </c>
      <c r="R279" s="10">
        <f t="shared" si="59"/>
        <v>52872</v>
      </c>
      <c r="S279" t="str">
        <f t="shared" si="52"/>
        <v>'2044-10-02'</v>
      </c>
      <c r="T279">
        <f t="shared" si="53"/>
        <v>6</v>
      </c>
      <c r="U279">
        <f t="shared" si="54"/>
        <v>39</v>
      </c>
      <c r="V279">
        <f t="shared" si="55"/>
        <v>2044</v>
      </c>
      <c r="W279">
        <f t="shared" si="56"/>
        <v>10</v>
      </c>
      <c r="X279">
        <f t="shared" si="57"/>
        <v>2</v>
      </c>
      <c r="Y279">
        <f t="shared" si="58"/>
        <v>3</v>
      </c>
      <c r="AE279" s="2" t="str" cm="1">
        <f t="array" ref="AE279">CONCATENATE($AE$2,Liste(S279:U279),";")</f>
        <v>INSERT INTO WD_Workdays (CalendarDay, CalendarWeekday, CalendarWeek) VALUES ('2044-10-02', 6, 39);</v>
      </c>
      <c r="AF279" s="2"/>
      <c r="AG279" s="2" t="str" cm="1">
        <f t="array" ref="AG279">CONCATENATE($AG$2,Liste(L279:O279),";")</f>
        <v>INSERT INTO WD_Holidays (CalendarDay, Donation, Share) VALUES ('2033-12-26', '2. Weihnachtsfeiertag', 100);</v>
      </c>
    </row>
    <row r="280" spans="11:33" x14ac:dyDescent="0.45">
      <c r="K280" s="10">
        <v>48944</v>
      </c>
      <c r="L280" t="str">
        <f t="shared" si="51"/>
        <v>'2033-12-31'</v>
      </c>
      <c r="M280" s="3" t="s">
        <v>565</v>
      </c>
      <c r="N280">
        <v>50</v>
      </c>
      <c r="R280" s="10">
        <f t="shared" si="59"/>
        <v>52873</v>
      </c>
      <c r="S280" t="str">
        <f t="shared" si="52"/>
        <v>'2044-10-03'</v>
      </c>
      <c r="T280">
        <f t="shared" si="53"/>
        <v>0</v>
      </c>
      <c r="U280">
        <f t="shared" si="54"/>
        <v>40</v>
      </c>
      <c r="V280">
        <f t="shared" si="55"/>
        <v>2044</v>
      </c>
      <c r="W280">
        <f t="shared" si="56"/>
        <v>10</v>
      </c>
      <c r="X280">
        <f t="shared" si="57"/>
        <v>3</v>
      </c>
      <c r="Y280">
        <f t="shared" si="58"/>
        <v>3</v>
      </c>
      <c r="AE280" s="2" t="str" cm="1">
        <f t="array" ref="AE280">CONCATENATE($AE$2,Liste(S280:U280),";")</f>
        <v>INSERT INTO WD_Workdays (CalendarDay, CalendarWeekday, CalendarWeek) VALUES ('2044-10-03', 0, 40);</v>
      </c>
      <c r="AF280" s="2"/>
      <c r="AG280" s="2" t="str" cm="1">
        <f t="array" ref="AG280">CONCATENATE($AG$2,Liste(L280:O280),";")</f>
        <v>INSERT INTO WD_Holidays (CalendarDay, Donation, Share) VALUES ('2033-12-31', 'Silvester', 50);</v>
      </c>
    </row>
    <row r="281" spans="11:33" x14ac:dyDescent="0.45">
      <c r="K281" s="10">
        <v>48945</v>
      </c>
      <c r="L281" t="str">
        <f t="shared" si="51"/>
        <v>'2034-01-01'</v>
      </c>
      <c r="M281" s="3" t="s">
        <v>481</v>
      </c>
      <c r="N281">
        <v>100</v>
      </c>
      <c r="R281" s="10">
        <f t="shared" si="59"/>
        <v>52874</v>
      </c>
      <c r="S281" t="str">
        <f t="shared" si="52"/>
        <v>'2044-10-04'</v>
      </c>
      <c r="T281">
        <f t="shared" si="53"/>
        <v>1</v>
      </c>
      <c r="U281">
        <f t="shared" si="54"/>
        <v>40</v>
      </c>
      <c r="V281">
        <f t="shared" si="55"/>
        <v>2044</v>
      </c>
      <c r="W281">
        <f t="shared" si="56"/>
        <v>10</v>
      </c>
      <c r="X281">
        <f t="shared" si="57"/>
        <v>4</v>
      </c>
      <c r="Y281">
        <f t="shared" si="58"/>
        <v>3</v>
      </c>
      <c r="AE281" s="2" t="str" cm="1">
        <f t="array" ref="AE281">CONCATENATE($AE$2,Liste(S281:U281),";")</f>
        <v>INSERT INTO WD_Workdays (CalendarDay, CalendarWeekday, CalendarWeek) VALUES ('2044-10-04', 1, 40);</v>
      </c>
      <c r="AF281" s="2"/>
      <c r="AG281" s="2" t="str" cm="1">
        <f t="array" ref="AG281">CONCATENATE($AG$2,Liste(L281:O281),";")</f>
        <v>INSERT INTO WD_Holidays (CalendarDay, Donation, Share) VALUES ('2034-01-01', 'Neujahr', 100);</v>
      </c>
    </row>
    <row r="282" spans="11:33" x14ac:dyDescent="0.45">
      <c r="K282" s="10">
        <v>49011</v>
      </c>
      <c r="L282" t="str">
        <f t="shared" si="51"/>
        <v>'2034-03-08'</v>
      </c>
      <c r="M282" s="3" t="s">
        <v>554</v>
      </c>
      <c r="N282">
        <v>100</v>
      </c>
      <c r="R282" s="10">
        <f t="shared" si="59"/>
        <v>52875</v>
      </c>
      <c r="S282" t="str">
        <f t="shared" si="52"/>
        <v>'2044-10-05'</v>
      </c>
      <c r="T282">
        <f t="shared" si="53"/>
        <v>2</v>
      </c>
      <c r="U282">
        <f t="shared" si="54"/>
        <v>40</v>
      </c>
      <c r="V282">
        <f t="shared" si="55"/>
        <v>2044</v>
      </c>
      <c r="W282">
        <f t="shared" si="56"/>
        <v>10</v>
      </c>
      <c r="X282">
        <f t="shared" si="57"/>
        <v>5</v>
      </c>
      <c r="Y282">
        <f t="shared" si="58"/>
        <v>3</v>
      </c>
      <c r="AE282" s="2" t="str" cm="1">
        <f t="array" ref="AE282">CONCATENATE($AE$2,Liste(S282:U282),";")</f>
        <v>INSERT INTO WD_Workdays (CalendarDay, CalendarWeekday, CalendarWeek) VALUES ('2044-10-05', 2, 40);</v>
      </c>
      <c r="AF282" s="2"/>
      <c r="AG282" s="2" t="str" cm="1">
        <f t="array" ref="AG282">CONCATENATE($AG$2,Liste(L282:O282),";")</f>
        <v>INSERT INTO WD_Holidays (CalendarDay, Donation, Share) VALUES ('2034-03-08', 'Internationaler Frauentag', 100);</v>
      </c>
    </row>
    <row r="283" spans="11:33" x14ac:dyDescent="0.45">
      <c r="K283" s="10">
        <v>49041</v>
      </c>
      <c r="L283" t="str">
        <f t="shared" si="51"/>
        <v>'2034-04-07'</v>
      </c>
      <c r="M283" s="3" t="s">
        <v>555</v>
      </c>
      <c r="N283">
        <v>100</v>
      </c>
      <c r="R283" s="10">
        <f t="shared" si="59"/>
        <v>52876</v>
      </c>
      <c r="S283" t="str">
        <f t="shared" si="52"/>
        <v>'2044-10-06'</v>
      </c>
      <c r="T283">
        <f t="shared" si="53"/>
        <v>3</v>
      </c>
      <c r="U283">
        <f t="shared" si="54"/>
        <v>40</v>
      </c>
      <c r="V283">
        <f t="shared" si="55"/>
        <v>2044</v>
      </c>
      <c r="W283">
        <f t="shared" si="56"/>
        <v>10</v>
      </c>
      <c r="X283">
        <f t="shared" si="57"/>
        <v>6</v>
      </c>
      <c r="Y283">
        <f t="shared" si="58"/>
        <v>3</v>
      </c>
      <c r="AE283" s="2" t="str" cm="1">
        <f t="array" ref="AE283">CONCATENATE($AE$2,Liste(S283:U283),";")</f>
        <v>INSERT INTO WD_Workdays (CalendarDay, CalendarWeekday, CalendarWeek) VALUES ('2044-10-06', 3, 40);</v>
      </c>
      <c r="AF283" s="2"/>
      <c r="AG283" s="2" t="str" cm="1">
        <f t="array" ref="AG283">CONCATENATE($AG$2,Liste(L283:O283),";")</f>
        <v>INSERT INTO WD_Holidays (CalendarDay, Donation, Share) VALUES ('2034-04-07', 'Karfreitag', 100);</v>
      </c>
    </row>
    <row r="284" spans="11:33" x14ac:dyDescent="0.45">
      <c r="K284" s="10">
        <v>49043</v>
      </c>
      <c r="L284" t="str">
        <f t="shared" si="51"/>
        <v>'2034-04-09'</v>
      </c>
      <c r="M284" s="3" t="s">
        <v>556</v>
      </c>
      <c r="N284">
        <v>100</v>
      </c>
      <c r="R284" s="10">
        <f t="shared" si="59"/>
        <v>52877</v>
      </c>
      <c r="S284" t="str">
        <f t="shared" si="52"/>
        <v>'2044-10-07'</v>
      </c>
      <c r="T284">
        <f t="shared" si="53"/>
        <v>4</v>
      </c>
      <c r="U284">
        <f t="shared" si="54"/>
        <v>40</v>
      </c>
      <c r="V284">
        <f t="shared" si="55"/>
        <v>2044</v>
      </c>
      <c r="W284">
        <f t="shared" si="56"/>
        <v>10</v>
      </c>
      <c r="X284">
        <f t="shared" si="57"/>
        <v>7</v>
      </c>
      <c r="Y284">
        <f t="shared" si="58"/>
        <v>3</v>
      </c>
      <c r="AE284" s="2" t="str" cm="1">
        <f t="array" ref="AE284">CONCATENATE($AE$2,Liste(S284:U284),";")</f>
        <v>INSERT INTO WD_Workdays (CalendarDay, CalendarWeekday, CalendarWeek) VALUES ('2044-10-07', 4, 40);</v>
      </c>
      <c r="AF284" s="2"/>
      <c r="AG284" s="2" t="str" cm="1">
        <f t="array" ref="AG284">CONCATENATE($AG$2,Liste(L284:O284),";")</f>
        <v>INSERT INTO WD_Holidays (CalendarDay, Donation, Share) VALUES ('2034-04-09', 'Ostersonntag', 100);</v>
      </c>
    </row>
    <row r="285" spans="11:33" x14ac:dyDescent="0.45">
      <c r="K285" s="10">
        <v>49044</v>
      </c>
      <c r="L285" t="str">
        <f t="shared" si="51"/>
        <v>'2034-04-10'</v>
      </c>
      <c r="M285" s="3" t="s">
        <v>557</v>
      </c>
      <c r="N285">
        <v>100</v>
      </c>
      <c r="R285" s="10">
        <f t="shared" si="59"/>
        <v>52878</v>
      </c>
      <c r="S285" t="str">
        <f t="shared" si="52"/>
        <v>'2044-10-08'</v>
      </c>
      <c r="T285">
        <f t="shared" si="53"/>
        <v>5</v>
      </c>
      <c r="U285">
        <f t="shared" si="54"/>
        <v>40</v>
      </c>
      <c r="V285">
        <f t="shared" si="55"/>
        <v>2044</v>
      </c>
      <c r="W285">
        <f t="shared" si="56"/>
        <v>10</v>
      </c>
      <c r="X285">
        <f t="shared" si="57"/>
        <v>8</v>
      </c>
      <c r="Y285">
        <f t="shared" si="58"/>
        <v>3</v>
      </c>
      <c r="AE285" s="2" t="str" cm="1">
        <f t="array" ref="AE285">CONCATENATE($AE$2,Liste(S285:U285),";")</f>
        <v>INSERT INTO WD_Workdays (CalendarDay, CalendarWeekday, CalendarWeek) VALUES ('2044-10-08', 5, 40);</v>
      </c>
      <c r="AF285" s="2"/>
      <c r="AG285" s="2" t="str" cm="1">
        <f t="array" ref="AG285">CONCATENATE($AG$2,Liste(L285:O285),";")</f>
        <v>INSERT INTO WD_Holidays (CalendarDay, Donation, Share) VALUES ('2034-04-10', 'Ostermontag', 100);</v>
      </c>
    </row>
    <row r="286" spans="11:33" x14ac:dyDescent="0.45">
      <c r="K286" s="10">
        <v>49065</v>
      </c>
      <c r="L286" t="str">
        <f t="shared" si="51"/>
        <v>'2034-05-01'</v>
      </c>
      <c r="M286" s="3" t="s">
        <v>558</v>
      </c>
      <c r="N286">
        <v>100</v>
      </c>
      <c r="R286" s="10">
        <f t="shared" si="59"/>
        <v>52879</v>
      </c>
      <c r="S286" t="str">
        <f t="shared" si="52"/>
        <v>'2044-10-09'</v>
      </c>
      <c r="T286">
        <f t="shared" si="53"/>
        <v>6</v>
      </c>
      <c r="U286">
        <f t="shared" si="54"/>
        <v>40</v>
      </c>
      <c r="V286">
        <f t="shared" si="55"/>
        <v>2044</v>
      </c>
      <c r="W286">
        <f t="shared" si="56"/>
        <v>10</v>
      </c>
      <c r="X286">
        <f t="shared" si="57"/>
        <v>9</v>
      </c>
      <c r="Y286">
        <f t="shared" si="58"/>
        <v>3</v>
      </c>
      <c r="AE286" s="2" t="str" cm="1">
        <f t="array" ref="AE286">CONCATENATE($AE$2,Liste(S286:U286),";")</f>
        <v>INSERT INTO WD_Workdays (CalendarDay, CalendarWeekday, CalendarWeek) VALUES ('2044-10-09', 6, 40);</v>
      </c>
      <c r="AF286" s="2"/>
      <c r="AG286" s="2" t="str" cm="1">
        <f t="array" ref="AG286">CONCATENATE($AG$2,Liste(L286:O286),";")</f>
        <v>INSERT INTO WD_Holidays (CalendarDay, Donation, Share) VALUES ('2034-05-01', 'Tag der Arbeit', 100);</v>
      </c>
    </row>
    <row r="287" spans="11:33" x14ac:dyDescent="0.45">
      <c r="K287" s="10">
        <v>49089</v>
      </c>
      <c r="L287" t="str">
        <f t="shared" si="51"/>
        <v>'2034-05-25'</v>
      </c>
      <c r="M287" s="3" t="s">
        <v>559</v>
      </c>
      <c r="N287">
        <v>100</v>
      </c>
      <c r="R287" s="10">
        <f t="shared" si="59"/>
        <v>52880</v>
      </c>
      <c r="S287" t="str">
        <f t="shared" si="52"/>
        <v>'2044-10-10'</v>
      </c>
      <c r="T287">
        <f t="shared" si="53"/>
        <v>0</v>
      </c>
      <c r="U287">
        <f t="shared" si="54"/>
        <v>41</v>
      </c>
      <c r="V287">
        <f t="shared" si="55"/>
        <v>2044</v>
      </c>
      <c r="W287">
        <f t="shared" si="56"/>
        <v>10</v>
      </c>
      <c r="X287">
        <f t="shared" si="57"/>
        <v>10</v>
      </c>
      <c r="Y287">
        <f t="shared" si="58"/>
        <v>3</v>
      </c>
      <c r="AE287" s="2" t="str" cm="1">
        <f t="array" ref="AE287">CONCATENATE($AE$2,Liste(S287:U287),";")</f>
        <v>INSERT INTO WD_Workdays (CalendarDay, CalendarWeekday, CalendarWeek) VALUES ('2044-10-10', 0, 41);</v>
      </c>
      <c r="AF287" s="2"/>
      <c r="AG287" s="2" t="str" cm="1">
        <f t="array" ref="AG287">CONCATENATE($AG$2,Liste(L287:O287),";")</f>
        <v>INSERT INTO WD_Holidays (CalendarDay, Donation, Share) VALUES ('2034-05-25', 'Christi Himmelfahrt', 100);</v>
      </c>
    </row>
    <row r="288" spans="11:33" x14ac:dyDescent="0.45">
      <c r="K288" s="10">
        <v>49099</v>
      </c>
      <c r="L288" t="str">
        <f t="shared" si="51"/>
        <v>'2034-06-04'</v>
      </c>
      <c r="M288" s="3" t="s">
        <v>779</v>
      </c>
      <c r="N288">
        <v>100</v>
      </c>
      <c r="R288" s="10">
        <f t="shared" si="59"/>
        <v>52881</v>
      </c>
      <c r="S288" t="str">
        <f t="shared" si="52"/>
        <v>'2044-10-11'</v>
      </c>
      <c r="T288">
        <f t="shared" si="53"/>
        <v>1</v>
      </c>
      <c r="U288">
        <f t="shared" si="54"/>
        <v>41</v>
      </c>
      <c r="V288">
        <f t="shared" si="55"/>
        <v>2044</v>
      </c>
      <c r="W288">
        <f t="shared" si="56"/>
        <v>10</v>
      </c>
      <c r="X288">
        <f t="shared" si="57"/>
        <v>11</v>
      </c>
      <c r="Y288">
        <f t="shared" si="58"/>
        <v>3</v>
      </c>
      <c r="AE288" s="2" t="str" cm="1">
        <f t="array" ref="AE288">CONCATENATE($AE$2,Liste(S288:U288),";")</f>
        <v>INSERT INTO WD_Workdays (CalendarDay, CalendarWeekday, CalendarWeek) VALUES ('2044-10-11', 1, 41);</v>
      </c>
      <c r="AF288" s="2"/>
      <c r="AG288" s="2" t="str" cm="1">
        <f t="array" ref="AG288">CONCATENATE($AG$2,Liste(L288:O288),";")</f>
        <v>INSERT INTO WD_Holidays (CalendarDay, Donation, Share) VALUES ('2034-06-04', 'Pfingstsonntag', 100);</v>
      </c>
    </row>
    <row r="289" spans="11:33" x14ac:dyDescent="0.45">
      <c r="K289" s="10">
        <v>49100</v>
      </c>
      <c r="L289" t="str">
        <f t="shared" si="51"/>
        <v>'2034-06-05'</v>
      </c>
      <c r="M289" s="3" t="s">
        <v>560</v>
      </c>
      <c r="N289">
        <v>100</v>
      </c>
      <c r="R289" s="10">
        <f t="shared" si="59"/>
        <v>52882</v>
      </c>
      <c r="S289" t="str">
        <f t="shared" si="52"/>
        <v>'2044-10-12'</v>
      </c>
      <c r="T289">
        <f t="shared" si="53"/>
        <v>2</v>
      </c>
      <c r="U289">
        <f t="shared" si="54"/>
        <v>41</v>
      </c>
      <c r="V289">
        <f t="shared" si="55"/>
        <v>2044</v>
      </c>
      <c r="W289">
        <f t="shared" si="56"/>
        <v>10</v>
      </c>
      <c r="X289">
        <f t="shared" si="57"/>
        <v>12</v>
      </c>
      <c r="Y289">
        <f t="shared" si="58"/>
        <v>3</v>
      </c>
      <c r="AE289" s="2" t="str" cm="1">
        <f t="array" ref="AE289">CONCATENATE($AE$2,Liste(S289:U289),";")</f>
        <v>INSERT INTO WD_Workdays (CalendarDay, CalendarWeekday, CalendarWeek) VALUES ('2044-10-12', 2, 41);</v>
      </c>
      <c r="AF289" s="2"/>
      <c r="AG289" s="2" t="str" cm="1">
        <f t="array" ref="AG289">CONCATENATE($AG$2,Liste(L289:O289),";")</f>
        <v>INSERT INTO WD_Holidays (CalendarDay, Donation, Share) VALUES ('2034-06-05', 'Pfingstmontag', 100);</v>
      </c>
    </row>
    <row r="290" spans="11:33" x14ac:dyDescent="0.45">
      <c r="K290" s="10">
        <v>49220</v>
      </c>
      <c r="L290" t="str">
        <f t="shared" si="51"/>
        <v>'2034-10-03'</v>
      </c>
      <c r="M290" s="3" t="s">
        <v>561</v>
      </c>
      <c r="N290">
        <v>100</v>
      </c>
      <c r="R290" s="10">
        <f t="shared" si="59"/>
        <v>52883</v>
      </c>
      <c r="S290" t="str">
        <f t="shared" si="52"/>
        <v>'2044-10-13'</v>
      </c>
      <c r="T290">
        <f t="shared" si="53"/>
        <v>3</v>
      </c>
      <c r="U290">
        <f t="shared" si="54"/>
        <v>41</v>
      </c>
      <c r="V290">
        <f t="shared" si="55"/>
        <v>2044</v>
      </c>
      <c r="W290">
        <f t="shared" si="56"/>
        <v>10</v>
      </c>
      <c r="X290">
        <f t="shared" si="57"/>
        <v>13</v>
      </c>
      <c r="Y290">
        <f t="shared" si="58"/>
        <v>3</v>
      </c>
      <c r="AE290" s="2" t="str" cm="1">
        <f t="array" ref="AE290">CONCATENATE($AE$2,Liste(S290:U290),";")</f>
        <v>INSERT INTO WD_Workdays (CalendarDay, CalendarWeekday, CalendarWeek) VALUES ('2044-10-13', 3, 41);</v>
      </c>
      <c r="AF290" s="2"/>
      <c r="AG290" s="2" t="str" cm="1">
        <f t="array" ref="AG290">CONCATENATE($AG$2,Liste(L290:O290),";")</f>
        <v>INSERT INTO WD_Holidays (CalendarDay, Donation, Share) VALUES ('2034-10-03', 'Tag der Deutschen Einheit', 100);</v>
      </c>
    </row>
    <row r="291" spans="11:33" x14ac:dyDescent="0.45">
      <c r="K291" s="10">
        <v>49302</v>
      </c>
      <c r="L291" t="str">
        <f t="shared" si="51"/>
        <v>'2034-12-24'</v>
      </c>
      <c r="M291" s="3" t="s">
        <v>562</v>
      </c>
      <c r="N291">
        <v>50</v>
      </c>
      <c r="R291" s="10">
        <f t="shared" si="59"/>
        <v>52884</v>
      </c>
      <c r="S291" t="str">
        <f t="shared" si="52"/>
        <v>'2044-10-14'</v>
      </c>
      <c r="T291">
        <f t="shared" si="53"/>
        <v>4</v>
      </c>
      <c r="U291">
        <f t="shared" si="54"/>
        <v>41</v>
      </c>
      <c r="V291">
        <f t="shared" si="55"/>
        <v>2044</v>
      </c>
      <c r="W291">
        <f t="shared" si="56"/>
        <v>10</v>
      </c>
      <c r="X291">
        <f t="shared" si="57"/>
        <v>14</v>
      </c>
      <c r="Y291">
        <f t="shared" si="58"/>
        <v>3</v>
      </c>
      <c r="AE291" s="2" t="str" cm="1">
        <f t="array" ref="AE291">CONCATENATE($AE$2,Liste(S291:U291),";")</f>
        <v>INSERT INTO WD_Workdays (CalendarDay, CalendarWeekday, CalendarWeek) VALUES ('2044-10-14', 4, 41);</v>
      </c>
      <c r="AF291" s="2"/>
      <c r="AG291" s="2" t="str" cm="1">
        <f t="array" ref="AG291">CONCATENATE($AG$2,Liste(L291:O291),";")</f>
        <v>INSERT INTO WD_Holidays (CalendarDay, Donation, Share) VALUES ('2034-12-24', 'Heiligabend', 50);</v>
      </c>
    </row>
    <row r="292" spans="11:33" x14ac:dyDescent="0.45">
      <c r="K292" s="10">
        <v>49303</v>
      </c>
      <c r="L292" t="str">
        <f t="shared" si="51"/>
        <v>'2034-12-25'</v>
      </c>
      <c r="M292" s="3" t="s">
        <v>563</v>
      </c>
      <c r="N292">
        <v>100</v>
      </c>
      <c r="R292" s="10">
        <f t="shared" si="59"/>
        <v>52885</v>
      </c>
      <c r="S292" t="str">
        <f t="shared" si="52"/>
        <v>'2044-10-15'</v>
      </c>
      <c r="T292">
        <f t="shared" si="53"/>
        <v>5</v>
      </c>
      <c r="U292">
        <f t="shared" si="54"/>
        <v>41</v>
      </c>
      <c r="V292">
        <f t="shared" si="55"/>
        <v>2044</v>
      </c>
      <c r="W292">
        <f t="shared" si="56"/>
        <v>10</v>
      </c>
      <c r="X292">
        <f t="shared" si="57"/>
        <v>15</v>
      </c>
      <c r="Y292">
        <f t="shared" si="58"/>
        <v>3</v>
      </c>
      <c r="AE292" s="2" t="str" cm="1">
        <f t="array" ref="AE292">CONCATENATE($AE$2,Liste(S292:U292),";")</f>
        <v>INSERT INTO WD_Workdays (CalendarDay, CalendarWeekday, CalendarWeek) VALUES ('2044-10-15', 5, 41);</v>
      </c>
      <c r="AF292" s="2"/>
      <c r="AG292" s="2" t="str" cm="1">
        <f t="array" ref="AG292">CONCATENATE($AG$2,Liste(L292:O292),";")</f>
        <v>INSERT INTO WD_Holidays (CalendarDay, Donation, Share) VALUES ('2034-12-25', '1. Weihnachtsfeiertag', 100);</v>
      </c>
    </row>
    <row r="293" spans="11:33" x14ac:dyDescent="0.45">
      <c r="K293" s="10">
        <v>49304</v>
      </c>
      <c r="L293" t="str">
        <f t="shared" si="51"/>
        <v>'2034-12-26'</v>
      </c>
      <c r="M293" s="3" t="s">
        <v>564</v>
      </c>
      <c r="N293">
        <v>100</v>
      </c>
      <c r="R293" s="10">
        <f t="shared" si="59"/>
        <v>52886</v>
      </c>
      <c r="S293" t="str">
        <f t="shared" si="52"/>
        <v>'2044-10-16'</v>
      </c>
      <c r="T293">
        <f t="shared" si="53"/>
        <v>6</v>
      </c>
      <c r="U293">
        <f t="shared" si="54"/>
        <v>41</v>
      </c>
      <c r="V293">
        <f t="shared" si="55"/>
        <v>2044</v>
      </c>
      <c r="W293">
        <f t="shared" si="56"/>
        <v>10</v>
      </c>
      <c r="X293">
        <f t="shared" si="57"/>
        <v>16</v>
      </c>
      <c r="Y293">
        <f t="shared" si="58"/>
        <v>3</v>
      </c>
      <c r="AE293" s="2" t="str" cm="1">
        <f t="array" ref="AE293">CONCATENATE($AE$2,Liste(S293:U293),";")</f>
        <v>INSERT INTO WD_Workdays (CalendarDay, CalendarWeekday, CalendarWeek) VALUES ('2044-10-16', 6, 41);</v>
      </c>
      <c r="AF293" s="2"/>
      <c r="AG293" s="2" t="str" cm="1">
        <f t="array" ref="AG293">CONCATENATE($AG$2,Liste(L293:O293),";")</f>
        <v>INSERT INTO WD_Holidays (CalendarDay, Donation, Share) VALUES ('2034-12-26', '2. Weihnachtsfeiertag', 100);</v>
      </c>
    </row>
    <row r="294" spans="11:33" x14ac:dyDescent="0.45">
      <c r="K294" s="10">
        <v>49309</v>
      </c>
      <c r="L294" t="str">
        <f t="shared" si="51"/>
        <v>'2034-12-31'</v>
      </c>
      <c r="M294" s="3" t="s">
        <v>565</v>
      </c>
      <c r="N294">
        <v>50</v>
      </c>
      <c r="R294" s="10">
        <f t="shared" si="59"/>
        <v>52887</v>
      </c>
      <c r="S294" t="str">
        <f t="shared" si="52"/>
        <v>'2044-10-17'</v>
      </c>
      <c r="T294">
        <f t="shared" si="53"/>
        <v>0</v>
      </c>
      <c r="U294">
        <f t="shared" si="54"/>
        <v>42</v>
      </c>
      <c r="V294">
        <f t="shared" si="55"/>
        <v>2044</v>
      </c>
      <c r="W294">
        <f t="shared" si="56"/>
        <v>10</v>
      </c>
      <c r="X294">
        <f t="shared" si="57"/>
        <v>17</v>
      </c>
      <c r="Y294">
        <f t="shared" si="58"/>
        <v>3</v>
      </c>
      <c r="AE294" s="2" t="str" cm="1">
        <f t="array" ref="AE294">CONCATENATE($AE$2,Liste(S294:U294),";")</f>
        <v>INSERT INTO WD_Workdays (CalendarDay, CalendarWeekday, CalendarWeek) VALUES ('2044-10-17', 0, 42);</v>
      </c>
      <c r="AF294" s="2"/>
      <c r="AG294" s="2" t="str" cm="1">
        <f t="array" ref="AG294">CONCATENATE($AG$2,Liste(L294:O294),";")</f>
        <v>INSERT INTO WD_Holidays (CalendarDay, Donation, Share) VALUES ('2034-12-31', 'Silvester', 50);</v>
      </c>
    </row>
    <row r="295" spans="11:33" x14ac:dyDescent="0.45">
      <c r="K295" s="10">
        <v>49310</v>
      </c>
      <c r="L295" t="str">
        <f t="shared" si="51"/>
        <v>'2035-01-01'</v>
      </c>
      <c r="M295" s="3" t="s">
        <v>481</v>
      </c>
      <c r="N295">
        <v>100</v>
      </c>
      <c r="R295" s="10">
        <f t="shared" si="59"/>
        <v>52888</v>
      </c>
      <c r="S295" t="str">
        <f t="shared" si="52"/>
        <v>'2044-10-18'</v>
      </c>
      <c r="T295">
        <f t="shared" si="53"/>
        <v>1</v>
      </c>
      <c r="U295">
        <f t="shared" si="54"/>
        <v>42</v>
      </c>
      <c r="V295">
        <f t="shared" si="55"/>
        <v>2044</v>
      </c>
      <c r="W295">
        <f t="shared" si="56"/>
        <v>10</v>
      </c>
      <c r="X295">
        <f t="shared" si="57"/>
        <v>18</v>
      </c>
      <c r="Y295">
        <f t="shared" si="58"/>
        <v>3</v>
      </c>
      <c r="AE295" s="2" t="str" cm="1">
        <f t="array" ref="AE295">CONCATENATE($AE$2,Liste(S295:U295),";")</f>
        <v>INSERT INTO WD_Workdays (CalendarDay, CalendarWeekday, CalendarWeek) VALUES ('2044-10-18', 1, 42);</v>
      </c>
      <c r="AF295" s="2"/>
      <c r="AG295" s="2" t="str" cm="1">
        <f t="array" ref="AG295">CONCATENATE($AG$2,Liste(L295:O295),";")</f>
        <v>INSERT INTO WD_Holidays (CalendarDay, Donation, Share) VALUES ('2035-01-01', 'Neujahr', 100);</v>
      </c>
    </row>
    <row r="296" spans="11:33" x14ac:dyDescent="0.45">
      <c r="K296" s="10">
        <v>49376</v>
      </c>
      <c r="L296" t="str">
        <f t="shared" si="51"/>
        <v>'2035-03-08'</v>
      </c>
      <c r="M296" s="3" t="s">
        <v>554</v>
      </c>
      <c r="N296">
        <v>100</v>
      </c>
      <c r="R296" s="10">
        <f t="shared" si="59"/>
        <v>52889</v>
      </c>
      <c r="S296" t="str">
        <f t="shared" si="52"/>
        <v>'2044-10-19'</v>
      </c>
      <c r="T296">
        <f t="shared" si="53"/>
        <v>2</v>
      </c>
      <c r="U296">
        <f t="shared" si="54"/>
        <v>42</v>
      </c>
      <c r="V296">
        <f t="shared" si="55"/>
        <v>2044</v>
      </c>
      <c r="W296">
        <f t="shared" si="56"/>
        <v>10</v>
      </c>
      <c r="X296">
        <f t="shared" si="57"/>
        <v>19</v>
      </c>
      <c r="Y296">
        <f t="shared" si="58"/>
        <v>3</v>
      </c>
      <c r="AE296" s="2" t="str" cm="1">
        <f t="array" ref="AE296">CONCATENATE($AE$2,Liste(S296:U296),";")</f>
        <v>INSERT INTO WD_Workdays (CalendarDay, CalendarWeekday, CalendarWeek) VALUES ('2044-10-19', 2, 42);</v>
      </c>
      <c r="AF296" s="2"/>
      <c r="AG296" s="2" t="str" cm="1">
        <f t="array" ref="AG296">CONCATENATE($AG$2,Liste(L296:O296),";")</f>
        <v>INSERT INTO WD_Holidays (CalendarDay, Donation, Share) VALUES ('2035-03-08', 'Internationaler Frauentag', 100);</v>
      </c>
    </row>
    <row r="297" spans="11:33" x14ac:dyDescent="0.45">
      <c r="K297" s="10">
        <v>49391</v>
      </c>
      <c r="L297" t="str">
        <f t="shared" si="51"/>
        <v>'2035-03-23'</v>
      </c>
      <c r="M297" s="3" t="s">
        <v>555</v>
      </c>
      <c r="N297">
        <v>100</v>
      </c>
      <c r="R297" s="10">
        <f t="shared" si="59"/>
        <v>52890</v>
      </c>
      <c r="S297" t="str">
        <f t="shared" si="52"/>
        <v>'2044-10-20'</v>
      </c>
      <c r="T297">
        <f t="shared" si="53"/>
        <v>3</v>
      </c>
      <c r="U297">
        <f t="shared" si="54"/>
        <v>42</v>
      </c>
      <c r="V297">
        <f t="shared" si="55"/>
        <v>2044</v>
      </c>
      <c r="W297">
        <f t="shared" si="56"/>
        <v>10</v>
      </c>
      <c r="X297">
        <f t="shared" si="57"/>
        <v>20</v>
      </c>
      <c r="Y297">
        <f t="shared" si="58"/>
        <v>3</v>
      </c>
      <c r="AE297" s="2" t="str" cm="1">
        <f t="array" ref="AE297">CONCATENATE($AE$2,Liste(S297:U297),";")</f>
        <v>INSERT INTO WD_Workdays (CalendarDay, CalendarWeekday, CalendarWeek) VALUES ('2044-10-20', 3, 42);</v>
      </c>
      <c r="AF297" s="2"/>
      <c r="AG297" s="2" t="str" cm="1">
        <f t="array" ref="AG297">CONCATENATE($AG$2,Liste(L297:O297),";")</f>
        <v>INSERT INTO WD_Holidays (CalendarDay, Donation, Share) VALUES ('2035-03-23', 'Karfreitag', 100);</v>
      </c>
    </row>
    <row r="298" spans="11:33" x14ac:dyDescent="0.45">
      <c r="K298" s="10">
        <v>49393</v>
      </c>
      <c r="L298" t="str">
        <f t="shared" si="51"/>
        <v>'2035-03-25'</v>
      </c>
      <c r="M298" s="3" t="s">
        <v>556</v>
      </c>
      <c r="N298">
        <v>100</v>
      </c>
      <c r="R298" s="10">
        <f t="shared" si="59"/>
        <v>52891</v>
      </c>
      <c r="S298" t="str">
        <f t="shared" si="52"/>
        <v>'2044-10-21'</v>
      </c>
      <c r="T298">
        <f t="shared" si="53"/>
        <v>4</v>
      </c>
      <c r="U298">
        <f t="shared" si="54"/>
        <v>42</v>
      </c>
      <c r="V298">
        <f t="shared" si="55"/>
        <v>2044</v>
      </c>
      <c r="W298">
        <f t="shared" si="56"/>
        <v>10</v>
      </c>
      <c r="X298">
        <f t="shared" si="57"/>
        <v>21</v>
      </c>
      <c r="Y298">
        <f t="shared" si="58"/>
        <v>3</v>
      </c>
      <c r="AE298" s="2" t="str" cm="1">
        <f t="array" ref="AE298">CONCATENATE($AE$2,Liste(S298:U298),";")</f>
        <v>INSERT INTO WD_Workdays (CalendarDay, CalendarWeekday, CalendarWeek) VALUES ('2044-10-21', 4, 42);</v>
      </c>
      <c r="AF298" s="2"/>
      <c r="AG298" s="2" t="str" cm="1">
        <f t="array" ref="AG298">CONCATENATE($AG$2,Liste(L298:O298),";")</f>
        <v>INSERT INTO WD_Holidays (CalendarDay, Donation, Share) VALUES ('2035-03-25', 'Ostersonntag', 100);</v>
      </c>
    </row>
    <row r="299" spans="11:33" x14ac:dyDescent="0.45">
      <c r="K299" s="10">
        <v>49394</v>
      </c>
      <c r="L299" t="str">
        <f t="shared" si="51"/>
        <v>'2035-03-26'</v>
      </c>
      <c r="M299" s="3" t="s">
        <v>557</v>
      </c>
      <c r="N299">
        <v>100</v>
      </c>
      <c r="R299" s="10">
        <f t="shared" si="59"/>
        <v>52892</v>
      </c>
      <c r="S299" t="str">
        <f t="shared" si="52"/>
        <v>'2044-10-22'</v>
      </c>
      <c r="T299">
        <f t="shared" si="53"/>
        <v>5</v>
      </c>
      <c r="U299">
        <f t="shared" si="54"/>
        <v>42</v>
      </c>
      <c r="V299">
        <f t="shared" si="55"/>
        <v>2044</v>
      </c>
      <c r="W299">
        <f t="shared" si="56"/>
        <v>10</v>
      </c>
      <c r="X299">
        <f t="shared" si="57"/>
        <v>22</v>
      </c>
      <c r="Y299">
        <f t="shared" si="58"/>
        <v>3</v>
      </c>
      <c r="AE299" s="2" t="str" cm="1">
        <f t="array" ref="AE299">CONCATENATE($AE$2,Liste(S299:U299),";")</f>
        <v>INSERT INTO WD_Workdays (CalendarDay, CalendarWeekday, CalendarWeek) VALUES ('2044-10-22', 5, 42);</v>
      </c>
      <c r="AF299" s="2"/>
      <c r="AG299" s="2" t="str" cm="1">
        <f t="array" ref="AG299">CONCATENATE($AG$2,Liste(L299:O299),";")</f>
        <v>INSERT INTO WD_Holidays (CalendarDay, Donation, Share) VALUES ('2035-03-26', 'Ostermontag', 100);</v>
      </c>
    </row>
    <row r="300" spans="11:33" x14ac:dyDescent="0.45">
      <c r="K300" s="10">
        <v>49430</v>
      </c>
      <c r="L300" t="str">
        <f t="shared" si="51"/>
        <v>'2035-05-01'</v>
      </c>
      <c r="M300" s="3" t="s">
        <v>558</v>
      </c>
      <c r="N300">
        <v>100</v>
      </c>
      <c r="R300" s="10">
        <f t="shared" si="59"/>
        <v>52893</v>
      </c>
      <c r="S300" t="str">
        <f t="shared" si="52"/>
        <v>'2044-10-23'</v>
      </c>
      <c r="T300">
        <f t="shared" si="53"/>
        <v>6</v>
      </c>
      <c r="U300">
        <f t="shared" si="54"/>
        <v>42</v>
      </c>
      <c r="V300">
        <f t="shared" si="55"/>
        <v>2044</v>
      </c>
      <c r="W300">
        <f t="shared" si="56"/>
        <v>10</v>
      </c>
      <c r="X300">
        <f t="shared" si="57"/>
        <v>23</v>
      </c>
      <c r="Y300">
        <f t="shared" si="58"/>
        <v>3</v>
      </c>
      <c r="AE300" s="2" t="str" cm="1">
        <f t="array" ref="AE300">CONCATENATE($AE$2,Liste(S300:U300),";")</f>
        <v>INSERT INTO WD_Workdays (CalendarDay, CalendarWeekday, CalendarWeek) VALUES ('2044-10-23', 6, 42);</v>
      </c>
      <c r="AF300" s="2"/>
      <c r="AG300" s="2" t="str" cm="1">
        <f t="array" ref="AG300">CONCATENATE($AG$2,Liste(L300:O300),";")</f>
        <v>INSERT INTO WD_Holidays (CalendarDay, Donation, Share) VALUES ('2035-05-01', 'Tag der Arbeit', 100);</v>
      </c>
    </row>
    <row r="301" spans="11:33" x14ac:dyDescent="0.45">
      <c r="K301" s="10">
        <v>49439</v>
      </c>
      <c r="L301" t="str">
        <f t="shared" si="51"/>
        <v>'2035-05-10'</v>
      </c>
      <c r="M301" s="3" t="s">
        <v>559</v>
      </c>
      <c r="N301">
        <v>100</v>
      </c>
      <c r="R301" s="10">
        <f t="shared" si="59"/>
        <v>52894</v>
      </c>
      <c r="S301" t="str">
        <f t="shared" si="52"/>
        <v>'2044-10-24'</v>
      </c>
      <c r="T301">
        <f t="shared" si="53"/>
        <v>0</v>
      </c>
      <c r="U301">
        <f t="shared" si="54"/>
        <v>43</v>
      </c>
      <c r="V301">
        <f t="shared" si="55"/>
        <v>2044</v>
      </c>
      <c r="W301">
        <f t="shared" si="56"/>
        <v>10</v>
      </c>
      <c r="X301">
        <f t="shared" si="57"/>
        <v>24</v>
      </c>
      <c r="Y301">
        <f t="shared" si="58"/>
        <v>3</v>
      </c>
      <c r="AE301" s="2" t="str" cm="1">
        <f t="array" ref="AE301">CONCATENATE($AE$2,Liste(S301:U301),";")</f>
        <v>INSERT INTO WD_Workdays (CalendarDay, CalendarWeekday, CalendarWeek) VALUES ('2044-10-24', 0, 43);</v>
      </c>
      <c r="AF301" s="2"/>
      <c r="AG301" s="2" t="str" cm="1">
        <f t="array" ref="AG301">CONCATENATE($AG$2,Liste(L301:O301),";")</f>
        <v>INSERT INTO WD_Holidays (CalendarDay, Donation, Share) VALUES ('2035-05-10', 'Christi Himmelfahrt', 100);</v>
      </c>
    </row>
    <row r="302" spans="11:33" x14ac:dyDescent="0.45">
      <c r="K302" s="10">
        <v>49449</v>
      </c>
      <c r="L302" t="str">
        <f t="shared" si="51"/>
        <v>'2035-05-20'</v>
      </c>
      <c r="M302" s="3" t="s">
        <v>779</v>
      </c>
      <c r="N302">
        <v>100</v>
      </c>
      <c r="R302" s="10">
        <f t="shared" si="59"/>
        <v>52895</v>
      </c>
      <c r="S302" t="str">
        <f t="shared" si="52"/>
        <v>'2044-10-25'</v>
      </c>
      <c r="T302">
        <f t="shared" si="53"/>
        <v>1</v>
      </c>
      <c r="U302">
        <f t="shared" si="54"/>
        <v>43</v>
      </c>
      <c r="V302">
        <f t="shared" si="55"/>
        <v>2044</v>
      </c>
      <c r="W302">
        <f t="shared" si="56"/>
        <v>10</v>
      </c>
      <c r="X302">
        <f t="shared" si="57"/>
        <v>25</v>
      </c>
      <c r="Y302">
        <f t="shared" si="58"/>
        <v>3</v>
      </c>
      <c r="AE302" s="2" t="str" cm="1">
        <f t="array" ref="AE302">CONCATENATE($AE$2,Liste(S302:U302),";")</f>
        <v>INSERT INTO WD_Workdays (CalendarDay, CalendarWeekday, CalendarWeek) VALUES ('2044-10-25', 1, 43);</v>
      </c>
      <c r="AF302" s="2"/>
      <c r="AG302" s="2" t="str" cm="1">
        <f t="array" ref="AG302">CONCATENATE($AG$2,Liste(L302:O302),";")</f>
        <v>INSERT INTO WD_Holidays (CalendarDay, Donation, Share) VALUES ('2035-05-20', 'Pfingstsonntag', 100);</v>
      </c>
    </row>
    <row r="303" spans="11:33" x14ac:dyDescent="0.45">
      <c r="K303" s="10">
        <v>49450</v>
      </c>
      <c r="L303" t="str">
        <f t="shared" si="51"/>
        <v>'2035-05-21'</v>
      </c>
      <c r="M303" s="3" t="s">
        <v>560</v>
      </c>
      <c r="N303">
        <v>100</v>
      </c>
      <c r="R303" s="10">
        <f t="shared" si="59"/>
        <v>52896</v>
      </c>
      <c r="S303" t="str">
        <f t="shared" si="52"/>
        <v>'2044-10-26'</v>
      </c>
      <c r="T303">
        <f t="shared" si="53"/>
        <v>2</v>
      </c>
      <c r="U303">
        <f t="shared" si="54"/>
        <v>43</v>
      </c>
      <c r="V303">
        <f t="shared" si="55"/>
        <v>2044</v>
      </c>
      <c r="W303">
        <f t="shared" si="56"/>
        <v>10</v>
      </c>
      <c r="X303">
        <f t="shared" si="57"/>
        <v>26</v>
      </c>
      <c r="Y303">
        <f t="shared" si="58"/>
        <v>3</v>
      </c>
      <c r="AE303" s="2" t="str" cm="1">
        <f t="array" ref="AE303">CONCATENATE($AE$2,Liste(S303:U303),";")</f>
        <v>INSERT INTO WD_Workdays (CalendarDay, CalendarWeekday, CalendarWeek) VALUES ('2044-10-26', 2, 43);</v>
      </c>
      <c r="AF303" s="2"/>
      <c r="AG303" s="2" t="str" cm="1">
        <f t="array" ref="AG303">CONCATENATE($AG$2,Liste(L303:O303),";")</f>
        <v>INSERT INTO WD_Holidays (CalendarDay, Donation, Share) VALUES ('2035-05-21', 'Pfingstmontag', 100);</v>
      </c>
    </row>
    <row r="304" spans="11:33" x14ac:dyDescent="0.45">
      <c r="K304" s="10">
        <v>49585</v>
      </c>
      <c r="L304" t="str">
        <f t="shared" si="51"/>
        <v>'2035-10-03'</v>
      </c>
      <c r="M304" s="3" t="s">
        <v>561</v>
      </c>
      <c r="N304">
        <v>100</v>
      </c>
      <c r="R304" s="10">
        <f t="shared" si="59"/>
        <v>52897</v>
      </c>
      <c r="S304" t="str">
        <f t="shared" si="52"/>
        <v>'2044-10-27'</v>
      </c>
      <c r="T304">
        <f t="shared" si="53"/>
        <v>3</v>
      </c>
      <c r="U304">
        <f t="shared" si="54"/>
        <v>43</v>
      </c>
      <c r="V304">
        <f t="shared" si="55"/>
        <v>2044</v>
      </c>
      <c r="W304">
        <f t="shared" si="56"/>
        <v>10</v>
      </c>
      <c r="X304">
        <f t="shared" si="57"/>
        <v>27</v>
      </c>
      <c r="Y304">
        <f t="shared" si="58"/>
        <v>3</v>
      </c>
      <c r="AE304" s="2" t="str" cm="1">
        <f t="array" ref="AE304">CONCATENATE($AE$2,Liste(S304:U304),";")</f>
        <v>INSERT INTO WD_Workdays (CalendarDay, CalendarWeekday, CalendarWeek) VALUES ('2044-10-27', 3, 43);</v>
      </c>
      <c r="AF304" s="2"/>
      <c r="AG304" s="2" t="str" cm="1">
        <f t="array" ref="AG304">CONCATENATE($AG$2,Liste(L304:O304),";")</f>
        <v>INSERT INTO WD_Holidays (CalendarDay, Donation, Share) VALUES ('2035-10-03', 'Tag der Deutschen Einheit', 100);</v>
      </c>
    </row>
    <row r="305" spans="11:33" x14ac:dyDescent="0.45">
      <c r="K305" s="10">
        <v>49667</v>
      </c>
      <c r="L305" t="str">
        <f t="shared" ref="L305:L368" si="60">CONCATENATE("'",TEXT(K305,"jjjj-MM-tt"),"'")</f>
        <v>'2035-12-24'</v>
      </c>
      <c r="M305" s="3" t="s">
        <v>562</v>
      </c>
      <c r="N305">
        <v>50</v>
      </c>
      <c r="R305" s="10">
        <f t="shared" si="59"/>
        <v>52898</v>
      </c>
      <c r="S305" t="str">
        <f t="shared" si="52"/>
        <v>'2044-10-28'</v>
      </c>
      <c r="T305">
        <f t="shared" si="53"/>
        <v>4</v>
      </c>
      <c r="U305">
        <f t="shared" si="54"/>
        <v>43</v>
      </c>
      <c r="V305">
        <f t="shared" si="55"/>
        <v>2044</v>
      </c>
      <c r="W305">
        <f t="shared" si="56"/>
        <v>10</v>
      </c>
      <c r="X305">
        <f t="shared" si="57"/>
        <v>28</v>
      </c>
      <c r="Y305">
        <f t="shared" si="58"/>
        <v>3</v>
      </c>
      <c r="AE305" s="2" t="str" cm="1">
        <f t="array" ref="AE305">CONCATENATE($AE$2,Liste(S305:U305),";")</f>
        <v>INSERT INTO WD_Workdays (CalendarDay, CalendarWeekday, CalendarWeek) VALUES ('2044-10-28', 4, 43);</v>
      </c>
      <c r="AF305" s="2"/>
      <c r="AG305" s="2" t="str" cm="1">
        <f t="array" ref="AG305">CONCATENATE($AG$2,Liste(L305:O305),";")</f>
        <v>INSERT INTO WD_Holidays (CalendarDay, Donation, Share) VALUES ('2035-12-24', 'Heiligabend', 50);</v>
      </c>
    </row>
    <row r="306" spans="11:33" x14ac:dyDescent="0.45">
      <c r="K306" s="10">
        <v>49668</v>
      </c>
      <c r="L306" t="str">
        <f t="shared" si="60"/>
        <v>'2035-12-25'</v>
      </c>
      <c r="M306" s="3" t="s">
        <v>563</v>
      </c>
      <c r="N306">
        <v>100</v>
      </c>
      <c r="R306" s="10">
        <f t="shared" si="59"/>
        <v>52899</v>
      </c>
      <c r="S306" t="str">
        <f t="shared" si="52"/>
        <v>'2044-10-29'</v>
      </c>
      <c r="T306">
        <f t="shared" si="53"/>
        <v>5</v>
      </c>
      <c r="U306">
        <f t="shared" si="54"/>
        <v>43</v>
      </c>
      <c r="V306">
        <f t="shared" si="55"/>
        <v>2044</v>
      </c>
      <c r="W306">
        <f t="shared" si="56"/>
        <v>10</v>
      </c>
      <c r="X306">
        <f t="shared" si="57"/>
        <v>29</v>
      </c>
      <c r="Y306">
        <f t="shared" si="58"/>
        <v>3</v>
      </c>
      <c r="AE306" s="2" t="str" cm="1">
        <f t="array" ref="AE306">CONCATENATE($AE$2,Liste(S306:U306),";")</f>
        <v>INSERT INTO WD_Workdays (CalendarDay, CalendarWeekday, CalendarWeek) VALUES ('2044-10-29', 5, 43);</v>
      </c>
      <c r="AF306" s="2"/>
      <c r="AG306" s="2" t="str" cm="1">
        <f t="array" ref="AG306">CONCATENATE($AG$2,Liste(L306:O306),";")</f>
        <v>INSERT INTO WD_Holidays (CalendarDay, Donation, Share) VALUES ('2035-12-25', '1. Weihnachtsfeiertag', 100);</v>
      </c>
    </row>
    <row r="307" spans="11:33" x14ac:dyDescent="0.45">
      <c r="K307" s="10">
        <v>49669</v>
      </c>
      <c r="L307" t="str">
        <f t="shared" si="60"/>
        <v>'2035-12-26'</v>
      </c>
      <c r="M307" s="3" t="s">
        <v>564</v>
      </c>
      <c r="N307">
        <v>100</v>
      </c>
      <c r="R307" s="10">
        <f t="shared" si="59"/>
        <v>52900</v>
      </c>
      <c r="S307" t="str">
        <f t="shared" si="52"/>
        <v>'2044-10-30'</v>
      </c>
      <c r="T307">
        <f t="shared" si="53"/>
        <v>6</v>
      </c>
      <c r="U307">
        <f t="shared" si="54"/>
        <v>43</v>
      </c>
      <c r="V307">
        <f t="shared" si="55"/>
        <v>2044</v>
      </c>
      <c r="W307">
        <f t="shared" si="56"/>
        <v>10</v>
      </c>
      <c r="X307">
        <f t="shared" si="57"/>
        <v>30</v>
      </c>
      <c r="Y307">
        <f t="shared" si="58"/>
        <v>3</v>
      </c>
      <c r="AE307" s="2" t="str" cm="1">
        <f t="array" ref="AE307">CONCATENATE($AE$2,Liste(S307:U307),";")</f>
        <v>INSERT INTO WD_Workdays (CalendarDay, CalendarWeekday, CalendarWeek) VALUES ('2044-10-30', 6, 43);</v>
      </c>
      <c r="AF307" s="2"/>
      <c r="AG307" s="2" t="str" cm="1">
        <f t="array" ref="AG307">CONCATENATE($AG$2,Liste(L307:O307),";")</f>
        <v>INSERT INTO WD_Holidays (CalendarDay, Donation, Share) VALUES ('2035-12-26', '2. Weihnachtsfeiertag', 100);</v>
      </c>
    </row>
    <row r="308" spans="11:33" x14ac:dyDescent="0.45">
      <c r="K308" s="10">
        <v>49674</v>
      </c>
      <c r="L308" t="str">
        <f t="shared" si="60"/>
        <v>'2035-12-31'</v>
      </c>
      <c r="M308" s="3" t="s">
        <v>565</v>
      </c>
      <c r="N308">
        <v>50</v>
      </c>
      <c r="R308" s="10">
        <f t="shared" si="59"/>
        <v>52901</v>
      </c>
      <c r="S308" t="str">
        <f t="shared" si="52"/>
        <v>'2044-10-31'</v>
      </c>
      <c r="T308">
        <f t="shared" si="53"/>
        <v>0</v>
      </c>
      <c r="U308">
        <f t="shared" si="54"/>
        <v>44</v>
      </c>
      <c r="V308">
        <f t="shared" si="55"/>
        <v>2044</v>
      </c>
      <c r="W308">
        <f t="shared" si="56"/>
        <v>10</v>
      </c>
      <c r="X308">
        <f t="shared" si="57"/>
        <v>31</v>
      </c>
      <c r="Y308">
        <f t="shared" si="58"/>
        <v>3</v>
      </c>
      <c r="AE308" s="2" t="str" cm="1">
        <f t="array" ref="AE308">CONCATENATE($AE$2,Liste(S308:U308),";")</f>
        <v>INSERT INTO WD_Workdays (CalendarDay, CalendarWeekday, CalendarWeek) VALUES ('2044-10-31', 0, 44);</v>
      </c>
      <c r="AF308" s="2"/>
      <c r="AG308" s="2" t="str" cm="1">
        <f t="array" ref="AG308">CONCATENATE($AG$2,Liste(L308:O308),";")</f>
        <v>INSERT INTO WD_Holidays (CalendarDay, Donation, Share) VALUES ('2035-12-31', 'Silvester', 50);</v>
      </c>
    </row>
    <row r="309" spans="11:33" x14ac:dyDescent="0.45">
      <c r="K309" s="10">
        <v>49675</v>
      </c>
      <c r="L309" t="str">
        <f t="shared" si="60"/>
        <v>'2036-01-01'</v>
      </c>
      <c r="M309" s="3" t="s">
        <v>481</v>
      </c>
      <c r="N309">
        <v>100</v>
      </c>
      <c r="R309" s="10">
        <f t="shared" si="59"/>
        <v>52902</v>
      </c>
      <c r="S309" t="str">
        <f t="shared" si="52"/>
        <v>'2044-11-01'</v>
      </c>
      <c r="T309">
        <f t="shared" si="53"/>
        <v>1</v>
      </c>
      <c r="U309">
        <f t="shared" si="54"/>
        <v>44</v>
      </c>
      <c r="V309">
        <f t="shared" si="55"/>
        <v>2044</v>
      </c>
      <c r="W309">
        <f t="shared" si="56"/>
        <v>11</v>
      </c>
      <c r="X309">
        <f t="shared" si="57"/>
        <v>1</v>
      </c>
      <c r="Y309">
        <f t="shared" si="58"/>
        <v>3</v>
      </c>
      <c r="AE309" s="2" t="str" cm="1">
        <f t="array" ref="AE309">CONCATENATE($AE$2,Liste(S309:U309),";")</f>
        <v>INSERT INTO WD_Workdays (CalendarDay, CalendarWeekday, CalendarWeek) VALUES ('2044-11-01', 1, 44);</v>
      </c>
      <c r="AF309" s="2"/>
      <c r="AG309" s="2" t="str" cm="1">
        <f t="array" ref="AG309">CONCATENATE($AG$2,Liste(L309:O309),";")</f>
        <v>INSERT INTO WD_Holidays (CalendarDay, Donation, Share) VALUES ('2036-01-01', 'Neujahr', 100);</v>
      </c>
    </row>
    <row r="310" spans="11:33" x14ac:dyDescent="0.45">
      <c r="K310" s="10">
        <v>49742</v>
      </c>
      <c r="L310" t="str">
        <f t="shared" si="60"/>
        <v>'2036-03-08'</v>
      </c>
      <c r="M310" s="3" t="s">
        <v>554</v>
      </c>
      <c r="N310">
        <v>100</v>
      </c>
      <c r="R310" s="10">
        <f t="shared" si="59"/>
        <v>52903</v>
      </c>
      <c r="S310" t="str">
        <f t="shared" si="52"/>
        <v>'2044-11-02'</v>
      </c>
      <c r="T310">
        <f t="shared" si="53"/>
        <v>2</v>
      </c>
      <c r="U310">
        <f t="shared" si="54"/>
        <v>44</v>
      </c>
      <c r="V310">
        <f t="shared" si="55"/>
        <v>2044</v>
      </c>
      <c r="W310">
        <f t="shared" si="56"/>
        <v>11</v>
      </c>
      <c r="X310">
        <f t="shared" si="57"/>
        <v>2</v>
      </c>
      <c r="Y310">
        <f t="shared" si="58"/>
        <v>3</v>
      </c>
      <c r="AE310" s="2" t="str" cm="1">
        <f t="array" ref="AE310">CONCATENATE($AE$2,Liste(S310:U310),";")</f>
        <v>INSERT INTO WD_Workdays (CalendarDay, CalendarWeekday, CalendarWeek) VALUES ('2044-11-02', 2, 44);</v>
      </c>
      <c r="AF310" s="2"/>
      <c r="AG310" s="2" t="str" cm="1">
        <f t="array" ref="AG310">CONCATENATE($AG$2,Liste(L310:O310),";")</f>
        <v>INSERT INTO WD_Holidays (CalendarDay, Donation, Share) VALUES ('2036-03-08', 'Internationaler Frauentag', 100);</v>
      </c>
    </row>
    <row r="311" spans="11:33" x14ac:dyDescent="0.45">
      <c r="K311" s="10">
        <v>49769</v>
      </c>
      <c r="L311" t="str">
        <f t="shared" si="60"/>
        <v>'2036-04-04'</v>
      </c>
      <c r="M311" s="3" t="s">
        <v>555</v>
      </c>
      <c r="N311">
        <v>100</v>
      </c>
      <c r="R311" s="10">
        <f t="shared" si="59"/>
        <v>52904</v>
      </c>
      <c r="S311" t="str">
        <f t="shared" si="52"/>
        <v>'2044-11-03'</v>
      </c>
      <c r="T311">
        <f t="shared" si="53"/>
        <v>3</v>
      </c>
      <c r="U311">
        <f t="shared" si="54"/>
        <v>44</v>
      </c>
      <c r="V311">
        <f t="shared" si="55"/>
        <v>2044</v>
      </c>
      <c r="W311">
        <f t="shared" si="56"/>
        <v>11</v>
      </c>
      <c r="X311">
        <f t="shared" si="57"/>
        <v>3</v>
      </c>
      <c r="Y311">
        <f t="shared" si="58"/>
        <v>3</v>
      </c>
      <c r="AE311" s="2" t="str" cm="1">
        <f t="array" ref="AE311">CONCATENATE($AE$2,Liste(S311:U311),";")</f>
        <v>INSERT INTO WD_Workdays (CalendarDay, CalendarWeekday, CalendarWeek) VALUES ('2044-11-03', 3, 44);</v>
      </c>
      <c r="AF311" s="2"/>
      <c r="AG311" s="2" t="str" cm="1">
        <f t="array" ref="AG311">CONCATENATE($AG$2,Liste(L311:O311),";")</f>
        <v>INSERT INTO WD_Holidays (CalendarDay, Donation, Share) VALUES ('2036-04-04', 'Karfreitag', 100);</v>
      </c>
    </row>
    <row r="312" spans="11:33" x14ac:dyDescent="0.45">
      <c r="K312" s="10">
        <v>49771</v>
      </c>
      <c r="L312" t="str">
        <f t="shared" si="60"/>
        <v>'2036-04-06'</v>
      </c>
      <c r="M312" s="3" t="s">
        <v>556</v>
      </c>
      <c r="N312">
        <v>100</v>
      </c>
      <c r="R312" s="10">
        <f t="shared" si="59"/>
        <v>52905</v>
      </c>
      <c r="S312" t="str">
        <f t="shared" si="52"/>
        <v>'2044-11-04'</v>
      </c>
      <c r="T312">
        <f t="shared" si="53"/>
        <v>4</v>
      </c>
      <c r="U312">
        <f t="shared" si="54"/>
        <v>44</v>
      </c>
      <c r="V312">
        <f t="shared" si="55"/>
        <v>2044</v>
      </c>
      <c r="W312">
        <f t="shared" si="56"/>
        <v>11</v>
      </c>
      <c r="X312">
        <f t="shared" si="57"/>
        <v>4</v>
      </c>
      <c r="Y312">
        <f t="shared" si="58"/>
        <v>3</v>
      </c>
      <c r="AE312" s="2" t="str" cm="1">
        <f t="array" ref="AE312">CONCATENATE($AE$2,Liste(S312:U312),";")</f>
        <v>INSERT INTO WD_Workdays (CalendarDay, CalendarWeekday, CalendarWeek) VALUES ('2044-11-04', 4, 44);</v>
      </c>
      <c r="AF312" s="2"/>
      <c r="AG312" s="2" t="str" cm="1">
        <f t="array" ref="AG312">CONCATENATE($AG$2,Liste(L312:O312),";")</f>
        <v>INSERT INTO WD_Holidays (CalendarDay, Donation, Share) VALUES ('2036-04-06', 'Ostersonntag', 100);</v>
      </c>
    </row>
    <row r="313" spans="11:33" x14ac:dyDescent="0.45">
      <c r="K313" s="10">
        <v>49772</v>
      </c>
      <c r="L313" t="str">
        <f t="shared" si="60"/>
        <v>'2036-04-07'</v>
      </c>
      <c r="M313" s="3" t="s">
        <v>557</v>
      </c>
      <c r="N313">
        <v>100</v>
      </c>
      <c r="R313" s="10">
        <f t="shared" si="59"/>
        <v>52906</v>
      </c>
      <c r="S313" t="str">
        <f t="shared" si="52"/>
        <v>'2044-11-05'</v>
      </c>
      <c r="T313">
        <f t="shared" si="53"/>
        <v>5</v>
      </c>
      <c r="U313">
        <f t="shared" si="54"/>
        <v>44</v>
      </c>
      <c r="V313">
        <f t="shared" si="55"/>
        <v>2044</v>
      </c>
      <c r="W313">
        <f t="shared" si="56"/>
        <v>11</v>
      </c>
      <c r="X313">
        <f t="shared" si="57"/>
        <v>5</v>
      </c>
      <c r="Y313">
        <f t="shared" si="58"/>
        <v>3</v>
      </c>
      <c r="AE313" s="2" t="str" cm="1">
        <f t="array" ref="AE313">CONCATENATE($AE$2,Liste(S313:U313),";")</f>
        <v>INSERT INTO WD_Workdays (CalendarDay, CalendarWeekday, CalendarWeek) VALUES ('2044-11-05', 5, 44);</v>
      </c>
      <c r="AF313" s="2"/>
      <c r="AG313" s="2" t="str" cm="1">
        <f t="array" ref="AG313">CONCATENATE($AG$2,Liste(L313:O313),";")</f>
        <v>INSERT INTO WD_Holidays (CalendarDay, Donation, Share) VALUES ('2036-04-07', 'Ostermontag', 100);</v>
      </c>
    </row>
    <row r="314" spans="11:33" x14ac:dyDescent="0.45">
      <c r="K314" s="10">
        <v>49796</v>
      </c>
      <c r="L314" t="str">
        <f t="shared" si="60"/>
        <v>'2036-05-01'</v>
      </c>
      <c r="M314" s="3" t="s">
        <v>558</v>
      </c>
      <c r="N314">
        <v>100</v>
      </c>
      <c r="R314" s="10">
        <f t="shared" si="59"/>
        <v>52907</v>
      </c>
      <c r="S314" t="str">
        <f t="shared" si="52"/>
        <v>'2044-11-06'</v>
      </c>
      <c r="T314">
        <f t="shared" si="53"/>
        <v>6</v>
      </c>
      <c r="U314">
        <f t="shared" si="54"/>
        <v>44</v>
      </c>
      <c r="V314">
        <f t="shared" si="55"/>
        <v>2044</v>
      </c>
      <c r="W314">
        <f t="shared" si="56"/>
        <v>11</v>
      </c>
      <c r="X314">
        <f t="shared" si="57"/>
        <v>6</v>
      </c>
      <c r="Y314">
        <f t="shared" si="58"/>
        <v>3</v>
      </c>
      <c r="AE314" s="2" t="str" cm="1">
        <f t="array" ref="AE314">CONCATENATE($AE$2,Liste(S314:U314),";")</f>
        <v>INSERT INTO WD_Workdays (CalendarDay, CalendarWeekday, CalendarWeek) VALUES ('2044-11-06', 6, 44);</v>
      </c>
      <c r="AF314" s="2"/>
      <c r="AG314" s="2" t="str" cm="1">
        <f t="array" ref="AG314">CONCATENATE($AG$2,Liste(L314:O314),";")</f>
        <v>INSERT INTO WD_Holidays (CalendarDay, Donation, Share) VALUES ('2036-05-01', 'Tag der Arbeit', 100);</v>
      </c>
    </row>
    <row r="315" spans="11:33" x14ac:dyDescent="0.45">
      <c r="K315" s="10">
        <v>49817</v>
      </c>
      <c r="L315" t="str">
        <f t="shared" si="60"/>
        <v>'2036-05-22'</v>
      </c>
      <c r="M315" s="3" t="s">
        <v>559</v>
      </c>
      <c r="N315">
        <v>100</v>
      </c>
      <c r="R315" s="10">
        <f t="shared" si="59"/>
        <v>52908</v>
      </c>
      <c r="S315" t="str">
        <f t="shared" si="52"/>
        <v>'2044-11-07'</v>
      </c>
      <c r="T315">
        <f t="shared" si="53"/>
        <v>0</v>
      </c>
      <c r="U315">
        <f t="shared" si="54"/>
        <v>45</v>
      </c>
      <c r="V315">
        <f t="shared" si="55"/>
        <v>2044</v>
      </c>
      <c r="W315">
        <f t="shared" si="56"/>
        <v>11</v>
      </c>
      <c r="X315">
        <f t="shared" si="57"/>
        <v>7</v>
      </c>
      <c r="Y315">
        <f t="shared" si="58"/>
        <v>3</v>
      </c>
      <c r="AE315" s="2" t="str" cm="1">
        <f t="array" ref="AE315">CONCATENATE($AE$2,Liste(S315:U315),";")</f>
        <v>INSERT INTO WD_Workdays (CalendarDay, CalendarWeekday, CalendarWeek) VALUES ('2044-11-07', 0, 45);</v>
      </c>
      <c r="AF315" s="2"/>
      <c r="AG315" s="2" t="str" cm="1">
        <f t="array" ref="AG315">CONCATENATE($AG$2,Liste(L315:O315),";")</f>
        <v>INSERT INTO WD_Holidays (CalendarDay, Donation, Share) VALUES ('2036-05-22', 'Christi Himmelfahrt', 100);</v>
      </c>
    </row>
    <row r="316" spans="11:33" x14ac:dyDescent="0.45">
      <c r="K316" s="10">
        <v>49826</v>
      </c>
      <c r="L316" t="str">
        <f t="shared" si="60"/>
        <v>'2036-05-31'</v>
      </c>
      <c r="M316" s="3" t="s">
        <v>779</v>
      </c>
      <c r="N316">
        <v>100</v>
      </c>
      <c r="R316" s="10">
        <f t="shared" si="59"/>
        <v>52909</v>
      </c>
      <c r="S316" t="str">
        <f t="shared" si="52"/>
        <v>'2044-11-08'</v>
      </c>
      <c r="T316">
        <f t="shared" si="53"/>
        <v>1</v>
      </c>
      <c r="U316">
        <f t="shared" si="54"/>
        <v>45</v>
      </c>
      <c r="V316">
        <f t="shared" si="55"/>
        <v>2044</v>
      </c>
      <c r="W316">
        <f t="shared" si="56"/>
        <v>11</v>
      </c>
      <c r="X316">
        <f t="shared" si="57"/>
        <v>8</v>
      </c>
      <c r="Y316">
        <f t="shared" si="58"/>
        <v>3</v>
      </c>
      <c r="AE316" s="2" t="str" cm="1">
        <f t="array" ref="AE316">CONCATENATE($AE$2,Liste(S316:U316),";")</f>
        <v>INSERT INTO WD_Workdays (CalendarDay, CalendarWeekday, CalendarWeek) VALUES ('2044-11-08', 1, 45);</v>
      </c>
      <c r="AF316" s="2"/>
      <c r="AG316" s="2" t="str" cm="1">
        <f t="array" ref="AG316">CONCATENATE($AG$2,Liste(L316:O316),";")</f>
        <v>INSERT INTO WD_Holidays (CalendarDay, Donation, Share) VALUES ('2036-05-31', 'Pfingstsonntag', 100);</v>
      </c>
    </row>
    <row r="317" spans="11:33" x14ac:dyDescent="0.45">
      <c r="K317" s="10">
        <v>49827</v>
      </c>
      <c r="L317" t="str">
        <f t="shared" si="60"/>
        <v>'2036-06-01'</v>
      </c>
      <c r="M317" s="3" t="s">
        <v>560</v>
      </c>
      <c r="N317">
        <v>100</v>
      </c>
      <c r="R317" s="10">
        <f t="shared" si="59"/>
        <v>52910</v>
      </c>
      <c r="S317" t="str">
        <f t="shared" si="52"/>
        <v>'2044-11-09'</v>
      </c>
      <c r="T317">
        <f t="shared" si="53"/>
        <v>2</v>
      </c>
      <c r="U317">
        <f t="shared" si="54"/>
        <v>45</v>
      </c>
      <c r="V317">
        <f t="shared" si="55"/>
        <v>2044</v>
      </c>
      <c r="W317">
        <f t="shared" si="56"/>
        <v>11</v>
      </c>
      <c r="X317">
        <f t="shared" si="57"/>
        <v>9</v>
      </c>
      <c r="Y317">
        <f t="shared" si="58"/>
        <v>3</v>
      </c>
      <c r="AE317" s="2" t="str" cm="1">
        <f t="array" ref="AE317">CONCATENATE($AE$2,Liste(S317:U317),";")</f>
        <v>INSERT INTO WD_Workdays (CalendarDay, CalendarWeekday, CalendarWeek) VALUES ('2044-11-09', 2, 45);</v>
      </c>
      <c r="AF317" s="2"/>
      <c r="AG317" s="2" t="str" cm="1">
        <f t="array" ref="AG317">CONCATENATE($AG$2,Liste(L317:O317),";")</f>
        <v>INSERT INTO WD_Holidays (CalendarDay, Donation, Share) VALUES ('2036-06-01', 'Pfingstmontag', 100);</v>
      </c>
    </row>
    <row r="318" spans="11:33" x14ac:dyDescent="0.45">
      <c r="K318" s="10">
        <v>49951</v>
      </c>
      <c r="L318" t="str">
        <f t="shared" si="60"/>
        <v>'2036-10-03'</v>
      </c>
      <c r="M318" s="3" t="s">
        <v>561</v>
      </c>
      <c r="N318">
        <v>100</v>
      </c>
      <c r="R318" s="10">
        <f t="shared" si="59"/>
        <v>52911</v>
      </c>
      <c r="S318" t="str">
        <f t="shared" si="52"/>
        <v>'2044-11-10'</v>
      </c>
      <c r="T318">
        <f t="shared" si="53"/>
        <v>3</v>
      </c>
      <c r="U318">
        <f t="shared" si="54"/>
        <v>45</v>
      </c>
      <c r="V318">
        <f t="shared" si="55"/>
        <v>2044</v>
      </c>
      <c r="W318">
        <f t="shared" si="56"/>
        <v>11</v>
      </c>
      <c r="X318">
        <f t="shared" si="57"/>
        <v>10</v>
      </c>
      <c r="Y318">
        <f t="shared" si="58"/>
        <v>3</v>
      </c>
      <c r="AE318" s="2" t="str" cm="1">
        <f t="array" ref="AE318">CONCATENATE($AE$2,Liste(S318:U318),";")</f>
        <v>INSERT INTO WD_Workdays (CalendarDay, CalendarWeekday, CalendarWeek) VALUES ('2044-11-10', 3, 45);</v>
      </c>
      <c r="AF318" s="2"/>
      <c r="AG318" s="2" t="str" cm="1">
        <f t="array" ref="AG318">CONCATENATE($AG$2,Liste(L318:O318),";")</f>
        <v>INSERT INTO WD_Holidays (CalendarDay, Donation, Share) VALUES ('2036-10-03', 'Tag der Deutschen Einheit', 100);</v>
      </c>
    </row>
    <row r="319" spans="11:33" x14ac:dyDescent="0.45">
      <c r="K319" s="10">
        <v>50033</v>
      </c>
      <c r="L319" t="str">
        <f t="shared" si="60"/>
        <v>'2036-12-24'</v>
      </c>
      <c r="M319" s="3" t="s">
        <v>562</v>
      </c>
      <c r="N319">
        <v>50</v>
      </c>
      <c r="R319" s="10">
        <f t="shared" si="59"/>
        <v>52912</v>
      </c>
      <c r="S319" t="str">
        <f t="shared" si="52"/>
        <v>'2044-11-11'</v>
      </c>
      <c r="T319">
        <f t="shared" si="53"/>
        <v>4</v>
      </c>
      <c r="U319">
        <f t="shared" si="54"/>
        <v>45</v>
      </c>
      <c r="V319">
        <f t="shared" si="55"/>
        <v>2044</v>
      </c>
      <c r="W319">
        <f t="shared" si="56"/>
        <v>11</v>
      </c>
      <c r="X319">
        <f t="shared" si="57"/>
        <v>11</v>
      </c>
      <c r="Y319">
        <f t="shared" si="58"/>
        <v>3</v>
      </c>
      <c r="AE319" s="2" t="str" cm="1">
        <f t="array" ref="AE319">CONCATENATE($AE$2,Liste(S319:U319),";")</f>
        <v>INSERT INTO WD_Workdays (CalendarDay, CalendarWeekday, CalendarWeek) VALUES ('2044-11-11', 4, 45);</v>
      </c>
      <c r="AF319" s="2"/>
      <c r="AG319" s="2" t="str" cm="1">
        <f t="array" ref="AG319">CONCATENATE($AG$2,Liste(L319:O319),";")</f>
        <v>INSERT INTO WD_Holidays (CalendarDay, Donation, Share) VALUES ('2036-12-24', 'Heiligabend', 50);</v>
      </c>
    </row>
    <row r="320" spans="11:33" x14ac:dyDescent="0.45">
      <c r="K320" s="10">
        <v>50034</v>
      </c>
      <c r="L320" t="str">
        <f t="shared" si="60"/>
        <v>'2036-12-25'</v>
      </c>
      <c r="M320" s="3" t="s">
        <v>563</v>
      </c>
      <c r="N320">
        <v>100</v>
      </c>
      <c r="R320" s="10">
        <f t="shared" si="59"/>
        <v>52913</v>
      </c>
      <c r="S320" t="str">
        <f t="shared" si="52"/>
        <v>'2044-11-12'</v>
      </c>
      <c r="T320">
        <f t="shared" si="53"/>
        <v>5</v>
      </c>
      <c r="U320">
        <f t="shared" si="54"/>
        <v>45</v>
      </c>
      <c r="V320">
        <f t="shared" si="55"/>
        <v>2044</v>
      </c>
      <c r="W320">
        <f t="shared" si="56"/>
        <v>11</v>
      </c>
      <c r="X320">
        <f t="shared" si="57"/>
        <v>12</v>
      </c>
      <c r="Y320">
        <f t="shared" si="58"/>
        <v>3</v>
      </c>
      <c r="AE320" s="2" t="str" cm="1">
        <f t="array" ref="AE320">CONCATENATE($AE$2,Liste(S320:U320),";")</f>
        <v>INSERT INTO WD_Workdays (CalendarDay, CalendarWeekday, CalendarWeek) VALUES ('2044-11-12', 5, 45);</v>
      </c>
      <c r="AF320" s="2"/>
      <c r="AG320" s="2" t="str" cm="1">
        <f t="array" ref="AG320">CONCATENATE($AG$2,Liste(L320:O320),";")</f>
        <v>INSERT INTO WD_Holidays (CalendarDay, Donation, Share) VALUES ('2036-12-25', '1. Weihnachtsfeiertag', 100);</v>
      </c>
    </row>
    <row r="321" spans="11:33" x14ac:dyDescent="0.45">
      <c r="K321" s="10">
        <v>50035</v>
      </c>
      <c r="L321" t="str">
        <f t="shared" si="60"/>
        <v>'2036-12-26'</v>
      </c>
      <c r="M321" s="3" t="s">
        <v>564</v>
      </c>
      <c r="N321">
        <v>100</v>
      </c>
      <c r="R321" s="10">
        <f t="shared" si="59"/>
        <v>52914</v>
      </c>
      <c r="S321" t="str">
        <f t="shared" si="52"/>
        <v>'2044-11-13'</v>
      </c>
      <c r="T321">
        <f t="shared" si="53"/>
        <v>6</v>
      </c>
      <c r="U321">
        <f t="shared" si="54"/>
        <v>45</v>
      </c>
      <c r="V321">
        <f t="shared" si="55"/>
        <v>2044</v>
      </c>
      <c r="W321">
        <f t="shared" si="56"/>
        <v>11</v>
      </c>
      <c r="X321">
        <f t="shared" si="57"/>
        <v>13</v>
      </c>
      <c r="Y321">
        <f t="shared" si="58"/>
        <v>3</v>
      </c>
      <c r="AE321" s="2" t="str" cm="1">
        <f t="array" ref="AE321">CONCATENATE($AE$2,Liste(S321:U321),";")</f>
        <v>INSERT INTO WD_Workdays (CalendarDay, CalendarWeekday, CalendarWeek) VALUES ('2044-11-13', 6, 45);</v>
      </c>
      <c r="AF321" s="2"/>
      <c r="AG321" s="2" t="str" cm="1">
        <f t="array" ref="AG321">CONCATENATE($AG$2,Liste(L321:O321),";")</f>
        <v>INSERT INTO WD_Holidays (CalendarDay, Donation, Share) VALUES ('2036-12-26', '2. Weihnachtsfeiertag', 100);</v>
      </c>
    </row>
    <row r="322" spans="11:33" x14ac:dyDescent="0.45">
      <c r="K322" s="10">
        <v>50040</v>
      </c>
      <c r="L322" t="str">
        <f t="shared" si="60"/>
        <v>'2036-12-31'</v>
      </c>
      <c r="M322" s="3" t="s">
        <v>565</v>
      </c>
      <c r="N322">
        <v>50</v>
      </c>
      <c r="R322" s="10">
        <f t="shared" si="59"/>
        <v>52915</v>
      </c>
      <c r="S322" t="str">
        <f t="shared" si="52"/>
        <v>'2044-11-14'</v>
      </c>
      <c r="T322">
        <f t="shared" si="53"/>
        <v>0</v>
      </c>
      <c r="U322">
        <f t="shared" si="54"/>
        <v>46</v>
      </c>
      <c r="V322">
        <f t="shared" si="55"/>
        <v>2044</v>
      </c>
      <c r="W322">
        <f t="shared" si="56"/>
        <v>11</v>
      </c>
      <c r="X322">
        <f t="shared" si="57"/>
        <v>14</v>
      </c>
      <c r="Y322">
        <f t="shared" si="58"/>
        <v>3</v>
      </c>
      <c r="AE322" s="2" t="str" cm="1">
        <f t="array" ref="AE322">CONCATENATE($AE$2,Liste(S322:U322),";")</f>
        <v>INSERT INTO WD_Workdays (CalendarDay, CalendarWeekday, CalendarWeek) VALUES ('2044-11-14', 0, 46);</v>
      </c>
      <c r="AF322" s="2"/>
      <c r="AG322" s="2" t="str" cm="1">
        <f t="array" ref="AG322">CONCATENATE($AG$2,Liste(L322:O322),";")</f>
        <v>INSERT INTO WD_Holidays (CalendarDay, Donation, Share) VALUES ('2036-12-31', 'Silvester', 50);</v>
      </c>
    </row>
    <row r="323" spans="11:33" x14ac:dyDescent="0.45">
      <c r="K323" s="10">
        <v>50041</v>
      </c>
      <c r="L323" t="str">
        <f t="shared" si="60"/>
        <v>'2037-01-01'</v>
      </c>
      <c r="M323" s="3" t="s">
        <v>481</v>
      </c>
      <c r="N323">
        <v>100</v>
      </c>
      <c r="R323" s="10">
        <f t="shared" si="59"/>
        <v>52916</v>
      </c>
      <c r="S323" t="str">
        <f t="shared" si="52"/>
        <v>'2044-11-15'</v>
      </c>
      <c r="T323">
        <f t="shared" si="53"/>
        <v>1</v>
      </c>
      <c r="U323">
        <f t="shared" si="54"/>
        <v>46</v>
      </c>
      <c r="V323">
        <f t="shared" si="55"/>
        <v>2044</v>
      </c>
      <c r="W323">
        <f t="shared" si="56"/>
        <v>11</v>
      </c>
      <c r="X323">
        <f t="shared" si="57"/>
        <v>15</v>
      </c>
      <c r="Y323">
        <f t="shared" si="58"/>
        <v>3</v>
      </c>
      <c r="AE323" s="2" t="str" cm="1">
        <f t="array" ref="AE323">CONCATENATE($AE$2,Liste(S323:U323),";")</f>
        <v>INSERT INTO WD_Workdays (CalendarDay, CalendarWeekday, CalendarWeek) VALUES ('2044-11-15', 1, 46);</v>
      </c>
      <c r="AF323" s="2"/>
      <c r="AG323" s="2" t="str" cm="1">
        <f t="array" ref="AG323">CONCATENATE($AG$2,Liste(L323:O323),";")</f>
        <v>INSERT INTO WD_Holidays (CalendarDay, Donation, Share) VALUES ('2037-01-01', 'Neujahr', 100);</v>
      </c>
    </row>
    <row r="324" spans="11:33" x14ac:dyDescent="0.45">
      <c r="K324" s="10">
        <v>50107</v>
      </c>
      <c r="L324" t="str">
        <f t="shared" si="60"/>
        <v>'2037-03-08'</v>
      </c>
      <c r="M324" s="3" t="s">
        <v>554</v>
      </c>
      <c r="N324">
        <v>100</v>
      </c>
      <c r="R324" s="10">
        <f t="shared" si="59"/>
        <v>52917</v>
      </c>
      <c r="S324" t="str">
        <f t="shared" si="52"/>
        <v>'2044-11-16'</v>
      </c>
      <c r="T324">
        <f t="shared" si="53"/>
        <v>2</v>
      </c>
      <c r="U324">
        <f t="shared" si="54"/>
        <v>46</v>
      </c>
      <c r="V324">
        <f t="shared" si="55"/>
        <v>2044</v>
      </c>
      <c r="W324">
        <f t="shared" si="56"/>
        <v>11</v>
      </c>
      <c r="X324">
        <f t="shared" si="57"/>
        <v>16</v>
      </c>
      <c r="Y324">
        <f t="shared" si="58"/>
        <v>3</v>
      </c>
      <c r="AE324" s="2" t="str" cm="1">
        <f t="array" ref="AE324">CONCATENATE($AE$2,Liste(S324:U324),";")</f>
        <v>INSERT INTO WD_Workdays (CalendarDay, CalendarWeekday, CalendarWeek) VALUES ('2044-11-16', 2, 46);</v>
      </c>
      <c r="AF324" s="2"/>
      <c r="AG324" s="2" t="str" cm="1">
        <f t="array" ref="AG324">CONCATENATE($AG$2,Liste(L324:O324),";")</f>
        <v>INSERT INTO WD_Holidays (CalendarDay, Donation, Share) VALUES ('2037-03-08', 'Internationaler Frauentag', 100);</v>
      </c>
    </row>
    <row r="325" spans="11:33" x14ac:dyDescent="0.45">
      <c r="K325" s="10">
        <v>50126</v>
      </c>
      <c r="L325" t="str">
        <f t="shared" si="60"/>
        <v>'2037-03-27'</v>
      </c>
      <c r="M325" s="3" t="s">
        <v>555</v>
      </c>
      <c r="N325">
        <v>100</v>
      </c>
      <c r="R325" s="10">
        <f t="shared" si="59"/>
        <v>52918</v>
      </c>
      <c r="S325" t="str">
        <f t="shared" ref="S325:S368" si="61">CONCATENATE("'",TEXT(R325,"jjjj-MM-tt"),"'")</f>
        <v>'2044-11-17'</v>
      </c>
      <c r="T325">
        <f t="shared" ref="T325:T368" si="62">WEEKDAY(R325,3)</f>
        <v>3</v>
      </c>
      <c r="U325">
        <f t="shared" ref="U325:U368" si="63">_xlfn.ISOWEEKNUM(R325)</f>
        <v>46</v>
      </c>
      <c r="V325">
        <f t="shared" ref="V325:V368" si="64">YEAR(R325)</f>
        <v>2044</v>
      </c>
      <c r="W325">
        <f t="shared" ref="W325:W368" si="65">MONTH(R325)</f>
        <v>11</v>
      </c>
      <c r="X325">
        <f t="shared" ref="X325:X368" si="66">DAY(R325)</f>
        <v>17</v>
      </c>
      <c r="Y325">
        <f t="shared" ref="Y325:Y368" si="67">IF(AND(W325&gt;=1,W325&lt;=3),0,IF(AND(W325&gt;=4,W325&lt;=6),1,IF(AND(W325&gt;=7,W325&lt;=8),2,IF(AND(W325&gt;=9,W325&lt;=12),3,-1))))</f>
        <v>3</v>
      </c>
      <c r="AE325" s="2" t="str" cm="1">
        <f t="array" ref="AE325">CONCATENATE($AE$2,Liste(S325:U325),";")</f>
        <v>INSERT INTO WD_Workdays (CalendarDay, CalendarWeekday, CalendarWeek) VALUES ('2044-11-17', 3, 46);</v>
      </c>
      <c r="AF325" s="2"/>
      <c r="AG325" s="2" t="str" cm="1">
        <f t="array" ref="AG325">CONCATENATE($AG$2,Liste(L325:O325),";")</f>
        <v>INSERT INTO WD_Holidays (CalendarDay, Donation, Share) VALUES ('2037-03-27', 'Karfreitag', 100);</v>
      </c>
    </row>
    <row r="326" spans="11:33" x14ac:dyDescent="0.45">
      <c r="K326" s="10">
        <v>50128</v>
      </c>
      <c r="L326" t="str">
        <f t="shared" si="60"/>
        <v>'2037-03-29'</v>
      </c>
      <c r="M326" s="3" t="s">
        <v>556</v>
      </c>
      <c r="N326">
        <v>100</v>
      </c>
      <c r="R326" s="10">
        <f t="shared" ref="R326:R369" si="68">R325+1</f>
        <v>52919</v>
      </c>
      <c r="S326" t="str">
        <f t="shared" si="61"/>
        <v>'2044-11-18'</v>
      </c>
      <c r="T326">
        <f t="shared" si="62"/>
        <v>4</v>
      </c>
      <c r="U326">
        <f t="shared" si="63"/>
        <v>46</v>
      </c>
      <c r="V326">
        <f t="shared" si="64"/>
        <v>2044</v>
      </c>
      <c r="W326">
        <f t="shared" si="65"/>
        <v>11</v>
      </c>
      <c r="X326">
        <f t="shared" si="66"/>
        <v>18</v>
      </c>
      <c r="Y326">
        <f t="shared" si="67"/>
        <v>3</v>
      </c>
      <c r="AE326" s="2" t="str" cm="1">
        <f t="array" ref="AE326">CONCATENATE($AE$2,Liste(S326:U326),";")</f>
        <v>INSERT INTO WD_Workdays (CalendarDay, CalendarWeekday, CalendarWeek) VALUES ('2044-11-18', 4, 46);</v>
      </c>
      <c r="AF326" s="2"/>
      <c r="AG326" s="2" t="str" cm="1">
        <f t="array" ref="AG326">CONCATENATE($AG$2,Liste(L326:O326),";")</f>
        <v>INSERT INTO WD_Holidays (CalendarDay, Donation, Share) VALUES ('2037-03-29', 'Ostersonntag', 100);</v>
      </c>
    </row>
    <row r="327" spans="11:33" x14ac:dyDescent="0.45">
      <c r="K327" s="10">
        <v>50129</v>
      </c>
      <c r="L327" t="str">
        <f t="shared" si="60"/>
        <v>'2037-03-30'</v>
      </c>
      <c r="M327" s="3" t="s">
        <v>557</v>
      </c>
      <c r="N327">
        <v>100</v>
      </c>
      <c r="R327" s="10">
        <f t="shared" si="68"/>
        <v>52920</v>
      </c>
      <c r="S327" t="str">
        <f t="shared" si="61"/>
        <v>'2044-11-19'</v>
      </c>
      <c r="T327">
        <f t="shared" si="62"/>
        <v>5</v>
      </c>
      <c r="U327">
        <f t="shared" si="63"/>
        <v>46</v>
      </c>
      <c r="V327">
        <f t="shared" si="64"/>
        <v>2044</v>
      </c>
      <c r="W327">
        <f t="shared" si="65"/>
        <v>11</v>
      </c>
      <c r="X327">
        <f t="shared" si="66"/>
        <v>19</v>
      </c>
      <c r="Y327">
        <f t="shared" si="67"/>
        <v>3</v>
      </c>
      <c r="AE327" s="2" t="str" cm="1">
        <f t="array" ref="AE327">CONCATENATE($AE$2,Liste(S327:U327),";")</f>
        <v>INSERT INTO WD_Workdays (CalendarDay, CalendarWeekday, CalendarWeek) VALUES ('2044-11-19', 5, 46);</v>
      </c>
      <c r="AF327" s="2"/>
      <c r="AG327" s="2" t="str" cm="1">
        <f t="array" ref="AG327">CONCATENATE($AG$2,Liste(L327:O327),";")</f>
        <v>INSERT INTO WD_Holidays (CalendarDay, Donation, Share) VALUES ('2037-03-30', 'Ostermontag', 100);</v>
      </c>
    </row>
    <row r="328" spans="11:33" x14ac:dyDescent="0.45">
      <c r="K328" s="10">
        <v>50161</v>
      </c>
      <c r="L328" t="str">
        <f t="shared" si="60"/>
        <v>'2037-05-01'</v>
      </c>
      <c r="M328" s="3" t="s">
        <v>558</v>
      </c>
      <c r="N328">
        <v>100</v>
      </c>
      <c r="R328" s="10">
        <f t="shared" si="68"/>
        <v>52921</v>
      </c>
      <c r="S328" t="str">
        <f t="shared" si="61"/>
        <v>'2044-11-20'</v>
      </c>
      <c r="T328">
        <f t="shared" si="62"/>
        <v>6</v>
      </c>
      <c r="U328">
        <f t="shared" si="63"/>
        <v>46</v>
      </c>
      <c r="V328">
        <f t="shared" si="64"/>
        <v>2044</v>
      </c>
      <c r="W328">
        <f t="shared" si="65"/>
        <v>11</v>
      </c>
      <c r="X328">
        <f t="shared" si="66"/>
        <v>20</v>
      </c>
      <c r="Y328">
        <f t="shared" si="67"/>
        <v>3</v>
      </c>
      <c r="AE328" s="2" t="str" cm="1">
        <f t="array" ref="AE328">CONCATENATE($AE$2,Liste(S328:U328),";")</f>
        <v>INSERT INTO WD_Workdays (CalendarDay, CalendarWeekday, CalendarWeek) VALUES ('2044-11-20', 6, 46);</v>
      </c>
      <c r="AF328" s="2"/>
      <c r="AG328" s="2" t="str" cm="1">
        <f t="array" ref="AG328">CONCATENATE($AG$2,Liste(L328:O328),";")</f>
        <v>INSERT INTO WD_Holidays (CalendarDay, Donation, Share) VALUES ('2037-05-01', 'Tag der Arbeit', 100);</v>
      </c>
    </row>
    <row r="329" spans="11:33" x14ac:dyDescent="0.45">
      <c r="K329" s="10">
        <v>50174</v>
      </c>
      <c r="L329" t="str">
        <f t="shared" si="60"/>
        <v>'2037-05-14'</v>
      </c>
      <c r="M329" s="3" t="s">
        <v>559</v>
      </c>
      <c r="N329">
        <v>100</v>
      </c>
      <c r="R329" s="10">
        <f t="shared" si="68"/>
        <v>52922</v>
      </c>
      <c r="S329" t="str">
        <f t="shared" si="61"/>
        <v>'2044-11-21'</v>
      </c>
      <c r="T329">
        <f t="shared" si="62"/>
        <v>0</v>
      </c>
      <c r="U329">
        <f t="shared" si="63"/>
        <v>47</v>
      </c>
      <c r="V329">
        <f t="shared" si="64"/>
        <v>2044</v>
      </c>
      <c r="W329">
        <f t="shared" si="65"/>
        <v>11</v>
      </c>
      <c r="X329">
        <f t="shared" si="66"/>
        <v>21</v>
      </c>
      <c r="Y329">
        <f t="shared" si="67"/>
        <v>3</v>
      </c>
      <c r="AE329" s="2" t="str" cm="1">
        <f t="array" ref="AE329">CONCATENATE($AE$2,Liste(S329:U329),";")</f>
        <v>INSERT INTO WD_Workdays (CalendarDay, CalendarWeekday, CalendarWeek) VALUES ('2044-11-21', 0, 47);</v>
      </c>
      <c r="AF329" s="2"/>
      <c r="AG329" s="2" t="str" cm="1">
        <f t="array" ref="AG329">CONCATENATE($AG$2,Liste(L329:O329),";")</f>
        <v>INSERT INTO WD_Holidays (CalendarDay, Donation, Share) VALUES ('2037-05-14', 'Christi Himmelfahrt', 100);</v>
      </c>
    </row>
    <row r="330" spans="11:33" x14ac:dyDescent="0.45">
      <c r="K330" s="10">
        <v>50184</v>
      </c>
      <c r="L330" t="str">
        <f t="shared" si="60"/>
        <v>'2037-05-24'</v>
      </c>
      <c r="M330" s="3" t="s">
        <v>779</v>
      </c>
      <c r="N330">
        <v>100</v>
      </c>
      <c r="R330" s="10">
        <f t="shared" si="68"/>
        <v>52923</v>
      </c>
      <c r="S330" t="str">
        <f t="shared" si="61"/>
        <v>'2044-11-22'</v>
      </c>
      <c r="T330">
        <f t="shared" si="62"/>
        <v>1</v>
      </c>
      <c r="U330">
        <f t="shared" si="63"/>
        <v>47</v>
      </c>
      <c r="V330">
        <f t="shared" si="64"/>
        <v>2044</v>
      </c>
      <c r="W330">
        <f t="shared" si="65"/>
        <v>11</v>
      </c>
      <c r="X330">
        <f t="shared" si="66"/>
        <v>22</v>
      </c>
      <c r="Y330">
        <f t="shared" si="67"/>
        <v>3</v>
      </c>
      <c r="AE330" s="2" t="str" cm="1">
        <f t="array" ref="AE330">CONCATENATE($AE$2,Liste(S330:U330),";")</f>
        <v>INSERT INTO WD_Workdays (CalendarDay, CalendarWeekday, CalendarWeek) VALUES ('2044-11-22', 1, 47);</v>
      </c>
      <c r="AF330" s="2"/>
      <c r="AG330" s="2" t="str" cm="1">
        <f t="array" ref="AG330">CONCATENATE($AG$2,Liste(L330:O330),";")</f>
        <v>INSERT INTO WD_Holidays (CalendarDay, Donation, Share) VALUES ('2037-05-24', 'Pfingstsonntag', 100);</v>
      </c>
    </row>
    <row r="331" spans="11:33" x14ac:dyDescent="0.45">
      <c r="K331" s="10">
        <v>50185</v>
      </c>
      <c r="L331" t="str">
        <f t="shared" si="60"/>
        <v>'2037-05-25'</v>
      </c>
      <c r="M331" s="3" t="s">
        <v>560</v>
      </c>
      <c r="N331">
        <v>100</v>
      </c>
      <c r="R331" s="10">
        <f t="shared" si="68"/>
        <v>52924</v>
      </c>
      <c r="S331" t="str">
        <f t="shared" si="61"/>
        <v>'2044-11-23'</v>
      </c>
      <c r="T331">
        <f t="shared" si="62"/>
        <v>2</v>
      </c>
      <c r="U331">
        <f t="shared" si="63"/>
        <v>47</v>
      </c>
      <c r="V331">
        <f t="shared" si="64"/>
        <v>2044</v>
      </c>
      <c r="W331">
        <f t="shared" si="65"/>
        <v>11</v>
      </c>
      <c r="X331">
        <f t="shared" si="66"/>
        <v>23</v>
      </c>
      <c r="Y331">
        <f t="shared" si="67"/>
        <v>3</v>
      </c>
      <c r="AE331" s="2" t="str" cm="1">
        <f t="array" ref="AE331">CONCATENATE($AE$2,Liste(S331:U331),";")</f>
        <v>INSERT INTO WD_Workdays (CalendarDay, CalendarWeekday, CalendarWeek) VALUES ('2044-11-23', 2, 47);</v>
      </c>
      <c r="AF331" s="2"/>
      <c r="AG331" s="2" t="str" cm="1">
        <f t="array" ref="AG331">CONCATENATE($AG$2,Liste(L331:O331),";")</f>
        <v>INSERT INTO WD_Holidays (CalendarDay, Donation, Share) VALUES ('2037-05-25', 'Pfingstmontag', 100);</v>
      </c>
    </row>
    <row r="332" spans="11:33" x14ac:dyDescent="0.45">
      <c r="K332" s="10">
        <v>50316</v>
      </c>
      <c r="L332" t="str">
        <f t="shared" si="60"/>
        <v>'2037-10-03'</v>
      </c>
      <c r="M332" s="3" t="s">
        <v>561</v>
      </c>
      <c r="N332">
        <v>100</v>
      </c>
      <c r="R332" s="10">
        <f t="shared" si="68"/>
        <v>52925</v>
      </c>
      <c r="S332" t="str">
        <f t="shared" si="61"/>
        <v>'2044-11-24'</v>
      </c>
      <c r="T332">
        <f t="shared" si="62"/>
        <v>3</v>
      </c>
      <c r="U332">
        <f t="shared" si="63"/>
        <v>47</v>
      </c>
      <c r="V332">
        <f t="shared" si="64"/>
        <v>2044</v>
      </c>
      <c r="W332">
        <f t="shared" si="65"/>
        <v>11</v>
      </c>
      <c r="X332">
        <f t="shared" si="66"/>
        <v>24</v>
      </c>
      <c r="Y332">
        <f t="shared" si="67"/>
        <v>3</v>
      </c>
      <c r="AE332" s="2" t="str" cm="1">
        <f t="array" ref="AE332">CONCATENATE($AE$2,Liste(S332:U332),";")</f>
        <v>INSERT INTO WD_Workdays (CalendarDay, CalendarWeekday, CalendarWeek) VALUES ('2044-11-24', 3, 47);</v>
      </c>
      <c r="AF332" s="2"/>
      <c r="AG332" s="2" t="str" cm="1">
        <f t="array" ref="AG332">CONCATENATE($AG$2,Liste(L332:O332),";")</f>
        <v>INSERT INTO WD_Holidays (CalendarDay, Donation, Share) VALUES ('2037-10-03', 'Tag der Deutschen Einheit', 100);</v>
      </c>
    </row>
    <row r="333" spans="11:33" x14ac:dyDescent="0.45">
      <c r="K333" s="10">
        <v>50398</v>
      </c>
      <c r="L333" t="str">
        <f t="shared" si="60"/>
        <v>'2037-12-24'</v>
      </c>
      <c r="M333" s="3" t="s">
        <v>562</v>
      </c>
      <c r="N333">
        <v>50</v>
      </c>
      <c r="R333" s="10">
        <f t="shared" si="68"/>
        <v>52926</v>
      </c>
      <c r="S333" t="str">
        <f t="shared" si="61"/>
        <v>'2044-11-25'</v>
      </c>
      <c r="T333">
        <f t="shared" si="62"/>
        <v>4</v>
      </c>
      <c r="U333">
        <f t="shared" si="63"/>
        <v>47</v>
      </c>
      <c r="V333">
        <f t="shared" si="64"/>
        <v>2044</v>
      </c>
      <c r="W333">
        <f t="shared" si="65"/>
        <v>11</v>
      </c>
      <c r="X333">
        <f t="shared" si="66"/>
        <v>25</v>
      </c>
      <c r="Y333">
        <f t="shared" si="67"/>
        <v>3</v>
      </c>
      <c r="AE333" s="2" t="str" cm="1">
        <f t="array" ref="AE333">CONCATENATE($AE$2,Liste(S333:U333),";")</f>
        <v>INSERT INTO WD_Workdays (CalendarDay, CalendarWeekday, CalendarWeek) VALUES ('2044-11-25', 4, 47);</v>
      </c>
      <c r="AF333" s="2"/>
      <c r="AG333" s="2" t="str" cm="1">
        <f t="array" ref="AG333">CONCATENATE($AG$2,Liste(L333:O333),";")</f>
        <v>INSERT INTO WD_Holidays (CalendarDay, Donation, Share) VALUES ('2037-12-24', 'Heiligabend', 50);</v>
      </c>
    </row>
    <row r="334" spans="11:33" x14ac:dyDescent="0.45">
      <c r="K334" s="10">
        <v>50399</v>
      </c>
      <c r="L334" t="str">
        <f t="shared" si="60"/>
        <v>'2037-12-25'</v>
      </c>
      <c r="M334" s="3" t="s">
        <v>563</v>
      </c>
      <c r="N334">
        <v>100</v>
      </c>
      <c r="R334" s="10">
        <f t="shared" si="68"/>
        <v>52927</v>
      </c>
      <c r="S334" t="str">
        <f t="shared" si="61"/>
        <v>'2044-11-26'</v>
      </c>
      <c r="T334">
        <f t="shared" si="62"/>
        <v>5</v>
      </c>
      <c r="U334">
        <f t="shared" si="63"/>
        <v>47</v>
      </c>
      <c r="V334">
        <f t="shared" si="64"/>
        <v>2044</v>
      </c>
      <c r="W334">
        <f t="shared" si="65"/>
        <v>11</v>
      </c>
      <c r="X334">
        <f t="shared" si="66"/>
        <v>26</v>
      </c>
      <c r="Y334">
        <f t="shared" si="67"/>
        <v>3</v>
      </c>
      <c r="AE334" s="2" t="str" cm="1">
        <f t="array" ref="AE334">CONCATENATE($AE$2,Liste(S334:U334),";")</f>
        <v>INSERT INTO WD_Workdays (CalendarDay, CalendarWeekday, CalendarWeek) VALUES ('2044-11-26', 5, 47);</v>
      </c>
      <c r="AF334" s="2"/>
      <c r="AG334" s="2" t="str" cm="1">
        <f t="array" ref="AG334">CONCATENATE($AG$2,Liste(L334:O334),";")</f>
        <v>INSERT INTO WD_Holidays (CalendarDay, Donation, Share) VALUES ('2037-12-25', '1. Weihnachtsfeiertag', 100);</v>
      </c>
    </row>
    <row r="335" spans="11:33" x14ac:dyDescent="0.45">
      <c r="K335" s="10">
        <v>50400</v>
      </c>
      <c r="L335" t="str">
        <f t="shared" si="60"/>
        <v>'2037-12-26'</v>
      </c>
      <c r="M335" s="3" t="s">
        <v>564</v>
      </c>
      <c r="N335">
        <v>100</v>
      </c>
      <c r="R335" s="10">
        <f t="shared" si="68"/>
        <v>52928</v>
      </c>
      <c r="S335" t="str">
        <f t="shared" si="61"/>
        <v>'2044-11-27'</v>
      </c>
      <c r="T335">
        <f t="shared" si="62"/>
        <v>6</v>
      </c>
      <c r="U335">
        <f t="shared" si="63"/>
        <v>47</v>
      </c>
      <c r="V335">
        <f t="shared" si="64"/>
        <v>2044</v>
      </c>
      <c r="W335">
        <f t="shared" si="65"/>
        <v>11</v>
      </c>
      <c r="X335">
        <f t="shared" si="66"/>
        <v>27</v>
      </c>
      <c r="Y335">
        <f t="shared" si="67"/>
        <v>3</v>
      </c>
      <c r="AE335" s="2" t="str" cm="1">
        <f t="array" ref="AE335">CONCATENATE($AE$2,Liste(S335:U335),";")</f>
        <v>INSERT INTO WD_Workdays (CalendarDay, CalendarWeekday, CalendarWeek) VALUES ('2044-11-27', 6, 47);</v>
      </c>
      <c r="AF335" s="2"/>
      <c r="AG335" s="2" t="str" cm="1">
        <f t="array" ref="AG335">CONCATENATE($AG$2,Liste(L335:O335),";")</f>
        <v>INSERT INTO WD_Holidays (CalendarDay, Donation, Share) VALUES ('2037-12-26', '2. Weihnachtsfeiertag', 100);</v>
      </c>
    </row>
    <row r="336" spans="11:33" x14ac:dyDescent="0.45">
      <c r="K336" s="10">
        <v>50405</v>
      </c>
      <c r="L336" t="str">
        <f t="shared" si="60"/>
        <v>'2037-12-31'</v>
      </c>
      <c r="M336" s="3" t="s">
        <v>565</v>
      </c>
      <c r="N336">
        <v>50</v>
      </c>
      <c r="R336" s="10">
        <f t="shared" si="68"/>
        <v>52929</v>
      </c>
      <c r="S336" t="str">
        <f t="shared" si="61"/>
        <v>'2044-11-28'</v>
      </c>
      <c r="T336">
        <f t="shared" si="62"/>
        <v>0</v>
      </c>
      <c r="U336">
        <f t="shared" si="63"/>
        <v>48</v>
      </c>
      <c r="V336">
        <f t="shared" si="64"/>
        <v>2044</v>
      </c>
      <c r="W336">
        <f t="shared" si="65"/>
        <v>11</v>
      </c>
      <c r="X336">
        <f t="shared" si="66"/>
        <v>28</v>
      </c>
      <c r="Y336">
        <f t="shared" si="67"/>
        <v>3</v>
      </c>
      <c r="AE336" s="2" t="str" cm="1">
        <f t="array" ref="AE336">CONCATENATE($AE$2,Liste(S336:U336),";")</f>
        <v>INSERT INTO WD_Workdays (CalendarDay, CalendarWeekday, CalendarWeek) VALUES ('2044-11-28', 0, 48);</v>
      </c>
      <c r="AF336" s="2"/>
      <c r="AG336" s="2" t="str" cm="1">
        <f t="array" ref="AG336">CONCATENATE($AG$2,Liste(L336:O336),";")</f>
        <v>INSERT INTO WD_Holidays (CalendarDay, Donation, Share) VALUES ('2037-12-31', 'Silvester', 50);</v>
      </c>
    </row>
    <row r="337" spans="11:33" x14ac:dyDescent="0.45">
      <c r="K337" s="10">
        <v>50406</v>
      </c>
      <c r="L337" t="str">
        <f t="shared" si="60"/>
        <v>'2038-01-01'</v>
      </c>
      <c r="M337" s="3" t="s">
        <v>481</v>
      </c>
      <c r="N337">
        <v>100</v>
      </c>
      <c r="R337" s="10">
        <f t="shared" si="68"/>
        <v>52930</v>
      </c>
      <c r="S337" t="str">
        <f t="shared" si="61"/>
        <v>'2044-11-29'</v>
      </c>
      <c r="T337">
        <f t="shared" si="62"/>
        <v>1</v>
      </c>
      <c r="U337">
        <f t="shared" si="63"/>
        <v>48</v>
      </c>
      <c r="V337">
        <f t="shared" si="64"/>
        <v>2044</v>
      </c>
      <c r="W337">
        <f t="shared" si="65"/>
        <v>11</v>
      </c>
      <c r="X337">
        <f t="shared" si="66"/>
        <v>29</v>
      </c>
      <c r="Y337">
        <f t="shared" si="67"/>
        <v>3</v>
      </c>
      <c r="AE337" s="2" t="str" cm="1">
        <f t="array" ref="AE337">CONCATENATE($AE$2,Liste(S337:U337),";")</f>
        <v>INSERT INTO WD_Workdays (CalendarDay, CalendarWeekday, CalendarWeek) VALUES ('2044-11-29', 1, 48);</v>
      </c>
      <c r="AF337" s="2"/>
      <c r="AG337" s="2" t="str" cm="1">
        <f t="array" ref="AG337">CONCATENATE($AG$2,Liste(L337:O337),";")</f>
        <v>INSERT INTO WD_Holidays (CalendarDay, Donation, Share) VALUES ('2038-01-01', 'Neujahr', 100);</v>
      </c>
    </row>
    <row r="338" spans="11:33" x14ac:dyDescent="0.45">
      <c r="K338" s="10">
        <v>50472</v>
      </c>
      <c r="L338" t="str">
        <f t="shared" si="60"/>
        <v>'2038-03-08'</v>
      </c>
      <c r="M338" s="3" t="s">
        <v>554</v>
      </c>
      <c r="N338">
        <v>100</v>
      </c>
      <c r="R338" s="10">
        <f t="shared" si="68"/>
        <v>52931</v>
      </c>
      <c r="S338" t="str">
        <f t="shared" si="61"/>
        <v>'2044-11-30'</v>
      </c>
      <c r="T338">
        <f t="shared" si="62"/>
        <v>2</v>
      </c>
      <c r="U338">
        <f t="shared" si="63"/>
        <v>48</v>
      </c>
      <c r="V338">
        <f t="shared" si="64"/>
        <v>2044</v>
      </c>
      <c r="W338">
        <f t="shared" si="65"/>
        <v>11</v>
      </c>
      <c r="X338">
        <f t="shared" si="66"/>
        <v>30</v>
      </c>
      <c r="Y338">
        <f t="shared" si="67"/>
        <v>3</v>
      </c>
      <c r="AE338" s="2" t="str" cm="1">
        <f t="array" ref="AE338">CONCATENATE($AE$2,Liste(S338:U338),";")</f>
        <v>INSERT INTO WD_Workdays (CalendarDay, CalendarWeekday, CalendarWeek) VALUES ('2044-11-30', 2, 48);</v>
      </c>
      <c r="AF338" s="2"/>
      <c r="AG338" s="2" t="str" cm="1">
        <f t="array" ref="AG338">CONCATENATE($AG$2,Liste(L338:O338),";")</f>
        <v>INSERT INTO WD_Holidays (CalendarDay, Donation, Share) VALUES ('2038-03-08', 'Internationaler Frauentag', 100);</v>
      </c>
    </row>
    <row r="339" spans="11:33" x14ac:dyDescent="0.45">
      <c r="K339" s="10">
        <v>50511</v>
      </c>
      <c r="L339" t="str">
        <f t="shared" si="60"/>
        <v>'2038-04-16'</v>
      </c>
      <c r="M339" s="3" t="s">
        <v>555</v>
      </c>
      <c r="N339">
        <v>100</v>
      </c>
      <c r="R339" s="10">
        <f t="shared" si="68"/>
        <v>52932</v>
      </c>
      <c r="S339" t="str">
        <f t="shared" si="61"/>
        <v>'2044-12-01'</v>
      </c>
      <c r="T339">
        <f t="shared" si="62"/>
        <v>3</v>
      </c>
      <c r="U339">
        <f t="shared" si="63"/>
        <v>48</v>
      </c>
      <c r="V339">
        <f t="shared" si="64"/>
        <v>2044</v>
      </c>
      <c r="W339">
        <f t="shared" si="65"/>
        <v>12</v>
      </c>
      <c r="X339">
        <f t="shared" si="66"/>
        <v>1</v>
      </c>
      <c r="Y339">
        <f t="shared" si="67"/>
        <v>3</v>
      </c>
      <c r="AE339" s="2" t="str" cm="1">
        <f t="array" ref="AE339">CONCATENATE($AE$2,Liste(S339:U339),";")</f>
        <v>INSERT INTO WD_Workdays (CalendarDay, CalendarWeekday, CalendarWeek) VALUES ('2044-12-01', 3, 48);</v>
      </c>
      <c r="AF339" s="2"/>
      <c r="AG339" s="2" t="str" cm="1">
        <f t="array" ref="AG339">CONCATENATE($AG$2,Liste(L339:O339),";")</f>
        <v>INSERT INTO WD_Holidays (CalendarDay, Donation, Share) VALUES ('2038-04-16', 'Karfreitag', 100);</v>
      </c>
    </row>
    <row r="340" spans="11:33" x14ac:dyDescent="0.45">
      <c r="K340" s="10">
        <v>50513</v>
      </c>
      <c r="L340" t="str">
        <f t="shared" si="60"/>
        <v>'2038-04-18'</v>
      </c>
      <c r="M340" s="3" t="s">
        <v>556</v>
      </c>
      <c r="N340">
        <v>100</v>
      </c>
      <c r="R340" s="10">
        <f t="shared" si="68"/>
        <v>52933</v>
      </c>
      <c r="S340" t="str">
        <f t="shared" si="61"/>
        <v>'2044-12-02'</v>
      </c>
      <c r="T340">
        <f t="shared" si="62"/>
        <v>4</v>
      </c>
      <c r="U340">
        <f t="shared" si="63"/>
        <v>48</v>
      </c>
      <c r="V340">
        <f t="shared" si="64"/>
        <v>2044</v>
      </c>
      <c r="W340">
        <f t="shared" si="65"/>
        <v>12</v>
      </c>
      <c r="X340">
        <f t="shared" si="66"/>
        <v>2</v>
      </c>
      <c r="Y340">
        <f t="shared" si="67"/>
        <v>3</v>
      </c>
      <c r="AE340" s="2" t="str" cm="1">
        <f t="array" ref="AE340">CONCATENATE($AE$2,Liste(S340:U340),";")</f>
        <v>INSERT INTO WD_Workdays (CalendarDay, CalendarWeekday, CalendarWeek) VALUES ('2044-12-02', 4, 48);</v>
      </c>
      <c r="AF340" s="2"/>
      <c r="AG340" s="2" t="str" cm="1">
        <f t="array" ref="AG340">CONCATENATE($AG$2,Liste(L340:O340),";")</f>
        <v>INSERT INTO WD_Holidays (CalendarDay, Donation, Share) VALUES ('2038-04-18', 'Ostersonntag', 100);</v>
      </c>
    </row>
    <row r="341" spans="11:33" x14ac:dyDescent="0.45">
      <c r="K341" s="10">
        <v>50514</v>
      </c>
      <c r="L341" t="str">
        <f t="shared" si="60"/>
        <v>'2038-04-19'</v>
      </c>
      <c r="M341" s="3" t="s">
        <v>557</v>
      </c>
      <c r="N341">
        <v>100</v>
      </c>
      <c r="R341" s="10">
        <f t="shared" si="68"/>
        <v>52934</v>
      </c>
      <c r="S341" t="str">
        <f t="shared" si="61"/>
        <v>'2044-12-03'</v>
      </c>
      <c r="T341">
        <f t="shared" si="62"/>
        <v>5</v>
      </c>
      <c r="U341">
        <f t="shared" si="63"/>
        <v>48</v>
      </c>
      <c r="V341">
        <f t="shared" si="64"/>
        <v>2044</v>
      </c>
      <c r="W341">
        <f t="shared" si="65"/>
        <v>12</v>
      </c>
      <c r="X341">
        <f t="shared" si="66"/>
        <v>3</v>
      </c>
      <c r="Y341">
        <f t="shared" si="67"/>
        <v>3</v>
      </c>
      <c r="AE341" s="2" t="str" cm="1">
        <f t="array" ref="AE341">CONCATENATE($AE$2,Liste(S341:U341),";")</f>
        <v>INSERT INTO WD_Workdays (CalendarDay, CalendarWeekday, CalendarWeek) VALUES ('2044-12-03', 5, 48);</v>
      </c>
      <c r="AF341" s="2"/>
      <c r="AG341" s="2" t="str" cm="1">
        <f t="array" ref="AG341">CONCATENATE($AG$2,Liste(L341:O341),";")</f>
        <v>INSERT INTO WD_Holidays (CalendarDay, Donation, Share) VALUES ('2038-04-19', 'Ostermontag', 100);</v>
      </c>
    </row>
    <row r="342" spans="11:33" x14ac:dyDescent="0.45">
      <c r="K342" s="10">
        <v>50526</v>
      </c>
      <c r="L342" t="str">
        <f t="shared" si="60"/>
        <v>'2038-05-01'</v>
      </c>
      <c r="M342" s="3" t="s">
        <v>558</v>
      </c>
      <c r="N342">
        <v>100</v>
      </c>
      <c r="R342" s="10">
        <f t="shared" si="68"/>
        <v>52935</v>
      </c>
      <c r="S342" t="str">
        <f t="shared" si="61"/>
        <v>'2044-12-04'</v>
      </c>
      <c r="T342">
        <f t="shared" si="62"/>
        <v>6</v>
      </c>
      <c r="U342">
        <f t="shared" si="63"/>
        <v>48</v>
      </c>
      <c r="V342">
        <f t="shared" si="64"/>
        <v>2044</v>
      </c>
      <c r="W342">
        <f t="shared" si="65"/>
        <v>12</v>
      </c>
      <c r="X342">
        <f t="shared" si="66"/>
        <v>4</v>
      </c>
      <c r="Y342">
        <f t="shared" si="67"/>
        <v>3</v>
      </c>
      <c r="AE342" s="2" t="str" cm="1">
        <f t="array" ref="AE342">CONCATENATE($AE$2,Liste(S342:U342),";")</f>
        <v>INSERT INTO WD_Workdays (CalendarDay, CalendarWeekday, CalendarWeek) VALUES ('2044-12-04', 6, 48);</v>
      </c>
      <c r="AF342" s="2"/>
      <c r="AG342" s="2" t="str" cm="1">
        <f t="array" ref="AG342">CONCATENATE($AG$2,Liste(L342:O342),";")</f>
        <v>INSERT INTO WD_Holidays (CalendarDay, Donation, Share) VALUES ('2038-05-01', 'Tag der Arbeit', 100);</v>
      </c>
    </row>
    <row r="343" spans="11:33" x14ac:dyDescent="0.45">
      <c r="K343" s="10">
        <v>50531</v>
      </c>
      <c r="L343" t="str">
        <f t="shared" si="60"/>
        <v>'2038-05-06'</v>
      </c>
      <c r="M343" s="3" t="s">
        <v>559</v>
      </c>
      <c r="N343">
        <v>100</v>
      </c>
      <c r="R343" s="10">
        <f t="shared" si="68"/>
        <v>52936</v>
      </c>
      <c r="S343" t="str">
        <f t="shared" si="61"/>
        <v>'2044-12-05'</v>
      </c>
      <c r="T343">
        <f t="shared" si="62"/>
        <v>0</v>
      </c>
      <c r="U343">
        <f t="shared" si="63"/>
        <v>49</v>
      </c>
      <c r="V343">
        <f t="shared" si="64"/>
        <v>2044</v>
      </c>
      <c r="W343">
        <f t="shared" si="65"/>
        <v>12</v>
      </c>
      <c r="X343">
        <f t="shared" si="66"/>
        <v>5</v>
      </c>
      <c r="Y343">
        <f t="shared" si="67"/>
        <v>3</v>
      </c>
      <c r="AE343" s="2" t="str" cm="1">
        <f t="array" ref="AE343">CONCATENATE($AE$2,Liste(S343:U343),";")</f>
        <v>INSERT INTO WD_Workdays (CalendarDay, CalendarWeekday, CalendarWeek) VALUES ('2044-12-05', 0, 49);</v>
      </c>
      <c r="AF343" s="2"/>
      <c r="AG343" s="2" t="str" cm="1">
        <f t="array" ref="AG343">CONCATENATE($AG$2,Liste(L343:O343),";")</f>
        <v>INSERT INTO WD_Holidays (CalendarDay, Donation, Share) VALUES ('2038-05-06', 'Christi Himmelfahrt', 100);</v>
      </c>
    </row>
    <row r="344" spans="11:33" x14ac:dyDescent="0.45">
      <c r="K344" s="10">
        <v>50541</v>
      </c>
      <c r="L344" t="str">
        <f t="shared" si="60"/>
        <v>'2038-05-16'</v>
      </c>
      <c r="M344" s="3" t="s">
        <v>779</v>
      </c>
      <c r="N344">
        <v>100</v>
      </c>
      <c r="R344" s="10">
        <f t="shared" si="68"/>
        <v>52937</v>
      </c>
      <c r="S344" t="str">
        <f t="shared" si="61"/>
        <v>'2044-12-06'</v>
      </c>
      <c r="T344">
        <f t="shared" si="62"/>
        <v>1</v>
      </c>
      <c r="U344">
        <f t="shared" si="63"/>
        <v>49</v>
      </c>
      <c r="V344">
        <f t="shared" si="64"/>
        <v>2044</v>
      </c>
      <c r="W344">
        <f t="shared" si="65"/>
        <v>12</v>
      </c>
      <c r="X344">
        <f t="shared" si="66"/>
        <v>6</v>
      </c>
      <c r="Y344">
        <f t="shared" si="67"/>
        <v>3</v>
      </c>
      <c r="AE344" s="2" t="str" cm="1">
        <f t="array" ref="AE344">CONCATENATE($AE$2,Liste(S344:U344),";")</f>
        <v>INSERT INTO WD_Workdays (CalendarDay, CalendarWeekday, CalendarWeek) VALUES ('2044-12-06', 1, 49);</v>
      </c>
      <c r="AF344" s="2"/>
      <c r="AG344" s="2" t="str" cm="1">
        <f t="array" ref="AG344">CONCATENATE($AG$2,Liste(L344:O344),";")</f>
        <v>INSERT INTO WD_Holidays (CalendarDay, Donation, Share) VALUES ('2038-05-16', 'Pfingstsonntag', 100);</v>
      </c>
    </row>
    <row r="345" spans="11:33" x14ac:dyDescent="0.45">
      <c r="K345" s="10">
        <v>50542</v>
      </c>
      <c r="L345" t="str">
        <f t="shared" si="60"/>
        <v>'2038-05-17'</v>
      </c>
      <c r="M345" s="3" t="s">
        <v>560</v>
      </c>
      <c r="N345">
        <v>100</v>
      </c>
      <c r="R345" s="10">
        <f t="shared" si="68"/>
        <v>52938</v>
      </c>
      <c r="S345" t="str">
        <f t="shared" si="61"/>
        <v>'2044-12-07'</v>
      </c>
      <c r="T345">
        <f t="shared" si="62"/>
        <v>2</v>
      </c>
      <c r="U345">
        <f t="shared" si="63"/>
        <v>49</v>
      </c>
      <c r="V345">
        <f t="shared" si="64"/>
        <v>2044</v>
      </c>
      <c r="W345">
        <f t="shared" si="65"/>
        <v>12</v>
      </c>
      <c r="X345">
        <f t="shared" si="66"/>
        <v>7</v>
      </c>
      <c r="Y345">
        <f t="shared" si="67"/>
        <v>3</v>
      </c>
      <c r="AE345" s="2" t="str" cm="1">
        <f t="array" ref="AE345">CONCATENATE($AE$2,Liste(S345:U345),";")</f>
        <v>INSERT INTO WD_Workdays (CalendarDay, CalendarWeekday, CalendarWeek) VALUES ('2044-12-07', 2, 49);</v>
      </c>
      <c r="AF345" s="2"/>
      <c r="AG345" s="2" t="str" cm="1">
        <f t="array" ref="AG345">CONCATENATE($AG$2,Liste(L345:O345),";")</f>
        <v>INSERT INTO WD_Holidays (CalendarDay, Donation, Share) VALUES ('2038-05-17', 'Pfingstmontag', 100);</v>
      </c>
    </row>
    <row r="346" spans="11:33" x14ac:dyDescent="0.45">
      <c r="K346" s="10">
        <v>50681</v>
      </c>
      <c r="L346" t="str">
        <f t="shared" si="60"/>
        <v>'2038-10-03'</v>
      </c>
      <c r="M346" s="3" t="s">
        <v>561</v>
      </c>
      <c r="N346">
        <v>100</v>
      </c>
      <c r="R346" s="10">
        <f t="shared" si="68"/>
        <v>52939</v>
      </c>
      <c r="S346" t="str">
        <f t="shared" si="61"/>
        <v>'2044-12-08'</v>
      </c>
      <c r="T346">
        <f t="shared" si="62"/>
        <v>3</v>
      </c>
      <c r="U346">
        <f t="shared" si="63"/>
        <v>49</v>
      </c>
      <c r="V346">
        <f t="shared" si="64"/>
        <v>2044</v>
      </c>
      <c r="W346">
        <f t="shared" si="65"/>
        <v>12</v>
      </c>
      <c r="X346">
        <f t="shared" si="66"/>
        <v>8</v>
      </c>
      <c r="Y346">
        <f t="shared" si="67"/>
        <v>3</v>
      </c>
      <c r="AE346" s="2" t="str" cm="1">
        <f t="array" ref="AE346">CONCATENATE($AE$2,Liste(S346:U346),";")</f>
        <v>INSERT INTO WD_Workdays (CalendarDay, CalendarWeekday, CalendarWeek) VALUES ('2044-12-08', 3, 49);</v>
      </c>
      <c r="AF346" s="2"/>
      <c r="AG346" s="2" t="str" cm="1">
        <f t="array" ref="AG346">CONCATENATE($AG$2,Liste(L346:O346),";")</f>
        <v>INSERT INTO WD_Holidays (CalendarDay, Donation, Share) VALUES ('2038-10-03', 'Tag der Deutschen Einheit', 100);</v>
      </c>
    </row>
    <row r="347" spans="11:33" x14ac:dyDescent="0.45">
      <c r="K347" s="10">
        <v>50763</v>
      </c>
      <c r="L347" t="str">
        <f t="shared" si="60"/>
        <v>'2038-12-24'</v>
      </c>
      <c r="M347" s="3" t="s">
        <v>562</v>
      </c>
      <c r="N347">
        <v>50</v>
      </c>
      <c r="R347" s="10">
        <f t="shared" si="68"/>
        <v>52940</v>
      </c>
      <c r="S347" t="str">
        <f t="shared" si="61"/>
        <v>'2044-12-09'</v>
      </c>
      <c r="T347">
        <f t="shared" si="62"/>
        <v>4</v>
      </c>
      <c r="U347">
        <f t="shared" si="63"/>
        <v>49</v>
      </c>
      <c r="V347">
        <f t="shared" si="64"/>
        <v>2044</v>
      </c>
      <c r="W347">
        <f t="shared" si="65"/>
        <v>12</v>
      </c>
      <c r="X347">
        <f t="shared" si="66"/>
        <v>9</v>
      </c>
      <c r="Y347">
        <f t="shared" si="67"/>
        <v>3</v>
      </c>
      <c r="AE347" s="2" t="str" cm="1">
        <f t="array" ref="AE347">CONCATENATE($AE$2,Liste(S347:U347),";")</f>
        <v>INSERT INTO WD_Workdays (CalendarDay, CalendarWeekday, CalendarWeek) VALUES ('2044-12-09', 4, 49);</v>
      </c>
      <c r="AF347" s="2"/>
      <c r="AG347" s="2" t="str" cm="1">
        <f t="array" ref="AG347">CONCATENATE($AG$2,Liste(L347:O347),";")</f>
        <v>INSERT INTO WD_Holidays (CalendarDay, Donation, Share) VALUES ('2038-12-24', 'Heiligabend', 50);</v>
      </c>
    </row>
    <row r="348" spans="11:33" x14ac:dyDescent="0.45">
      <c r="K348" s="10">
        <v>50764</v>
      </c>
      <c r="L348" t="str">
        <f t="shared" si="60"/>
        <v>'2038-12-25'</v>
      </c>
      <c r="M348" s="3" t="s">
        <v>563</v>
      </c>
      <c r="N348">
        <v>100</v>
      </c>
      <c r="R348" s="10">
        <f t="shared" si="68"/>
        <v>52941</v>
      </c>
      <c r="S348" t="str">
        <f t="shared" si="61"/>
        <v>'2044-12-10'</v>
      </c>
      <c r="T348">
        <f t="shared" si="62"/>
        <v>5</v>
      </c>
      <c r="U348">
        <f t="shared" si="63"/>
        <v>49</v>
      </c>
      <c r="V348">
        <f t="shared" si="64"/>
        <v>2044</v>
      </c>
      <c r="W348">
        <f t="shared" si="65"/>
        <v>12</v>
      </c>
      <c r="X348">
        <f t="shared" si="66"/>
        <v>10</v>
      </c>
      <c r="Y348">
        <f t="shared" si="67"/>
        <v>3</v>
      </c>
      <c r="AE348" s="2" t="str" cm="1">
        <f t="array" ref="AE348">CONCATENATE($AE$2,Liste(S348:U348),";")</f>
        <v>INSERT INTO WD_Workdays (CalendarDay, CalendarWeekday, CalendarWeek) VALUES ('2044-12-10', 5, 49);</v>
      </c>
      <c r="AF348" s="2"/>
      <c r="AG348" s="2" t="str" cm="1">
        <f t="array" ref="AG348">CONCATENATE($AG$2,Liste(L348:O348),";")</f>
        <v>INSERT INTO WD_Holidays (CalendarDay, Donation, Share) VALUES ('2038-12-25', '1. Weihnachtsfeiertag', 100);</v>
      </c>
    </row>
    <row r="349" spans="11:33" x14ac:dyDescent="0.45">
      <c r="K349" s="10">
        <v>50765</v>
      </c>
      <c r="L349" t="str">
        <f t="shared" si="60"/>
        <v>'2038-12-26'</v>
      </c>
      <c r="M349" s="3" t="s">
        <v>564</v>
      </c>
      <c r="N349">
        <v>100</v>
      </c>
      <c r="R349" s="10">
        <f t="shared" si="68"/>
        <v>52942</v>
      </c>
      <c r="S349" t="str">
        <f t="shared" si="61"/>
        <v>'2044-12-11'</v>
      </c>
      <c r="T349">
        <f t="shared" si="62"/>
        <v>6</v>
      </c>
      <c r="U349">
        <f t="shared" si="63"/>
        <v>49</v>
      </c>
      <c r="V349">
        <f t="shared" si="64"/>
        <v>2044</v>
      </c>
      <c r="W349">
        <f t="shared" si="65"/>
        <v>12</v>
      </c>
      <c r="X349">
        <f t="shared" si="66"/>
        <v>11</v>
      </c>
      <c r="Y349">
        <f t="shared" si="67"/>
        <v>3</v>
      </c>
      <c r="AE349" s="2" t="str" cm="1">
        <f t="array" ref="AE349">CONCATENATE($AE$2,Liste(S349:U349),";")</f>
        <v>INSERT INTO WD_Workdays (CalendarDay, CalendarWeekday, CalendarWeek) VALUES ('2044-12-11', 6, 49);</v>
      </c>
      <c r="AF349" s="2"/>
      <c r="AG349" s="2" t="str" cm="1">
        <f t="array" ref="AG349">CONCATENATE($AG$2,Liste(L349:O349),";")</f>
        <v>INSERT INTO WD_Holidays (CalendarDay, Donation, Share) VALUES ('2038-12-26', '2. Weihnachtsfeiertag', 100);</v>
      </c>
    </row>
    <row r="350" spans="11:33" x14ac:dyDescent="0.45">
      <c r="K350" s="10">
        <v>50770</v>
      </c>
      <c r="L350" t="str">
        <f t="shared" si="60"/>
        <v>'2038-12-31'</v>
      </c>
      <c r="M350" s="3" t="s">
        <v>565</v>
      </c>
      <c r="N350">
        <v>50</v>
      </c>
      <c r="R350" s="10">
        <f t="shared" si="68"/>
        <v>52943</v>
      </c>
      <c r="S350" t="str">
        <f t="shared" si="61"/>
        <v>'2044-12-12'</v>
      </c>
      <c r="T350">
        <f t="shared" si="62"/>
        <v>0</v>
      </c>
      <c r="U350">
        <f t="shared" si="63"/>
        <v>50</v>
      </c>
      <c r="V350">
        <f t="shared" si="64"/>
        <v>2044</v>
      </c>
      <c r="W350">
        <f t="shared" si="65"/>
        <v>12</v>
      </c>
      <c r="X350">
        <f t="shared" si="66"/>
        <v>12</v>
      </c>
      <c r="Y350">
        <f t="shared" si="67"/>
        <v>3</v>
      </c>
      <c r="AE350" s="2" t="str" cm="1">
        <f t="array" ref="AE350">CONCATENATE($AE$2,Liste(S350:U350),";")</f>
        <v>INSERT INTO WD_Workdays (CalendarDay, CalendarWeekday, CalendarWeek) VALUES ('2044-12-12', 0, 50);</v>
      </c>
      <c r="AF350" s="2"/>
      <c r="AG350" s="2" t="str" cm="1">
        <f t="array" ref="AG350">CONCATENATE($AG$2,Liste(L350:O350),";")</f>
        <v>INSERT INTO WD_Holidays (CalendarDay, Donation, Share) VALUES ('2038-12-31', 'Silvester', 50);</v>
      </c>
    </row>
    <row r="351" spans="11:33" x14ac:dyDescent="0.45">
      <c r="K351" s="10">
        <v>50771</v>
      </c>
      <c r="L351" t="str">
        <f t="shared" si="60"/>
        <v>'2039-01-01'</v>
      </c>
      <c r="M351" s="3" t="s">
        <v>481</v>
      </c>
      <c r="N351">
        <v>100</v>
      </c>
      <c r="R351" s="10">
        <f t="shared" si="68"/>
        <v>52944</v>
      </c>
      <c r="S351" t="str">
        <f t="shared" si="61"/>
        <v>'2044-12-13'</v>
      </c>
      <c r="T351">
        <f t="shared" si="62"/>
        <v>1</v>
      </c>
      <c r="U351">
        <f t="shared" si="63"/>
        <v>50</v>
      </c>
      <c r="V351">
        <f t="shared" si="64"/>
        <v>2044</v>
      </c>
      <c r="W351">
        <f t="shared" si="65"/>
        <v>12</v>
      </c>
      <c r="X351">
        <f t="shared" si="66"/>
        <v>13</v>
      </c>
      <c r="Y351">
        <f t="shared" si="67"/>
        <v>3</v>
      </c>
      <c r="AE351" s="2" t="str" cm="1">
        <f t="array" ref="AE351">CONCATENATE($AE$2,Liste(S351:U351),";")</f>
        <v>INSERT INTO WD_Workdays (CalendarDay, CalendarWeekday, CalendarWeek) VALUES ('2044-12-13', 1, 50);</v>
      </c>
      <c r="AF351" s="2"/>
      <c r="AG351" s="2" t="str" cm="1">
        <f t="array" ref="AG351">CONCATENATE($AG$2,Liste(L351:O351),";")</f>
        <v>INSERT INTO WD_Holidays (CalendarDay, Donation, Share) VALUES ('2039-01-01', 'Neujahr', 100);</v>
      </c>
    </row>
    <row r="352" spans="11:33" x14ac:dyDescent="0.45">
      <c r="K352" s="10">
        <v>50837</v>
      </c>
      <c r="L352" t="str">
        <f t="shared" si="60"/>
        <v>'2039-03-08'</v>
      </c>
      <c r="M352" s="3" t="s">
        <v>554</v>
      </c>
      <c r="N352">
        <v>100</v>
      </c>
      <c r="R352" s="10">
        <f t="shared" si="68"/>
        <v>52945</v>
      </c>
      <c r="S352" t="str">
        <f t="shared" si="61"/>
        <v>'2044-12-14'</v>
      </c>
      <c r="T352">
        <f t="shared" si="62"/>
        <v>2</v>
      </c>
      <c r="U352">
        <f t="shared" si="63"/>
        <v>50</v>
      </c>
      <c r="V352">
        <f t="shared" si="64"/>
        <v>2044</v>
      </c>
      <c r="W352">
        <f t="shared" si="65"/>
        <v>12</v>
      </c>
      <c r="X352">
        <f t="shared" si="66"/>
        <v>14</v>
      </c>
      <c r="Y352">
        <f t="shared" si="67"/>
        <v>3</v>
      </c>
      <c r="AE352" s="2" t="str" cm="1">
        <f t="array" ref="AE352">CONCATENATE($AE$2,Liste(S352:U352),";")</f>
        <v>INSERT INTO WD_Workdays (CalendarDay, CalendarWeekday, CalendarWeek) VALUES ('2044-12-14', 2, 50);</v>
      </c>
      <c r="AF352" s="2"/>
      <c r="AG352" s="2" t="str" cm="1">
        <f t="array" ref="AG352">CONCATENATE($AG$2,Liste(L352:O352),";")</f>
        <v>INSERT INTO WD_Holidays (CalendarDay, Donation, Share) VALUES ('2039-03-08', 'Internationaler Frauentag', 100);</v>
      </c>
    </row>
    <row r="353" spans="11:33" x14ac:dyDescent="0.45">
      <c r="K353" s="10">
        <v>50868</v>
      </c>
      <c r="L353" t="str">
        <f t="shared" si="60"/>
        <v>'2039-04-08'</v>
      </c>
      <c r="M353" s="3" t="s">
        <v>555</v>
      </c>
      <c r="N353">
        <v>100</v>
      </c>
      <c r="R353" s="10">
        <f t="shared" si="68"/>
        <v>52946</v>
      </c>
      <c r="S353" t="str">
        <f t="shared" si="61"/>
        <v>'2044-12-15'</v>
      </c>
      <c r="T353">
        <f t="shared" si="62"/>
        <v>3</v>
      </c>
      <c r="U353">
        <f t="shared" si="63"/>
        <v>50</v>
      </c>
      <c r="V353">
        <f t="shared" si="64"/>
        <v>2044</v>
      </c>
      <c r="W353">
        <f t="shared" si="65"/>
        <v>12</v>
      </c>
      <c r="X353">
        <f t="shared" si="66"/>
        <v>15</v>
      </c>
      <c r="Y353">
        <f t="shared" si="67"/>
        <v>3</v>
      </c>
      <c r="AE353" s="2" t="str" cm="1">
        <f t="array" ref="AE353">CONCATENATE($AE$2,Liste(S353:U353),";")</f>
        <v>INSERT INTO WD_Workdays (CalendarDay, CalendarWeekday, CalendarWeek) VALUES ('2044-12-15', 3, 50);</v>
      </c>
      <c r="AF353" s="2"/>
      <c r="AG353" s="2" t="str" cm="1">
        <f t="array" ref="AG353">CONCATENATE($AG$2,Liste(L353:O353),";")</f>
        <v>INSERT INTO WD_Holidays (CalendarDay, Donation, Share) VALUES ('2039-04-08', 'Karfreitag', 100);</v>
      </c>
    </row>
    <row r="354" spans="11:33" x14ac:dyDescent="0.45">
      <c r="K354" s="10">
        <v>50870</v>
      </c>
      <c r="L354" t="str">
        <f t="shared" si="60"/>
        <v>'2039-04-10'</v>
      </c>
      <c r="M354" s="3" t="s">
        <v>556</v>
      </c>
      <c r="N354">
        <v>100</v>
      </c>
      <c r="R354" s="10">
        <f t="shared" si="68"/>
        <v>52947</v>
      </c>
      <c r="S354" t="str">
        <f t="shared" si="61"/>
        <v>'2044-12-16'</v>
      </c>
      <c r="T354">
        <f t="shared" si="62"/>
        <v>4</v>
      </c>
      <c r="U354">
        <f t="shared" si="63"/>
        <v>50</v>
      </c>
      <c r="V354">
        <f t="shared" si="64"/>
        <v>2044</v>
      </c>
      <c r="W354">
        <f t="shared" si="65"/>
        <v>12</v>
      </c>
      <c r="X354">
        <f t="shared" si="66"/>
        <v>16</v>
      </c>
      <c r="Y354">
        <f t="shared" si="67"/>
        <v>3</v>
      </c>
      <c r="AE354" s="2" t="str" cm="1">
        <f t="array" ref="AE354">CONCATENATE($AE$2,Liste(S354:U354),";")</f>
        <v>INSERT INTO WD_Workdays (CalendarDay, CalendarWeekday, CalendarWeek) VALUES ('2044-12-16', 4, 50);</v>
      </c>
      <c r="AF354" s="2"/>
      <c r="AG354" s="2" t="str" cm="1">
        <f t="array" ref="AG354">CONCATENATE($AG$2,Liste(L354:O354),";")</f>
        <v>INSERT INTO WD_Holidays (CalendarDay, Donation, Share) VALUES ('2039-04-10', 'Ostersonntag', 100);</v>
      </c>
    </row>
    <row r="355" spans="11:33" x14ac:dyDescent="0.45">
      <c r="K355" s="10">
        <v>50871</v>
      </c>
      <c r="L355" t="str">
        <f t="shared" si="60"/>
        <v>'2039-04-11'</v>
      </c>
      <c r="M355" s="3" t="s">
        <v>557</v>
      </c>
      <c r="N355">
        <v>100</v>
      </c>
      <c r="R355" s="10">
        <f t="shared" si="68"/>
        <v>52948</v>
      </c>
      <c r="S355" t="str">
        <f t="shared" si="61"/>
        <v>'2044-12-17'</v>
      </c>
      <c r="T355">
        <f t="shared" si="62"/>
        <v>5</v>
      </c>
      <c r="U355">
        <f t="shared" si="63"/>
        <v>50</v>
      </c>
      <c r="V355">
        <f t="shared" si="64"/>
        <v>2044</v>
      </c>
      <c r="W355">
        <f t="shared" si="65"/>
        <v>12</v>
      </c>
      <c r="X355">
        <f t="shared" si="66"/>
        <v>17</v>
      </c>
      <c r="Y355">
        <f t="shared" si="67"/>
        <v>3</v>
      </c>
      <c r="AE355" s="2" t="str" cm="1">
        <f t="array" ref="AE355">CONCATENATE($AE$2,Liste(S355:U355),";")</f>
        <v>INSERT INTO WD_Workdays (CalendarDay, CalendarWeekday, CalendarWeek) VALUES ('2044-12-17', 5, 50);</v>
      </c>
      <c r="AF355" s="2"/>
      <c r="AG355" s="2" t="str" cm="1">
        <f t="array" ref="AG355">CONCATENATE($AG$2,Liste(L355:O355),";")</f>
        <v>INSERT INTO WD_Holidays (CalendarDay, Donation, Share) VALUES ('2039-04-11', 'Ostermontag', 100);</v>
      </c>
    </row>
    <row r="356" spans="11:33" x14ac:dyDescent="0.45">
      <c r="K356" s="10">
        <v>50891</v>
      </c>
      <c r="L356" t="str">
        <f t="shared" si="60"/>
        <v>'2039-05-01'</v>
      </c>
      <c r="M356" s="3" t="s">
        <v>558</v>
      </c>
      <c r="N356">
        <v>100</v>
      </c>
      <c r="R356" s="10">
        <f t="shared" si="68"/>
        <v>52949</v>
      </c>
      <c r="S356" t="str">
        <f t="shared" si="61"/>
        <v>'2044-12-18'</v>
      </c>
      <c r="T356">
        <f t="shared" si="62"/>
        <v>6</v>
      </c>
      <c r="U356">
        <f t="shared" si="63"/>
        <v>50</v>
      </c>
      <c r="V356">
        <f t="shared" si="64"/>
        <v>2044</v>
      </c>
      <c r="W356">
        <f t="shared" si="65"/>
        <v>12</v>
      </c>
      <c r="X356">
        <f t="shared" si="66"/>
        <v>18</v>
      </c>
      <c r="Y356">
        <f t="shared" si="67"/>
        <v>3</v>
      </c>
      <c r="AE356" s="2" t="str" cm="1">
        <f t="array" ref="AE356">CONCATENATE($AE$2,Liste(S356:U356),";")</f>
        <v>INSERT INTO WD_Workdays (CalendarDay, CalendarWeekday, CalendarWeek) VALUES ('2044-12-18', 6, 50);</v>
      </c>
      <c r="AF356" s="2"/>
      <c r="AG356" s="2" t="str" cm="1">
        <f t="array" ref="AG356">CONCATENATE($AG$2,Liste(L356:O356),";")</f>
        <v>INSERT INTO WD_Holidays (CalendarDay, Donation, Share) VALUES ('2039-05-01', 'Tag der Arbeit', 100);</v>
      </c>
    </row>
    <row r="357" spans="11:33" x14ac:dyDescent="0.45">
      <c r="K357" s="10">
        <v>50916</v>
      </c>
      <c r="L357" t="str">
        <f t="shared" si="60"/>
        <v>'2039-05-26'</v>
      </c>
      <c r="M357" s="3" t="s">
        <v>559</v>
      </c>
      <c r="N357">
        <v>100</v>
      </c>
      <c r="R357" s="10">
        <f t="shared" si="68"/>
        <v>52950</v>
      </c>
      <c r="S357" t="str">
        <f t="shared" si="61"/>
        <v>'2044-12-19'</v>
      </c>
      <c r="T357">
        <f t="shared" si="62"/>
        <v>0</v>
      </c>
      <c r="U357">
        <f t="shared" si="63"/>
        <v>51</v>
      </c>
      <c r="V357">
        <f t="shared" si="64"/>
        <v>2044</v>
      </c>
      <c r="W357">
        <f t="shared" si="65"/>
        <v>12</v>
      </c>
      <c r="X357">
        <f t="shared" si="66"/>
        <v>19</v>
      </c>
      <c r="Y357">
        <f t="shared" si="67"/>
        <v>3</v>
      </c>
      <c r="AE357" s="2" t="str" cm="1">
        <f t="array" ref="AE357">CONCATENATE($AE$2,Liste(S357:U357),";")</f>
        <v>INSERT INTO WD_Workdays (CalendarDay, CalendarWeekday, CalendarWeek) VALUES ('2044-12-19', 0, 51);</v>
      </c>
      <c r="AF357" s="2"/>
      <c r="AG357" s="2" t="str" cm="1">
        <f t="array" ref="AG357">CONCATENATE($AG$2,Liste(L357:O357),";")</f>
        <v>INSERT INTO WD_Holidays (CalendarDay, Donation, Share) VALUES ('2039-05-26', 'Christi Himmelfahrt', 100);</v>
      </c>
    </row>
    <row r="358" spans="11:33" x14ac:dyDescent="0.45">
      <c r="K358" s="10">
        <v>50926</v>
      </c>
      <c r="L358" t="str">
        <f t="shared" si="60"/>
        <v>'2039-06-05'</v>
      </c>
      <c r="M358" s="3" t="s">
        <v>779</v>
      </c>
      <c r="N358">
        <v>100</v>
      </c>
      <c r="R358" s="10">
        <f t="shared" si="68"/>
        <v>52951</v>
      </c>
      <c r="S358" t="str">
        <f t="shared" si="61"/>
        <v>'2044-12-20'</v>
      </c>
      <c r="T358">
        <f t="shared" si="62"/>
        <v>1</v>
      </c>
      <c r="U358">
        <f t="shared" si="63"/>
        <v>51</v>
      </c>
      <c r="V358">
        <f t="shared" si="64"/>
        <v>2044</v>
      </c>
      <c r="W358">
        <f t="shared" si="65"/>
        <v>12</v>
      </c>
      <c r="X358">
        <f t="shared" si="66"/>
        <v>20</v>
      </c>
      <c r="Y358">
        <f t="shared" si="67"/>
        <v>3</v>
      </c>
      <c r="AE358" s="2" t="str" cm="1">
        <f t="array" ref="AE358">CONCATENATE($AE$2,Liste(S358:U358),";")</f>
        <v>INSERT INTO WD_Workdays (CalendarDay, CalendarWeekday, CalendarWeek) VALUES ('2044-12-20', 1, 51);</v>
      </c>
      <c r="AF358" s="2"/>
      <c r="AG358" s="2" t="str" cm="1">
        <f t="array" ref="AG358">CONCATENATE($AG$2,Liste(L358:O358),";")</f>
        <v>INSERT INTO WD_Holidays (CalendarDay, Donation, Share) VALUES ('2039-06-05', 'Pfingstsonntag', 100);</v>
      </c>
    </row>
    <row r="359" spans="11:33" x14ac:dyDescent="0.45">
      <c r="K359" s="10">
        <v>50927</v>
      </c>
      <c r="L359" t="str">
        <f t="shared" si="60"/>
        <v>'2039-06-06'</v>
      </c>
      <c r="M359" s="3" t="s">
        <v>560</v>
      </c>
      <c r="N359">
        <v>100</v>
      </c>
      <c r="R359" s="10">
        <f t="shared" si="68"/>
        <v>52952</v>
      </c>
      <c r="S359" t="str">
        <f t="shared" si="61"/>
        <v>'2044-12-21'</v>
      </c>
      <c r="T359">
        <f t="shared" si="62"/>
        <v>2</v>
      </c>
      <c r="U359">
        <f t="shared" si="63"/>
        <v>51</v>
      </c>
      <c r="V359">
        <f t="shared" si="64"/>
        <v>2044</v>
      </c>
      <c r="W359">
        <f t="shared" si="65"/>
        <v>12</v>
      </c>
      <c r="X359">
        <f t="shared" si="66"/>
        <v>21</v>
      </c>
      <c r="Y359">
        <f t="shared" si="67"/>
        <v>3</v>
      </c>
      <c r="AE359" s="2" t="str" cm="1">
        <f t="array" ref="AE359">CONCATENATE($AE$2,Liste(S359:U359),";")</f>
        <v>INSERT INTO WD_Workdays (CalendarDay, CalendarWeekday, CalendarWeek) VALUES ('2044-12-21', 2, 51);</v>
      </c>
      <c r="AF359" s="2"/>
      <c r="AG359" s="2" t="str" cm="1">
        <f t="array" ref="AG359">CONCATENATE($AG$2,Liste(L359:O359),";")</f>
        <v>INSERT INTO WD_Holidays (CalendarDay, Donation, Share) VALUES ('2039-06-06', 'Pfingstmontag', 100);</v>
      </c>
    </row>
    <row r="360" spans="11:33" x14ac:dyDescent="0.45">
      <c r="K360" s="10">
        <v>51046</v>
      </c>
      <c r="L360" t="str">
        <f t="shared" si="60"/>
        <v>'2039-10-03'</v>
      </c>
      <c r="M360" s="3" t="s">
        <v>561</v>
      </c>
      <c r="N360">
        <v>100</v>
      </c>
      <c r="R360" s="10">
        <f t="shared" si="68"/>
        <v>52953</v>
      </c>
      <c r="S360" t="str">
        <f t="shared" si="61"/>
        <v>'2044-12-22'</v>
      </c>
      <c r="T360">
        <f t="shared" si="62"/>
        <v>3</v>
      </c>
      <c r="U360">
        <f t="shared" si="63"/>
        <v>51</v>
      </c>
      <c r="V360">
        <f t="shared" si="64"/>
        <v>2044</v>
      </c>
      <c r="W360">
        <f t="shared" si="65"/>
        <v>12</v>
      </c>
      <c r="X360">
        <f t="shared" si="66"/>
        <v>22</v>
      </c>
      <c r="Y360">
        <f t="shared" si="67"/>
        <v>3</v>
      </c>
      <c r="AE360" s="2" t="str" cm="1">
        <f t="array" ref="AE360">CONCATENATE($AE$2,Liste(S360:U360),";")</f>
        <v>INSERT INTO WD_Workdays (CalendarDay, CalendarWeekday, CalendarWeek) VALUES ('2044-12-22', 3, 51);</v>
      </c>
      <c r="AF360" s="2"/>
      <c r="AG360" s="2" t="str" cm="1">
        <f t="array" ref="AG360">CONCATENATE($AG$2,Liste(L360:O360),";")</f>
        <v>INSERT INTO WD_Holidays (CalendarDay, Donation, Share) VALUES ('2039-10-03', 'Tag der Deutschen Einheit', 100);</v>
      </c>
    </row>
    <row r="361" spans="11:33" x14ac:dyDescent="0.45">
      <c r="K361" s="10">
        <v>51128</v>
      </c>
      <c r="L361" t="str">
        <f t="shared" si="60"/>
        <v>'2039-12-24'</v>
      </c>
      <c r="M361" s="3" t="s">
        <v>562</v>
      </c>
      <c r="N361">
        <v>50</v>
      </c>
      <c r="R361" s="10">
        <f t="shared" si="68"/>
        <v>52954</v>
      </c>
      <c r="S361" t="str">
        <f t="shared" si="61"/>
        <v>'2044-12-23'</v>
      </c>
      <c r="T361">
        <f t="shared" si="62"/>
        <v>4</v>
      </c>
      <c r="U361">
        <f t="shared" si="63"/>
        <v>51</v>
      </c>
      <c r="V361">
        <f t="shared" si="64"/>
        <v>2044</v>
      </c>
      <c r="W361">
        <f t="shared" si="65"/>
        <v>12</v>
      </c>
      <c r="X361">
        <f t="shared" si="66"/>
        <v>23</v>
      </c>
      <c r="Y361">
        <f t="shared" si="67"/>
        <v>3</v>
      </c>
      <c r="AE361" s="2" t="str" cm="1">
        <f t="array" ref="AE361">CONCATENATE($AE$2,Liste(S361:U361),";")</f>
        <v>INSERT INTO WD_Workdays (CalendarDay, CalendarWeekday, CalendarWeek) VALUES ('2044-12-23', 4, 51);</v>
      </c>
      <c r="AF361" s="2"/>
      <c r="AG361" s="2" t="str" cm="1">
        <f t="array" ref="AG361">CONCATENATE($AG$2,Liste(L361:O361),";")</f>
        <v>INSERT INTO WD_Holidays (CalendarDay, Donation, Share) VALUES ('2039-12-24', 'Heiligabend', 50);</v>
      </c>
    </row>
    <row r="362" spans="11:33" x14ac:dyDescent="0.45">
      <c r="K362" s="10">
        <v>51129</v>
      </c>
      <c r="L362" t="str">
        <f t="shared" si="60"/>
        <v>'2039-12-25'</v>
      </c>
      <c r="M362" s="3" t="s">
        <v>563</v>
      </c>
      <c r="N362">
        <v>100</v>
      </c>
      <c r="R362" s="10">
        <f t="shared" si="68"/>
        <v>52955</v>
      </c>
      <c r="S362" t="str">
        <f t="shared" si="61"/>
        <v>'2044-12-24'</v>
      </c>
      <c r="T362">
        <f t="shared" si="62"/>
        <v>5</v>
      </c>
      <c r="U362">
        <f t="shared" si="63"/>
        <v>51</v>
      </c>
      <c r="V362">
        <f t="shared" si="64"/>
        <v>2044</v>
      </c>
      <c r="W362">
        <f t="shared" si="65"/>
        <v>12</v>
      </c>
      <c r="X362">
        <f t="shared" si="66"/>
        <v>24</v>
      </c>
      <c r="Y362">
        <f t="shared" si="67"/>
        <v>3</v>
      </c>
      <c r="AE362" s="2" t="str" cm="1">
        <f t="array" ref="AE362">CONCATENATE($AE$2,Liste(S362:U362),";")</f>
        <v>INSERT INTO WD_Workdays (CalendarDay, CalendarWeekday, CalendarWeek) VALUES ('2044-12-24', 5, 51);</v>
      </c>
      <c r="AF362" s="2"/>
      <c r="AG362" s="2" t="str" cm="1">
        <f t="array" ref="AG362">CONCATENATE($AG$2,Liste(L362:O362),";")</f>
        <v>INSERT INTO WD_Holidays (CalendarDay, Donation, Share) VALUES ('2039-12-25', '1. Weihnachtsfeiertag', 100);</v>
      </c>
    </row>
    <row r="363" spans="11:33" x14ac:dyDescent="0.45">
      <c r="K363" s="10">
        <v>51130</v>
      </c>
      <c r="L363" t="str">
        <f t="shared" si="60"/>
        <v>'2039-12-26'</v>
      </c>
      <c r="M363" s="3" t="s">
        <v>564</v>
      </c>
      <c r="N363">
        <v>100</v>
      </c>
      <c r="R363" s="10">
        <f t="shared" si="68"/>
        <v>52956</v>
      </c>
      <c r="S363" t="str">
        <f t="shared" si="61"/>
        <v>'2044-12-25'</v>
      </c>
      <c r="T363">
        <f t="shared" si="62"/>
        <v>6</v>
      </c>
      <c r="U363">
        <f t="shared" si="63"/>
        <v>51</v>
      </c>
      <c r="V363">
        <f t="shared" si="64"/>
        <v>2044</v>
      </c>
      <c r="W363">
        <f t="shared" si="65"/>
        <v>12</v>
      </c>
      <c r="X363">
        <f t="shared" si="66"/>
        <v>25</v>
      </c>
      <c r="Y363">
        <f t="shared" si="67"/>
        <v>3</v>
      </c>
      <c r="AE363" s="2" t="str" cm="1">
        <f t="array" ref="AE363">CONCATENATE($AE$2,Liste(S363:U363),";")</f>
        <v>INSERT INTO WD_Workdays (CalendarDay, CalendarWeekday, CalendarWeek) VALUES ('2044-12-25', 6, 51);</v>
      </c>
      <c r="AF363" s="2"/>
      <c r="AG363" s="2" t="str" cm="1">
        <f t="array" ref="AG363">CONCATENATE($AG$2,Liste(L363:O363),";")</f>
        <v>INSERT INTO WD_Holidays (CalendarDay, Donation, Share) VALUES ('2039-12-26', '2. Weihnachtsfeiertag', 100);</v>
      </c>
    </row>
    <row r="364" spans="11:33" x14ac:dyDescent="0.45">
      <c r="K364" s="10">
        <v>51135</v>
      </c>
      <c r="L364" t="str">
        <f t="shared" si="60"/>
        <v>'2039-12-31'</v>
      </c>
      <c r="M364" s="3" t="s">
        <v>565</v>
      </c>
      <c r="N364">
        <v>50</v>
      </c>
      <c r="R364" s="10">
        <f t="shared" si="68"/>
        <v>52957</v>
      </c>
      <c r="S364" t="str">
        <f t="shared" si="61"/>
        <v>'2044-12-26'</v>
      </c>
      <c r="T364">
        <f t="shared" si="62"/>
        <v>0</v>
      </c>
      <c r="U364">
        <f t="shared" si="63"/>
        <v>52</v>
      </c>
      <c r="V364">
        <f t="shared" si="64"/>
        <v>2044</v>
      </c>
      <c r="W364">
        <f t="shared" si="65"/>
        <v>12</v>
      </c>
      <c r="X364">
        <f t="shared" si="66"/>
        <v>26</v>
      </c>
      <c r="Y364">
        <f t="shared" si="67"/>
        <v>3</v>
      </c>
      <c r="AE364" s="2" t="str" cm="1">
        <f t="array" ref="AE364">CONCATENATE($AE$2,Liste(S364:U364),";")</f>
        <v>INSERT INTO WD_Workdays (CalendarDay, CalendarWeekday, CalendarWeek) VALUES ('2044-12-26', 0, 52);</v>
      </c>
      <c r="AF364" s="2"/>
      <c r="AG364" s="2" t="str" cm="1">
        <f t="array" ref="AG364">CONCATENATE($AG$2,Liste(L364:O364),";")</f>
        <v>INSERT INTO WD_Holidays (CalendarDay, Donation, Share) VALUES ('2039-12-31', 'Silvester', 50);</v>
      </c>
    </row>
    <row r="365" spans="11:33" x14ac:dyDescent="0.45">
      <c r="K365" s="10">
        <v>51136</v>
      </c>
      <c r="L365" t="str">
        <f t="shared" si="60"/>
        <v>'2040-01-01'</v>
      </c>
      <c r="M365" s="3" t="s">
        <v>481</v>
      </c>
      <c r="N365">
        <v>100</v>
      </c>
      <c r="R365" s="10">
        <f t="shared" si="68"/>
        <v>52958</v>
      </c>
      <c r="S365" t="str">
        <f t="shared" si="61"/>
        <v>'2044-12-27'</v>
      </c>
      <c r="T365">
        <f t="shared" si="62"/>
        <v>1</v>
      </c>
      <c r="U365">
        <f t="shared" si="63"/>
        <v>52</v>
      </c>
      <c r="V365">
        <f t="shared" si="64"/>
        <v>2044</v>
      </c>
      <c r="W365">
        <f t="shared" si="65"/>
        <v>12</v>
      </c>
      <c r="X365">
        <f t="shared" si="66"/>
        <v>27</v>
      </c>
      <c r="Y365">
        <f t="shared" si="67"/>
        <v>3</v>
      </c>
      <c r="AE365" s="2" t="str" cm="1">
        <f t="array" ref="AE365">CONCATENATE($AE$2,Liste(S365:U365),";")</f>
        <v>INSERT INTO WD_Workdays (CalendarDay, CalendarWeekday, CalendarWeek) VALUES ('2044-12-27', 1, 52);</v>
      </c>
      <c r="AF365" s="2"/>
      <c r="AG365" s="2" t="str" cm="1">
        <f t="array" ref="AG365">CONCATENATE($AG$2,Liste(L365:O365),";")</f>
        <v>INSERT INTO WD_Holidays (CalendarDay, Donation, Share) VALUES ('2040-01-01', 'Neujahr', 100);</v>
      </c>
    </row>
    <row r="366" spans="11:33" x14ac:dyDescent="0.45">
      <c r="K366" s="10">
        <v>51203</v>
      </c>
      <c r="L366" t="str">
        <f t="shared" si="60"/>
        <v>'2040-03-08'</v>
      </c>
      <c r="M366" s="3" t="s">
        <v>554</v>
      </c>
      <c r="N366">
        <v>100</v>
      </c>
      <c r="R366" s="10">
        <f t="shared" si="68"/>
        <v>52959</v>
      </c>
      <c r="S366" t="str">
        <f t="shared" si="61"/>
        <v>'2044-12-28'</v>
      </c>
      <c r="T366">
        <f t="shared" si="62"/>
        <v>2</v>
      </c>
      <c r="U366">
        <f t="shared" si="63"/>
        <v>52</v>
      </c>
      <c r="V366">
        <f t="shared" si="64"/>
        <v>2044</v>
      </c>
      <c r="W366">
        <f t="shared" si="65"/>
        <v>12</v>
      </c>
      <c r="X366">
        <f t="shared" si="66"/>
        <v>28</v>
      </c>
      <c r="Y366">
        <f t="shared" si="67"/>
        <v>3</v>
      </c>
      <c r="AE366" s="2" t="str" cm="1">
        <f t="array" ref="AE366">CONCATENATE($AE$2,Liste(S366:U366),";")</f>
        <v>INSERT INTO WD_Workdays (CalendarDay, CalendarWeekday, CalendarWeek) VALUES ('2044-12-28', 2, 52);</v>
      </c>
      <c r="AF366" s="2"/>
      <c r="AG366" s="2" t="str" cm="1">
        <f t="array" ref="AG366">CONCATENATE($AG$2,Liste(L366:O366),";")</f>
        <v>INSERT INTO WD_Holidays (CalendarDay, Donation, Share) VALUES ('2040-03-08', 'Internationaler Frauentag', 100);</v>
      </c>
    </row>
    <row r="367" spans="11:33" x14ac:dyDescent="0.45">
      <c r="K367" s="10">
        <v>51225</v>
      </c>
      <c r="L367" t="str">
        <f t="shared" si="60"/>
        <v>'2040-03-30'</v>
      </c>
      <c r="M367" s="3" t="s">
        <v>555</v>
      </c>
      <c r="N367">
        <v>100</v>
      </c>
      <c r="R367" s="10">
        <f t="shared" si="68"/>
        <v>52960</v>
      </c>
      <c r="S367" t="str">
        <f t="shared" si="61"/>
        <v>'2044-12-29'</v>
      </c>
      <c r="T367">
        <f t="shared" si="62"/>
        <v>3</v>
      </c>
      <c r="U367">
        <f t="shared" si="63"/>
        <v>52</v>
      </c>
      <c r="V367">
        <f t="shared" si="64"/>
        <v>2044</v>
      </c>
      <c r="W367">
        <f t="shared" si="65"/>
        <v>12</v>
      </c>
      <c r="X367">
        <f t="shared" si="66"/>
        <v>29</v>
      </c>
      <c r="Y367">
        <f t="shared" si="67"/>
        <v>3</v>
      </c>
      <c r="AE367" s="2" t="str" cm="1">
        <f t="array" ref="AE367">CONCATENATE($AE$2,Liste(S367:U367),";")</f>
        <v>INSERT INTO WD_Workdays (CalendarDay, CalendarWeekday, CalendarWeek) VALUES ('2044-12-29', 3, 52);</v>
      </c>
      <c r="AF367" s="2"/>
      <c r="AG367" s="2" t="str" cm="1">
        <f t="array" ref="AG367">CONCATENATE($AG$2,Liste(L367:O367),";")</f>
        <v>INSERT INTO WD_Holidays (CalendarDay, Donation, Share) VALUES ('2040-03-30', 'Karfreitag', 100);</v>
      </c>
    </row>
    <row r="368" spans="11:33" x14ac:dyDescent="0.45">
      <c r="K368" s="10">
        <v>51227</v>
      </c>
      <c r="L368" t="str">
        <f t="shared" si="60"/>
        <v>'2040-04-01'</v>
      </c>
      <c r="M368" s="3" t="s">
        <v>556</v>
      </c>
      <c r="N368">
        <v>100</v>
      </c>
      <c r="R368" s="10">
        <f t="shared" si="68"/>
        <v>52961</v>
      </c>
      <c r="S368" t="str">
        <f t="shared" si="61"/>
        <v>'2044-12-30'</v>
      </c>
      <c r="T368">
        <f t="shared" si="62"/>
        <v>4</v>
      </c>
      <c r="U368">
        <f t="shared" si="63"/>
        <v>52</v>
      </c>
      <c r="V368">
        <f t="shared" si="64"/>
        <v>2044</v>
      </c>
      <c r="W368">
        <f t="shared" si="65"/>
        <v>12</v>
      </c>
      <c r="X368">
        <f t="shared" si="66"/>
        <v>30</v>
      </c>
      <c r="Y368">
        <f t="shared" si="67"/>
        <v>3</v>
      </c>
      <c r="AE368" s="2" t="str" cm="1">
        <f t="array" ref="AE368">CONCATENATE($AE$2,Liste(S368:U368),";")</f>
        <v>INSERT INTO WD_Workdays (CalendarDay, CalendarWeekday, CalendarWeek) VALUES ('2044-12-30', 4, 52);</v>
      </c>
      <c r="AF368" s="2"/>
      <c r="AG368" s="2" t="str" cm="1">
        <f t="array" ref="AG368">CONCATENATE($AG$2,Liste(L368:O368),";")</f>
        <v>INSERT INTO WD_Holidays (CalendarDay, Donation, Share) VALUES ('2040-04-01', 'Ostersonntag', 100);</v>
      </c>
    </row>
    <row r="369" spans="11:33" x14ac:dyDescent="0.45">
      <c r="K369" s="10">
        <v>51228</v>
      </c>
      <c r="L369" t="str">
        <f t="shared" ref="L369:L432" si="69">CONCATENATE("'",TEXT(K369,"jjjj-MM-tt"),"'")</f>
        <v>'2040-04-02'</v>
      </c>
      <c r="M369" s="3" t="s">
        <v>557</v>
      </c>
      <c r="N369">
        <v>100</v>
      </c>
      <c r="R369" s="10">
        <f t="shared" si="68"/>
        <v>52962</v>
      </c>
      <c r="S369" t="str">
        <f t="shared" ref="S369" si="70">CONCATENATE("'",TEXT(R369,"jjjj-MM-tt"),"'")</f>
        <v>'2044-12-31'</v>
      </c>
      <c r="T369">
        <f t="shared" ref="T369" si="71">WEEKDAY(R369,3)</f>
        <v>5</v>
      </c>
      <c r="U369">
        <f t="shared" ref="U369" si="72">_xlfn.ISOWEEKNUM(R369)</f>
        <v>52</v>
      </c>
      <c r="V369">
        <f t="shared" ref="V369" si="73">YEAR(R369)</f>
        <v>2044</v>
      </c>
      <c r="W369">
        <f t="shared" ref="W369" si="74">MONTH(R369)</f>
        <v>12</v>
      </c>
      <c r="X369">
        <f t="shared" ref="X369" si="75">DAY(R369)</f>
        <v>31</v>
      </c>
      <c r="Y369">
        <f t="shared" ref="Y369" si="76">IF(AND(W369&gt;=1,W369&lt;=3),0,IF(AND(W369&gt;=4,W369&lt;=6),1,IF(AND(W369&gt;=7,W369&lt;=8),2,IF(AND(W369&gt;=9,W369&lt;=12),3,-1))))</f>
        <v>3</v>
      </c>
      <c r="AE369" s="2" t="str" cm="1">
        <f t="array" ref="AE369">CONCATENATE($AE$2,Liste(S369:U369),";")</f>
        <v>INSERT INTO WD_Workdays (CalendarDay, CalendarWeekday, CalendarWeek) VALUES ('2044-12-31', 5, 52);</v>
      </c>
      <c r="AF369" s="2"/>
      <c r="AG369" s="2" t="str" cm="1">
        <f t="array" ref="AG369">CONCATENATE($AG$2,Liste(L369:O369),";")</f>
        <v>INSERT INTO WD_Holidays (CalendarDay, Donation, Share) VALUES ('2040-04-02', 'Ostermontag', 100);</v>
      </c>
    </row>
    <row r="370" spans="11:33" x14ac:dyDescent="0.45">
      <c r="K370" s="10">
        <v>51257</v>
      </c>
      <c r="L370" t="str">
        <f t="shared" si="69"/>
        <v>'2040-05-01'</v>
      </c>
      <c r="M370" s="3" t="s">
        <v>558</v>
      </c>
      <c r="N370">
        <v>100</v>
      </c>
      <c r="R370" s="10"/>
      <c r="AE370" s="2"/>
      <c r="AF370" s="2"/>
      <c r="AG370" s="2" t="str" cm="1">
        <f t="array" ref="AG370">CONCATENATE($AG$2,Liste(L370:O370),";")</f>
        <v>INSERT INTO WD_Holidays (CalendarDay, Donation, Share) VALUES ('2040-05-01', 'Tag der Arbeit', 100);</v>
      </c>
    </row>
    <row r="371" spans="11:33" x14ac:dyDescent="0.45">
      <c r="K371" s="10">
        <v>51274</v>
      </c>
      <c r="L371" t="str">
        <f t="shared" si="69"/>
        <v>'2040-05-18'</v>
      </c>
      <c r="M371" s="3" t="s">
        <v>559</v>
      </c>
      <c r="N371">
        <v>100</v>
      </c>
      <c r="R371" s="10"/>
      <c r="AE371" s="2"/>
      <c r="AF371" s="2"/>
      <c r="AG371" s="2" t="str" cm="1">
        <f t="array" ref="AG371">CONCATENATE($AG$2,Liste(L371:O371),";")</f>
        <v>INSERT INTO WD_Holidays (CalendarDay, Donation, Share) VALUES ('2040-05-18', 'Christi Himmelfahrt', 100);</v>
      </c>
    </row>
    <row r="372" spans="11:33" x14ac:dyDescent="0.45">
      <c r="K372" s="10">
        <v>51284</v>
      </c>
      <c r="L372" t="str">
        <f t="shared" si="69"/>
        <v>'2040-05-28'</v>
      </c>
      <c r="M372" s="3" t="s">
        <v>779</v>
      </c>
      <c r="N372">
        <v>100</v>
      </c>
      <c r="R372" s="10"/>
      <c r="AE372" s="2"/>
      <c r="AF372" s="2"/>
      <c r="AG372" s="2" t="str" cm="1">
        <f t="array" ref="AG372">CONCATENATE($AG$2,Liste(L372:O372),";")</f>
        <v>INSERT INTO WD_Holidays (CalendarDay, Donation, Share) VALUES ('2040-05-28', 'Pfingstsonntag', 100);</v>
      </c>
    </row>
    <row r="373" spans="11:33" x14ac:dyDescent="0.45">
      <c r="K373" s="10">
        <v>51285</v>
      </c>
      <c r="L373" t="str">
        <f t="shared" si="69"/>
        <v>'2040-05-29'</v>
      </c>
      <c r="M373" s="3" t="s">
        <v>560</v>
      </c>
      <c r="N373">
        <v>100</v>
      </c>
      <c r="R373" s="10"/>
      <c r="AE373" s="2"/>
      <c r="AF373" s="2"/>
      <c r="AG373" s="2" t="str" cm="1">
        <f t="array" ref="AG373">CONCATENATE($AG$2,Liste(L373:O373),";")</f>
        <v>INSERT INTO WD_Holidays (CalendarDay, Donation, Share) VALUES ('2040-05-29', 'Pfingstmontag', 100);</v>
      </c>
    </row>
    <row r="374" spans="11:33" x14ac:dyDescent="0.45">
      <c r="K374" s="10">
        <v>51412</v>
      </c>
      <c r="L374" t="str">
        <f t="shared" si="69"/>
        <v>'2040-10-03'</v>
      </c>
      <c r="M374" s="3" t="s">
        <v>561</v>
      </c>
      <c r="N374">
        <v>100</v>
      </c>
      <c r="R374" s="10"/>
      <c r="AE374" s="2"/>
      <c r="AF374" s="2"/>
      <c r="AG374" s="2" t="str" cm="1">
        <f t="array" ref="AG374">CONCATENATE($AG$2,Liste(L374:O374),";")</f>
        <v>INSERT INTO WD_Holidays (CalendarDay, Donation, Share) VALUES ('2040-10-03', 'Tag der Deutschen Einheit', 100);</v>
      </c>
    </row>
    <row r="375" spans="11:33" x14ac:dyDescent="0.45">
      <c r="K375" s="10">
        <v>51494</v>
      </c>
      <c r="L375" t="str">
        <f t="shared" si="69"/>
        <v>'2040-12-24'</v>
      </c>
      <c r="M375" s="3" t="s">
        <v>562</v>
      </c>
      <c r="N375">
        <v>50</v>
      </c>
      <c r="R375" s="10"/>
      <c r="AE375" s="2"/>
      <c r="AF375" s="2"/>
      <c r="AG375" s="2" t="str" cm="1">
        <f t="array" ref="AG375">CONCATENATE($AG$2,Liste(L375:O375),";")</f>
        <v>INSERT INTO WD_Holidays (CalendarDay, Donation, Share) VALUES ('2040-12-24', 'Heiligabend', 50);</v>
      </c>
    </row>
    <row r="376" spans="11:33" x14ac:dyDescent="0.45">
      <c r="K376" s="10">
        <v>51495</v>
      </c>
      <c r="L376" t="str">
        <f t="shared" si="69"/>
        <v>'2040-12-25'</v>
      </c>
      <c r="M376" s="3" t="s">
        <v>563</v>
      </c>
      <c r="N376">
        <v>100</v>
      </c>
      <c r="R376" s="10"/>
      <c r="AE376" s="2"/>
      <c r="AF376" s="2"/>
      <c r="AG376" s="2" t="str" cm="1">
        <f t="array" ref="AG376">CONCATENATE($AG$2,Liste(L376:O376),";")</f>
        <v>INSERT INTO WD_Holidays (CalendarDay, Donation, Share) VALUES ('2040-12-25', '1. Weihnachtsfeiertag', 100);</v>
      </c>
    </row>
    <row r="377" spans="11:33" x14ac:dyDescent="0.45">
      <c r="K377" s="10">
        <v>51496</v>
      </c>
      <c r="L377" t="str">
        <f t="shared" si="69"/>
        <v>'2040-12-26'</v>
      </c>
      <c r="M377" s="3" t="s">
        <v>564</v>
      </c>
      <c r="N377">
        <v>100</v>
      </c>
      <c r="R377" s="10"/>
      <c r="AE377" s="2"/>
      <c r="AF377" s="2"/>
      <c r="AG377" s="2" t="str" cm="1">
        <f t="array" ref="AG377">CONCATENATE($AG$2,Liste(L377:O377),";")</f>
        <v>INSERT INTO WD_Holidays (CalendarDay, Donation, Share) VALUES ('2040-12-26', '2. Weihnachtsfeiertag', 100);</v>
      </c>
    </row>
    <row r="378" spans="11:33" x14ac:dyDescent="0.45">
      <c r="K378" s="10">
        <v>51501</v>
      </c>
      <c r="L378" t="str">
        <f t="shared" si="69"/>
        <v>'2040-12-31'</v>
      </c>
      <c r="M378" s="3" t="s">
        <v>565</v>
      </c>
      <c r="N378">
        <v>50</v>
      </c>
      <c r="R378" s="10"/>
      <c r="AE378" s="2"/>
      <c r="AF378" s="2"/>
      <c r="AG378" s="2" t="str" cm="1">
        <f t="array" ref="AG378">CONCATENATE($AG$2,Liste(L378:O378),";")</f>
        <v>INSERT INTO WD_Holidays (CalendarDay, Donation, Share) VALUES ('2040-12-31', 'Silvester', 50);</v>
      </c>
    </row>
    <row r="379" spans="11:33" x14ac:dyDescent="0.45">
      <c r="K379" s="10">
        <v>51502</v>
      </c>
      <c r="L379" t="str">
        <f t="shared" si="69"/>
        <v>'2041-01-01'</v>
      </c>
      <c r="M379" s="3" t="s">
        <v>481</v>
      </c>
      <c r="N379">
        <v>100</v>
      </c>
      <c r="R379" s="10"/>
      <c r="AE379" s="2"/>
      <c r="AF379" s="2"/>
      <c r="AG379" s="2" t="str" cm="1">
        <f t="array" ref="AG379">CONCATENATE($AG$2,Liste(L379:O379),";")</f>
        <v>INSERT INTO WD_Holidays (CalendarDay, Donation, Share) VALUES ('2041-01-01', 'Neujahr', 100);</v>
      </c>
    </row>
    <row r="380" spans="11:33" x14ac:dyDescent="0.45">
      <c r="K380" s="10">
        <v>51568</v>
      </c>
      <c r="L380" t="str">
        <f t="shared" si="69"/>
        <v>'2041-03-08'</v>
      </c>
      <c r="M380" s="3" t="s">
        <v>554</v>
      </c>
      <c r="N380">
        <v>100</v>
      </c>
      <c r="R380" s="10"/>
      <c r="AE380" s="2"/>
      <c r="AF380" s="2"/>
      <c r="AG380" s="2" t="str" cm="1">
        <f t="array" ref="AG380">CONCATENATE($AG$2,Liste(L380:O380),";")</f>
        <v>INSERT INTO WD_Holidays (CalendarDay, Donation, Share) VALUES ('2041-03-08', 'Internationaler Frauentag', 100);</v>
      </c>
    </row>
    <row r="381" spans="11:33" x14ac:dyDescent="0.45">
      <c r="K381" s="10">
        <v>51603</v>
      </c>
      <c r="L381" t="str">
        <f t="shared" si="69"/>
        <v>'2041-04-12'</v>
      </c>
      <c r="M381" s="3" t="s">
        <v>555</v>
      </c>
      <c r="N381">
        <v>100</v>
      </c>
      <c r="R381" s="10"/>
      <c r="AE381" s="2"/>
      <c r="AF381" s="2"/>
      <c r="AG381" s="2" t="str" cm="1">
        <f t="array" ref="AG381">CONCATENATE($AG$2,Liste(L381:O381),";")</f>
        <v>INSERT INTO WD_Holidays (CalendarDay, Donation, Share) VALUES ('2041-04-12', 'Karfreitag', 100);</v>
      </c>
    </row>
    <row r="382" spans="11:33" x14ac:dyDescent="0.45">
      <c r="K382" s="10">
        <v>51605</v>
      </c>
      <c r="L382" t="str">
        <f t="shared" si="69"/>
        <v>'2041-04-14'</v>
      </c>
      <c r="M382" s="3" t="s">
        <v>556</v>
      </c>
      <c r="N382">
        <v>100</v>
      </c>
      <c r="R382" s="10"/>
      <c r="AE382" s="2"/>
      <c r="AF382" s="2"/>
      <c r="AG382" s="2" t="str" cm="1">
        <f t="array" ref="AG382">CONCATENATE($AG$2,Liste(L382:O382),";")</f>
        <v>INSERT INTO WD_Holidays (CalendarDay, Donation, Share) VALUES ('2041-04-14', 'Ostersonntag', 100);</v>
      </c>
    </row>
    <row r="383" spans="11:33" x14ac:dyDescent="0.45">
      <c r="K383" s="10">
        <v>51606</v>
      </c>
      <c r="L383" t="str">
        <f t="shared" si="69"/>
        <v>'2041-04-15'</v>
      </c>
      <c r="M383" s="3" t="s">
        <v>557</v>
      </c>
      <c r="N383">
        <v>100</v>
      </c>
      <c r="R383" s="10"/>
      <c r="AE383" s="2"/>
      <c r="AF383" s="2"/>
      <c r="AG383" s="2" t="str" cm="1">
        <f t="array" ref="AG383">CONCATENATE($AG$2,Liste(L383:O383),";")</f>
        <v>INSERT INTO WD_Holidays (CalendarDay, Donation, Share) VALUES ('2041-04-15', 'Ostermontag', 100);</v>
      </c>
    </row>
    <row r="384" spans="11:33" x14ac:dyDescent="0.45">
      <c r="K384" s="10">
        <v>51622</v>
      </c>
      <c r="L384" t="str">
        <f t="shared" si="69"/>
        <v>'2041-05-01'</v>
      </c>
      <c r="M384" s="3" t="s">
        <v>558</v>
      </c>
      <c r="N384">
        <v>100</v>
      </c>
      <c r="R384" s="10"/>
      <c r="AE384" s="2"/>
      <c r="AF384" s="2"/>
      <c r="AG384" s="2" t="str" cm="1">
        <f t="array" ref="AG384">CONCATENATE($AG$2,Liste(L384:O384),";")</f>
        <v>INSERT INTO WD_Holidays (CalendarDay, Donation, Share) VALUES ('2041-05-01', 'Tag der Arbeit', 100);</v>
      </c>
    </row>
    <row r="385" spans="11:33" x14ac:dyDescent="0.45">
      <c r="K385" s="10">
        <v>51651</v>
      </c>
      <c r="L385" t="str">
        <f t="shared" si="69"/>
        <v>'2041-05-30'</v>
      </c>
      <c r="M385" s="3" t="s">
        <v>559</v>
      </c>
      <c r="N385">
        <v>100</v>
      </c>
      <c r="R385" s="10"/>
      <c r="AE385" s="2"/>
      <c r="AF385" s="2"/>
      <c r="AG385" s="2" t="str" cm="1">
        <f t="array" ref="AG385">CONCATENATE($AG$2,Liste(L385:O385),";")</f>
        <v>INSERT INTO WD_Holidays (CalendarDay, Donation, Share) VALUES ('2041-05-30', 'Christi Himmelfahrt', 100);</v>
      </c>
    </row>
    <row r="386" spans="11:33" x14ac:dyDescent="0.45">
      <c r="K386" s="10">
        <v>51661</v>
      </c>
      <c r="L386" t="str">
        <f t="shared" si="69"/>
        <v>'2041-06-09'</v>
      </c>
      <c r="M386" s="3" t="s">
        <v>779</v>
      </c>
      <c r="N386">
        <v>100</v>
      </c>
      <c r="R386" s="10"/>
      <c r="AE386" s="2"/>
      <c r="AF386" s="2"/>
      <c r="AG386" s="2" t="str" cm="1">
        <f t="array" ref="AG386">CONCATENATE($AG$2,Liste(L386:O386),";")</f>
        <v>INSERT INTO WD_Holidays (CalendarDay, Donation, Share) VALUES ('2041-06-09', 'Pfingstsonntag', 100);</v>
      </c>
    </row>
    <row r="387" spans="11:33" x14ac:dyDescent="0.45">
      <c r="K387" s="10">
        <v>51662</v>
      </c>
      <c r="L387" t="str">
        <f t="shared" si="69"/>
        <v>'2041-06-10'</v>
      </c>
      <c r="M387" s="3" t="s">
        <v>560</v>
      </c>
      <c r="N387">
        <v>100</v>
      </c>
      <c r="R387" s="10"/>
      <c r="AE387" s="2"/>
      <c r="AF387" s="2"/>
      <c r="AG387" s="2" t="str" cm="1">
        <f t="array" ref="AG387">CONCATENATE($AG$2,Liste(L387:O387),";")</f>
        <v>INSERT INTO WD_Holidays (CalendarDay, Donation, Share) VALUES ('2041-06-10', 'Pfingstmontag', 100);</v>
      </c>
    </row>
    <row r="388" spans="11:33" x14ac:dyDescent="0.45">
      <c r="K388" s="10">
        <v>51777</v>
      </c>
      <c r="L388" t="str">
        <f t="shared" si="69"/>
        <v>'2041-10-03'</v>
      </c>
      <c r="M388" s="3" t="s">
        <v>561</v>
      </c>
      <c r="N388">
        <v>100</v>
      </c>
      <c r="R388" s="10"/>
      <c r="AE388" s="2"/>
      <c r="AF388" s="2"/>
      <c r="AG388" s="2" t="str" cm="1">
        <f t="array" ref="AG388">CONCATENATE($AG$2,Liste(L388:O388),";")</f>
        <v>INSERT INTO WD_Holidays (CalendarDay, Donation, Share) VALUES ('2041-10-03', 'Tag der Deutschen Einheit', 100);</v>
      </c>
    </row>
    <row r="389" spans="11:33" x14ac:dyDescent="0.45">
      <c r="K389" s="10">
        <v>51859</v>
      </c>
      <c r="L389" t="str">
        <f t="shared" si="69"/>
        <v>'2041-12-24'</v>
      </c>
      <c r="M389" s="3" t="s">
        <v>562</v>
      </c>
      <c r="N389">
        <v>50</v>
      </c>
      <c r="R389" s="10"/>
      <c r="AE389" s="2"/>
      <c r="AF389" s="2"/>
      <c r="AG389" s="2" t="str" cm="1">
        <f t="array" ref="AG389">CONCATENATE($AG$2,Liste(L389:O389),";")</f>
        <v>INSERT INTO WD_Holidays (CalendarDay, Donation, Share) VALUES ('2041-12-24', 'Heiligabend', 50);</v>
      </c>
    </row>
    <row r="390" spans="11:33" x14ac:dyDescent="0.45">
      <c r="K390" s="10">
        <v>51860</v>
      </c>
      <c r="L390" t="str">
        <f t="shared" si="69"/>
        <v>'2041-12-25'</v>
      </c>
      <c r="M390" s="3" t="s">
        <v>563</v>
      </c>
      <c r="N390">
        <v>100</v>
      </c>
      <c r="R390" s="10"/>
      <c r="AE390" s="2"/>
      <c r="AF390" s="2"/>
      <c r="AG390" s="2" t="str" cm="1">
        <f t="array" ref="AG390">CONCATENATE($AG$2,Liste(L390:O390),";")</f>
        <v>INSERT INTO WD_Holidays (CalendarDay, Donation, Share) VALUES ('2041-12-25', '1. Weihnachtsfeiertag', 100);</v>
      </c>
    </row>
    <row r="391" spans="11:33" x14ac:dyDescent="0.45">
      <c r="K391" s="10">
        <v>51861</v>
      </c>
      <c r="L391" t="str">
        <f t="shared" si="69"/>
        <v>'2041-12-26'</v>
      </c>
      <c r="M391" s="3" t="s">
        <v>564</v>
      </c>
      <c r="N391">
        <v>100</v>
      </c>
      <c r="R391" s="10"/>
      <c r="AE391" s="2"/>
      <c r="AF391" s="2"/>
      <c r="AG391" s="2" t="str" cm="1">
        <f t="array" ref="AG391">CONCATENATE($AG$2,Liste(L391:O391),";")</f>
        <v>INSERT INTO WD_Holidays (CalendarDay, Donation, Share) VALUES ('2041-12-26', '2. Weihnachtsfeiertag', 100);</v>
      </c>
    </row>
    <row r="392" spans="11:33" x14ac:dyDescent="0.45">
      <c r="K392" s="10">
        <v>51866</v>
      </c>
      <c r="L392" t="str">
        <f t="shared" si="69"/>
        <v>'2041-12-31'</v>
      </c>
      <c r="M392" s="3" t="s">
        <v>565</v>
      </c>
      <c r="N392">
        <v>50</v>
      </c>
      <c r="R392" s="10"/>
      <c r="AE392" s="2"/>
      <c r="AF392" s="2"/>
      <c r="AG392" s="2" t="str" cm="1">
        <f t="array" ref="AG392">CONCATENATE($AG$2,Liste(L392:O392),";")</f>
        <v>INSERT INTO WD_Holidays (CalendarDay, Donation, Share) VALUES ('2041-12-31', 'Silvester', 50);</v>
      </c>
    </row>
    <row r="393" spans="11:33" x14ac:dyDescent="0.45">
      <c r="K393" s="10">
        <v>51867</v>
      </c>
      <c r="L393" t="str">
        <f t="shared" si="69"/>
        <v>'2042-01-01'</v>
      </c>
      <c r="M393" s="3" t="s">
        <v>481</v>
      </c>
      <c r="N393">
        <v>100</v>
      </c>
      <c r="R393" s="10"/>
      <c r="AE393" s="2"/>
      <c r="AF393" s="2"/>
      <c r="AG393" s="2" t="str" cm="1">
        <f t="array" ref="AG393">CONCATENATE($AG$2,Liste(L393:O393),";")</f>
        <v>INSERT INTO WD_Holidays (CalendarDay, Donation, Share) VALUES ('2042-01-01', 'Neujahr', 100);</v>
      </c>
    </row>
    <row r="394" spans="11:33" x14ac:dyDescent="0.45">
      <c r="K394" s="10">
        <v>51933</v>
      </c>
      <c r="L394" t="str">
        <f t="shared" si="69"/>
        <v>'2042-03-08'</v>
      </c>
      <c r="M394" s="3" t="s">
        <v>554</v>
      </c>
      <c r="N394">
        <v>100</v>
      </c>
      <c r="R394" s="10"/>
      <c r="AE394" s="2"/>
      <c r="AF394" s="2"/>
      <c r="AG394" s="2" t="str" cm="1">
        <f t="array" ref="AG394">CONCATENATE($AG$2,Liste(L394:O394),";")</f>
        <v>INSERT INTO WD_Holidays (CalendarDay, Donation, Share) VALUES ('2042-03-08', 'Internationaler Frauentag', 100);</v>
      </c>
    </row>
    <row r="395" spans="11:33" x14ac:dyDescent="0.45">
      <c r="K395" s="10">
        <v>51960</v>
      </c>
      <c r="L395" t="str">
        <f t="shared" si="69"/>
        <v>'2042-04-04'</v>
      </c>
      <c r="M395" s="3" t="s">
        <v>555</v>
      </c>
      <c r="N395">
        <v>100</v>
      </c>
      <c r="R395" s="10"/>
      <c r="AE395" s="2"/>
      <c r="AF395" s="2"/>
      <c r="AG395" s="2" t="str" cm="1">
        <f t="array" ref="AG395">CONCATENATE($AG$2,Liste(L395:O395),";")</f>
        <v>INSERT INTO WD_Holidays (CalendarDay, Donation, Share) VALUES ('2042-04-04', 'Karfreitag', 100);</v>
      </c>
    </row>
    <row r="396" spans="11:33" x14ac:dyDescent="0.45">
      <c r="K396" s="10">
        <v>51962</v>
      </c>
      <c r="L396" t="str">
        <f t="shared" si="69"/>
        <v>'2042-04-06'</v>
      </c>
      <c r="M396" s="3" t="s">
        <v>556</v>
      </c>
      <c r="N396">
        <v>100</v>
      </c>
      <c r="R396" s="10"/>
      <c r="AE396" s="2"/>
      <c r="AF396" s="2"/>
      <c r="AG396" s="2" t="str" cm="1">
        <f t="array" ref="AG396">CONCATENATE($AG$2,Liste(L396:O396),";")</f>
        <v>INSERT INTO WD_Holidays (CalendarDay, Donation, Share) VALUES ('2042-04-06', 'Ostersonntag', 100);</v>
      </c>
    </row>
    <row r="397" spans="11:33" x14ac:dyDescent="0.45">
      <c r="K397" s="10">
        <v>51963</v>
      </c>
      <c r="L397" t="str">
        <f t="shared" si="69"/>
        <v>'2042-04-07'</v>
      </c>
      <c r="M397" s="3" t="s">
        <v>557</v>
      </c>
      <c r="N397">
        <v>100</v>
      </c>
      <c r="R397" s="10"/>
      <c r="AE397" s="2"/>
      <c r="AF397" s="2"/>
      <c r="AG397" s="2" t="str" cm="1">
        <f t="array" ref="AG397">CONCATENATE($AG$2,Liste(L397:O397),";")</f>
        <v>INSERT INTO WD_Holidays (CalendarDay, Donation, Share) VALUES ('2042-04-07', 'Ostermontag', 100);</v>
      </c>
    </row>
    <row r="398" spans="11:33" x14ac:dyDescent="0.45">
      <c r="K398" s="10">
        <v>51987</v>
      </c>
      <c r="L398" t="str">
        <f t="shared" si="69"/>
        <v>'2042-05-01'</v>
      </c>
      <c r="M398" s="3" t="s">
        <v>558</v>
      </c>
      <c r="N398">
        <v>100</v>
      </c>
      <c r="R398" s="10"/>
      <c r="AG398" s="2" t="str" cm="1">
        <f t="array" ref="AG398">CONCATENATE($AG$2,Liste(L398:O398),";")</f>
        <v>INSERT INTO WD_Holidays (CalendarDay, Donation, Share) VALUES ('2042-05-01', 'Tag der Arbeit', 100);</v>
      </c>
    </row>
    <row r="399" spans="11:33" x14ac:dyDescent="0.45">
      <c r="K399" s="10">
        <v>52008</v>
      </c>
      <c r="L399" t="str">
        <f t="shared" si="69"/>
        <v>'2042-05-22'</v>
      </c>
      <c r="M399" s="3" t="s">
        <v>559</v>
      </c>
      <c r="N399">
        <v>100</v>
      </c>
      <c r="R399" s="10"/>
      <c r="AG399" s="2" t="str" cm="1">
        <f t="array" ref="AG399">CONCATENATE($AG$2,Liste(L399:O399),";")</f>
        <v>INSERT INTO WD_Holidays (CalendarDay, Donation, Share) VALUES ('2042-05-22', 'Christi Himmelfahrt', 100);</v>
      </c>
    </row>
    <row r="400" spans="11:33" x14ac:dyDescent="0.45">
      <c r="K400" s="10">
        <v>52018</v>
      </c>
      <c r="L400" t="str">
        <f t="shared" si="69"/>
        <v>'2042-06-01'</v>
      </c>
      <c r="M400" s="3" t="s">
        <v>779</v>
      </c>
      <c r="N400">
        <v>100</v>
      </c>
      <c r="R400" s="10"/>
      <c r="AG400" s="2" t="str" cm="1">
        <f t="array" ref="AG400">CONCATENATE($AG$2,Liste(L400:O400),";")</f>
        <v>INSERT INTO WD_Holidays (CalendarDay, Donation, Share) VALUES ('2042-06-01', 'Pfingstsonntag', 100);</v>
      </c>
    </row>
    <row r="401" spans="11:33" x14ac:dyDescent="0.45">
      <c r="K401" s="10">
        <v>52019</v>
      </c>
      <c r="L401" t="str">
        <f t="shared" si="69"/>
        <v>'2042-06-02'</v>
      </c>
      <c r="M401" s="3" t="s">
        <v>560</v>
      </c>
      <c r="N401">
        <v>100</v>
      </c>
      <c r="R401" s="10"/>
      <c r="AG401" s="2" t="str" cm="1">
        <f t="array" ref="AG401">CONCATENATE($AG$2,Liste(L401:O401),";")</f>
        <v>INSERT INTO WD_Holidays (CalendarDay, Donation, Share) VALUES ('2042-06-02', 'Pfingstmontag', 100);</v>
      </c>
    </row>
    <row r="402" spans="11:33" x14ac:dyDescent="0.45">
      <c r="K402" s="10">
        <v>52142</v>
      </c>
      <c r="L402" t="str">
        <f t="shared" si="69"/>
        <v>'2042-10-03'</v>
      </c>
      <c r="M402" s="3" t="s">
        <v>561</v>
      </c>
      <c r="N402">
        <v>100</v>
      </c>
      <c r="R402" s="10"/>
      <c r="AG402" s="2" t="str" cm="1">
        <f t="array" ref="AG402">CONCATENATE($AG$2,Liste(L402:O402),";")</f>
        <v>INSERT INTO WD_Holidays (CalendarDay, Donation, Share) VALUES ('2042-10-03', 'Tag der Deutschen Einheit', 100);</v>
      </c>
    </row>
    <row r="403" spans="11:33" x14ac:dyDescent="0.45">
      <c r="K403" s="10">
        <v>52224</v>
      </c>
      <c r="L403" t="str">
        <f t="shared" si="69"/>
        <v>'2042-12-24'</v>
      </c>
      <c r="M403" s="3" t="s">
        <v>562</v>
      </c>
      <c r="N403">
        <v>50</v>
      </c>
      <c r="R403" s="10"/>
      <c r="AG403" s="2" t="str" cm="1">
        <f t="array" ref="AG403">CONCATENATE($AG$2,Liste(L403:O403),";")</f>
        <v>INSERT INTO WD_Holidays (CalendarDay, Donation, Share) VALUES ('2042-12-24', 'Heiligabend', 50);</v>
      </c>
    </row>
    <row r="404" spans="11:33" x14ac:dyDescent="0.45">
      <c r="K404" s="10">
        <v>52225</v>
      </c>
      <c r="L404" t="str">
        <f t="shared" si="69"/>
        <v>'2042-12-25'</v>
      </c>
      <c r="M404" s="3" t="s">
        <v>563</v>
      </c>
      <c r="N404">
        <v>100</v>
      </c>
      <c r="R404" s="10"/>
      <c r="AG404" s="2" t="str" cm="1">
        <f t="array" ref="AG404">CONCATENATE($AG$2,Liste(L404:O404),";")</f>
        <v>INSERT INTO WD_Holidays (CalendarDay, Donation, Share) VALUES ('2042-12-25', '1. Weihnachtsfeiertag', 100);</v>
      </c>
    </row>
    <row r="405" spans="11:33" x14ac:dyDescent="0.45">
      <c r="K405" s="10">
        <v>52226</v>
      </c>
      <c r="L405" t="str">
        <f t="shared" si="69"/>
        <v>'2042-12-26'</v>
      </c>
      <c r="M405" s="3" t="s">
        <v>564</v>
      </c>
      <c r="N405">
        <v>100</v>
      </c>
      <c r="R405" s="10"/>
      <c r="AG405" s="2" t="str" cm="1">
        <f t="array" ref="AG405">CONCATENATE($AG$2,Liste(L405:O405),";")</f>
        <v>INSERT INTO WD_Holidays (CalendarDay, Donation, Share) VALUES ('2042-12-26', '2. Weihnachtsfeiertag', 100);</v>
      </c>
    </row>
    <row r="406" spans="11:33" x14ac:dyDescent="0.45">
      <c r="K406" s="10">
        <v>52231</v>
      </c>
      <c r="L406" t="str">
        <f t="shared" si="69"/>
        <v>'2042-12-31'</v>
      </c>
      <c r="M406" s="3" t="s">
        <v>565</v>
      </c>
      <c r="N406">
        <v>50</v>
      </c>
      <c r="R406" s="10"/>
      <c r="AG406" s="2" t="str" cm="1">
        <f t="array" ref="AG406">CONCATENATE($AG$2,Liste(L406:O406),";")</f>
        <v>INSERT INTO WD_Holidays (CalendarDay, Donation, Share) VALUES ('2042-12-31', 'Silvester', 50);</v>
      </c>
    </row>
    <row r="407" spans="11:33" x14ac:dyDescent="0.45">
      <c r="K407" s="10">
        <v>52232</v>
      </c>
      <c r="L407" t="str">
        <f t="shared" si="69"/>
        <v>'2043-01-01'</v>
      </c>
      <c r="M407" s="3" t="s">
        <v>481</v>
      </c>
      <c r="N407">
        <v>100</v>
      </c>
      <c r="R407" s="10"/>
      <c r="AG407" s="2" t="str" cm="1">
        <f t="array" ref="AG407">CONCATENATE($AG$2,Liste(L407:O407),";")</f>
        <v>INSERT INTO WD_Holidays (CalendarDay, Donation, Share) VALUES ('2043-01-01', 'Neujahr', 100);</v>
      </c>
    </row>
    <row r="408" spans="11:33" x14ac:dyDescent="0.45">
      <c r="K408" s="10">
        <v>52298</v>
      </c>
      <c r="L408" t="str">
        <f t="shared" si="69"/>
        <v>'2043-03-08'</v>
      </c>
      <c r="M408" s="3" t="s">
        <v>554</v>
      </c>
      <c r="N408">
        <v>100</v>
      </c>
      <c r="R408" s="10"/>
      <c r="AG408" s="2" t="str" cm="1">
        <f t="array" ref="AG408">CONCATENATE($AG$2,Liste(L408:O408),";")</f>
        <v>INSERT INTO WD_Holidays (CalendarDay, Donation, Share) VALUES ('2043-03-08', 'Internationaler Frauentag', 100);</v>
      </c>
    </row>
    <row r="409" spans="11:33" x14ac:dyDescent="0.45">
      <c r="K409" s="10">
        <v>52317</v>
      </c>
      <c r="L409" t="str">
        <f t="shared" si="69"/>
        <v>'2043-03-27'</v>
      </c>
      <c r="M409" s="3" t="s">
        <v>555</v>
      </c>
      <c r="N409">
        <v>100</v>
      </c>
      <c r="R409" s="10"/>
      <c r="AG409" s="2" t="str" cm="1">
        <f t="array" ref="AG409">CONCATENATE($AG$2,Liste(L409:O409),";")</f>
        <v>INSERT INTO WD_Holidays (CalendarDay, Donation, Share) VALUES ('2043-03-27', 'Karfreitag', 100);</v>
      </c>
    </row>
    <row r="410" spans="11:33" x14ac:dyDescent="0.45">
      <c r="K410" s="10">
        <v>52319</v>
      </c>
      <c r="L410" t="str">
        <f t="shared" si="69"/>
        <v>'2043-03-29'</v>
      </c>
      <c r="M410" s="3" t="s">
        <v>556</v>
      </c>
      <c r="N410">
        <v>100</v>
      </c>
      <c r="R410" s="10"/>
      <c r="AG410" s="2" t="str" cm="1">
        <f t="array" ref="AG410">CONCATENATE($AG$2,Liste(L410:O410),";")</f>
        <v>INSERT INTO WD_Holidays (CalendarDay, Donation, Share) VALUES ('2043-03-29', 'Ostersonntag', 100);</v>
      </c>
    </row>
    <row r="411" spans="11:33" x14ac:dyDescent="0.45">
      <c r="K411" s="10">
        <v>52320</v>
      </c>
      <c r="L411" t="str">
        <f t="shared" si="69"/>
        <v>'2043-03-30'</v>
      </c>
      <c r="M411" s="3" t="s">
        <v>557</v>
      </c>
      <c r="N411">
        <v>100</v>
      </c>
      <c r="R411" s="10"/>
      <c r="AG411" s="2" t="str" cm="1">
        <f t="array" ref="AG411">CONCATENATE($AG$2,Liste(L411:O411),";")</f>
        <v>INSERT INTO WD_Holidays (CalendarDay, Donation, Share) VALUES ('2043-03-30', 'Ostermontag', 100);</v>
      </c>
    </row>
    <row r="412" spans="11:33" x14ac:dyDescent="0.45">
      <c r="K412" s="10">
        <v>52352</v>
      </c>
      <c r="L412" t="str">
        <f t="shared" si="69"/>
        <v>'2043-05-01'</v>
      </c>
      <c r="M412" s="3" t="s">
        <v>558</v>
      </c>
      <c r="N412">
        <v>100</v>
      </c>
      <c r="R412" s="10"/>
      <c r="AG412" s="2" t="str" cm="1">
        <f t="array" ref="AG412">CONCATENATE($AG$2,Liste(L412:O412),";")</f>
        <v>INSERT INTO WD_Holidays (CalendarDay, Donation, Share) VALUES ('2043-05-01', 'Tag der Arbeit', 100);</v>
      </c>
    </row>
    <row r="413" spans="11:33" x14ac:dyDescent="0.45">
      <c r="K413" s="10">
        <v>52365</v>
      </c>
      <c r="L413" t="str">
        <f t="shared" si="69"/>
        <v>'2043-05-14'</v>
      </c>
      <c r="M413" s="3" t="s">
        <v>559</v>
      </c>
      <c r="N413">
        <v>100</v>
      </c>
      <c r="R413" s="10"/>
      <c r="AG413" s="2" t="str" cm="1">
        <f t="array" ref="AG413">CONCATENATE($AG$2,Liste(L413:O413),";")</f>
        <v>INSERT INTO WD_Holidays (CalendarDay, Donation, Share) VALUES ('2043-05-14', 'Christi Himmelfahrt', 100);</v>
      </c>
    </row>
    <row r="414" spans="11:33" x14ac:dyDescent="0.45">
      <c r="K414" s="10">
        <v>52375</v>
      </c>
      <c r="L414" t="str">
        <f t="shared" si="69"/>
        <v>'2043-05-24'</v>
      </c>
      <c r="M414" s="3" t="s">
        <v>779</v>
      </c>
      <c r="N414">
        <v>100</v>
      </c>
      <c r="R414" s="10"/>
      <c r="AG414" s="2" t="str" cm="1">
        <f t="array" ref="AG414">CONCATENATE($AG$2,Liste(L414:O414),";")</f>
        <v>INSERT INTO WD_Holidays (CalendarDay, Donation, Share) VALUES ('2043-05-24', 'Pfingstsonntag', 100);</v>
      </c>
    </row>
    <row r="415" spans="11:33" x14ac:dyDescent="0.45">
      <c r="K415" s="10">
        <v>52376</v>
      </c>
      <c r="L415" t="str">
        <f t="shared" si="69"/>
        <v>'2043-05-25'</v>
      </c>
      <c r="M415" s="3" t="s">
        <v>560</v>
      </c>
      <c r="N415">
        <v>100</v>
      </c>
      <c r="R415" s="10"/>
      <c r="AG415" s="2" t="str" cm="1">
        <f t="array" ref="AG415">CONCATENATE($AG$2,Liste(L415:O415),";")</f>
        <v>INSERT INTO WD_Holidays (CalendarDay, Donation, Share) VALUES ('2043-05-25', 'Pfingstmontag', 100);</v>
      </c>
    </row>
    <row r="416" spans="11:33" x14ac:dyDescent="0.45">
      <c r="K416" s="10">
        <v>52507</v>
      </c>
      <c r="L416" t="str">
        <f t="shared" si="69"/>
        <v>'2043-10-03'</v>
      </c>
      <c r="M416" s="3" t="s">
        <v>561</v>
      </c>
      <c r="N416">
        <v>100</v>
      </c>
      <c r="R416" s="10"/>
      <c r="AG416" s="2" t="str" cm="1">
        <f t="array" ref="AG416">CONCATENATE($AG$2,Liste(L416:O416),";")</f>
        <v>INSERT INTO WD_Holidays (CalendarDay, Donation, Share) VALUES ('2043-10-03', 'Tag der Deutschen Einheit', 100);</v>
      </c>
    </row>
    <row r="417" spans="11:33" x14ac:dyDescent="0.45">
      <c r="K417" s="10">
        <v>52589</v>
      </c>
      <c r="L417" t="str">
        <f t="shared" si="69"/>
        <v>'2043-12-24'</v>
      </c>
      <c r="M417" s="3" t="s">
        <v>562</v>
      </c>
      <c r="N417">
        <v>50</v>
      </c>
      <c r="R417" s="10"/>
      <c r="AG417" s="2" t="str" cm="1">
        <f t="array" ref="AG417">CONCATENATE($AG$2,Liste(L417:O417),";")</f>
        <v>INSERT INTO WD_Holidays (CalendarDay, Donation, Share) VALUES ('2043-12-24', 'Heiligabend', 50);</v>
      </c>
    </row>
    <row r="418" spans="11:33" x14ac:dyDescent="0.45">
      <c r="K418" s="10">
        <v>52590</v>
      </c>
      <c r="L418" t="str">
        <f t="shared" si="69"/>
        <v>'2043-12-25'</v>
      </c>
      <c r="M418" s="3" t="s">
        <v>563</v>
      </c>
      <c r="N418">
        <v>100</v>
      </c>
      <c r="R418" s="10"/>
      <c r="AG418" s="2" t="str" cm="1">
        <f t="array" ref="AG418">CONCATENATE($AG$2,Liste(L418:O418),";")</f>
        <v>INSERT INTO WD_Holidays (CalendarDay, Donation, Share) VALUES ('2043-12-25', '1. Weihnachtsfeiertag', 100);</v>
      </c>
    </row>
    <row r="419" spans="11:33" x14ac:dyDescent="0.45">
      <c r="K419" s="10">
        <v>52591</v>
      </c>
      <c r="L419" t="str">
        <f t="shared" si="69"/>
        <v>'2043-12-26'</v>
      </c>
      <c r="M419" s="3" t="s">
        <v>564</v>
      </c>
      <c r="N419">
        <v>100</v>
      </c>
      <c r="R419" s="10"/>
      <c r="AG419" s="2" t="str" cm="1">
        <f t="array" ref="AG419">CONCATENATE($AG$2,Liste(L419:O419),";")</f>
        <v>INSERT INTO WD_Holidays (CalendarDay, Donation, Share) VALUES ('2043-12-26', '2. Weihnachtsfeiertag', 100);</v>
      </c>
    </row>
    <row r="420" spans="11:33" x14ac:dyDescent="0.45">
      <c r="K420" s="10">
        <v>52596</v>
      </c>
      <c r="L420" t="str">
        <f t="shared" si="69"/>
        <v>'2043-12-31'</v>
      </c>
      <c r="M420" s="3" t="s">
        <v>565</v>
      </c>
      <c r="N420">
        <v>50</v>
      </c>
      <c r="R420" s="10"/>
      <c r="AG420" s="2" t="str" cm="1">
        <f t="array" ref="AG420">CONCATENATE($AG$2,Liste(L420:O420),";")</f>
        <v>INSERT INTO WD_Holidays (CalendarDay, Donation, Share) VALUES ('2043-12-31', 'Silvester', 50);</v>
      </c>
    </row>
    <row r="421" spans="11:33" x14ac:dyDescent="0.45">
      <c r="K421" s="10">
        <v>52597</v>
      </c>
      <c r="L421" t="str">
        <f t="shared" si="69"/>
        <v>'2044-01-01'</v>
      </c>
      <c r="M421" s="3" t="s">
        <v>481</v>
      </c>
      <c r="N421">
        <v>100</v>
      </c>
      <c r="R421" s="10"/>
      <c r="AG421" s="2" t="str" cm="1">
        <f t="array" ref="AG421">CONCATENATE($AG$2,Liste(L421:O421),";")</f>
        <v>INSERT INTO WD_Holidays (CalendarDay, Donation, Share) VALUES ('2044-01-01', 'Neujahr', 100);</v>
      </c>
    </row>
    <row r="422" spans="11:33" x14ac:dyDescent="0.45">
      <c r="K422" s="10">
        <v>52664</v>
      </c>
      <c r="L422" t="str">
        <f t="shared" si="69"/>
        <v>'2044-03-08'</v>
      </c>
      <c r="M422" s="3" t="s">
        <v>554</v>
      </c>
      <c r="N422">
        <v>100</v>
      </c>
      <c r="R422" s="10"/>
      <c r="AG422" s="2" t="str" cm="1">
        <f t="array" ref="AG422">CONCATENATE($AG$2,Liste(L422:O422),";")</f>
        <v>INSERT INTO WD_Holidays (CalendarDay, Donation, Share) VALUES ('2044-03-08', 'Internationaler Frauentag', 100);</v>
      </c>
    </row>
    <row r="423" spans="11:33" x14ac:dyDescent="0.45">
      <c r="K423" s="10">
        <v>52702</v>
      </c>
      <c r="L423" t="str">
        <f t="shared" si="69"/>
        <v>'2044-04-15'</v>
      </c>
      <c r="M423" s="3" t="s">
        <v>555</v>
      </c>
      <c r="N423">
        <v>100</v>
      </c>
      <c r="R423" s="10"/>
      <c r="AG423" s="2" t="str" cm="1">
        <f t="array" ref="AG423">CONCATENATE($AG$2,Liste(L423:O423),";")</f>
        <v>INSERT INTO WD_Holidays (CalendarDay, Donation, Share) VALUES ('2044-04-15', 'Karfreitag', 100);</v>
      </c>
    </row>
    <row r="424" spans="11:33" x14ac:dyDescent="0.45">
      <c r="K424" s="10">
        <v>52704</v>
      </c>
      <c r="L424" t="str">
        <f t="shared" si="69"/>
        <v>'2044-04-17'</v>
      </c>
      <c r="M424" s="3" t="s">
        <v>556</v>
      </c>
      <c r="N424">
        <v>100</v>
      </c>
      <c r="R424" s="10"/>
      <c r="AG424" s="2" t="str" cm="1">
        <f t="array" ref="AG424">CONCATENATE($AG$2,Liste(L424:O424),";")</f>
        <v>INSERT INTO WD_Holidays (CalendarDay, Donation, Share) VALUES ('2044-04-17', 'Ostersonntag', 100);</v>
      </c>
    </row>
    <row r="425" spans="11:33" x14ac:dyDescent="0.45">
      <c r="K425" s="10">
        <v>52705</v>
      </c>
      <c r="L425" t="str">
        <f t="shared" si="69"/>
        <v>'2044-04-18'</v>
      </c>
      <c r="M425" s="3" t="s">
        <v>557</v>
      </c>
      <c r="N425">
        <v>100</v>
      </c>
      <c r="R425" s="10"/>
      <c r="AG425" s="2" t="str" cm="1">
        <f t="array" ref="AG425">CONCATENATE($AG$2,Liste(L425:O425),";")</f>
        <v>INSERT INTO WD_Holidays (CalendarDay, Donation, Share) VALUES ('2044-04-18', 'Ostermontag', 100);</v>
      </c>
    </row>
    <row r="426" spans="11:33" x14ac:dyDescent="0.45">
      <c r="K426" s="10">
        <v>52718</v>
      </c>
      <c r="L426" t="str">
        <f t="shared" si="69"/>
        <v>'2044-05-01'</v>
      </c>
      <c r="M426" s="3" t="s">
        <v>558</v>
      </c>
      <c r="N426">
        <v>100</v>
      </c>
      <c r="R426" s="10"/>
      <c r="AG426" s="2" t="str" cm="1">
        <f t="array" ref="AG426">CONCATENATE($AG$2,Liste(L426:O426),";")</f>
        <v>INSERT INTO WD_Holidays (CalendarDay, Donation, Share) VALUES ('2044-05-01', 'Tag der Arbeit', 100);</v>
      </c>
    </row>
    <row r="427" spans="11:33" x14ac:dyDescent="0.45">
      <c r="K427" s="10">
        <v>52722</v>
      </c>
      <c r="L427" t="str">
        <f t="shared" si="69"/>
        <v>'2044-05-05'</v>
      </c>
      <c r="M427" s="3" t="s">
        <v>559</v>
      </c>
      <c r="N427">
        <v>100</v>
      </c>
      <c r="R427" s="10"/>
      <c r="AG427" s="2" t="str" cm="1">
        <f t="array" ref="AG427">CONCATENATE($AG$2,Liste(L427:O427),";")</f>
        <v>INSERT INTO WD_Holidays (CalendarDay, Donation, Share) VALUES ('2044-05-05', 'Christi Himmelfahrt', 100);</v>
      </c>
    </row>
    <row r="428" spans="11:33" x14ac:dyDescent="0.45">
      <c r="K428" s="10">
        <v>52732</v>
      </c>
      <c r="L428" t="str">
        <f t="shared" si="69"/>
        <v>'2044-05-15'</v>
      </c>
      <c r="M428" s="3" t="s">
        <v>779</v>
      </c>
      <c r="N428">
        <v>100</v>
      </c>
      <c r="R428" s="10"/>
      <c r="AG428" s="2" t="str" cm="1">
        <f t="array" ref="AG428">CONCATENATE($AG$2,Liste(L428:O428),";")</f>
        <v>INSERT INTO WD_Holidays (CalendarDay, Donation, Share) VALUES ('2044-05-15', 'Pfingstsonntag', 100);</v>
      </c>
    </row>
    <row r="429" spans="11:33" x14ac:dyDescent="0.45">
      <c r="K429" s="10">
        <v>52733</v>
      </c>
      <c r="L429" t="str">
        <f t="shared" si="69"/>
        <v>'2044-05-16'</v>
      </c>
      <c r="M429" s="3" t="s">
        <v>560</v>
      </c>
      <c r="N429">
        <v>100</v>
      </c>
      <c r="R429" s="10"/>
      <c r="AG429" s="2" t="str" cm="1">
        <f t="array" ref="AG429">CONCATENATE($AG$2,Liste(L429:O429),";")</f>
        <v>INSERT INTO WD_Holidays (CalendarDay, Donation, Share) VALUES ('2044-05-16', 'Pfingstmontag', 100);</v>
      </c>
    </row>
    <row r="430" spans="11:33" x14ac:dyDescent="0.45">
      <c r="K430" s="10">
        <v>52873</v>
      </c>
      <c r="L430" t="str">
        <f t="shared" si="69"/>
        <v>'2044-10-03'</v>
      </c>
      <c r="M430" s="3" t="s">
        <v>561</v>
      </c>
      <c r="N430">
        <v>100</v>
      </c>
      <c r="R430" s="10"/>
      <c r="AG430" s="2" t="str" cm="1">
        <f t="array" ref="AG430">CONCATENATE($AG$2,Liste(L430:O430),";")</f>
        <v>INSERT INTO WD_Holidays (CalendarDay, Donation, Share) VALUES ('2044-10-03', 'Tag der Deutschen Einheit', 100);</v>
      </c>
    </row>
    <row r="431" spans="11:33" x14ac:dyDescent="0.45">
      <c r="K431" s="10">
        <v>52955</v>
      </c>
      <c r="L431" t="str">
        <f t="shared" si="69"/>
        <v>'2044-12-24'</v>
      </c>
      <c r="M431" s="3" t="s">
        <v>562</v>
      </c>
      <c r="N431">
        <v>50</v>
      </c>
      <c r="R431" s="10"/>
      <c r="AG431" s="2" t="str" cm="1">
        <f t="array" ref="AG431">CONCATENATE($AG$2,Liste(L431:O431),";")</f>
        <v>INSERT INTO WD_Holidays (CalendarDay, Donation, Share) VALUES ('2044-12-24', 'Heiligabend', 50);</v>
      </c>
    </row>
    <row r="432" spans="11:33" x14ac:dyDescent="0.45">
      <c r="K432" s="10">
        <v>52956</v>
      </c>
      <c r="L432" t="str">
        <f t="shared" si="69"/>
        <v>'2044-12-25'</v>
      </c>
      <c r="M432" s="3" t="s">
        <v>563</v>
      </c>
      <c r="N432">
        <v>100</v>
      </c>
      <c r="R432" s="10"/>
      <c r="AG432" s="2" t="str" cm="1">
        <f t="array" ref="AG432">CONCATENATE($AG$2,Liste(L432:O432),";")</f>
        <v>INSERT INTO WD_Holidays (CalendarDay, Donation, Share) VALUES ('2044-12-25', '1. Weihnachtsfeiertag', 100);</v>
      </c>
    </row>
    <row r="433" spans="11:33" x14ac:dyDescent="0.45">
      <c r="K433" s="10">
        <v>52957</v>
      </c>
      <c r="L433" t="str">
        <f t="shared" ref="L433:L434" si="77">CONCATENATE("'",TEXT(K433,"jjjj-MM-tt"),"'")</f>
        <v>'2044-12-26'</v>
      </c>
      <c r="M433" s="3" t="s">
        <v>564</v>
      </c>
      <c r="N433">
        <v>100</v>
      </c>
      <c r="R433" s="10"/>
      <c r="AG433" s="2" t="str" cm="1">
        <f t="array" ref="AG433">CONCATENATE($AG$2,Liste(L433:O433),";")</f>
        <v>INSERT INTO WD_Holidays (CalendarDay, Donation, Share) VALUES ('2044-12-26', '2. Weihnachtsfeiertag', 100);</v>
      </c>
    </row>
    <row r="434" spans="11:33" x14ac:dyDescent="0.45">
      <c r="K434" s="10">
        <v>52962</v>
      </c>
      <c r="L434" t="str">
        <f t="shared" si="77"/>
        <v>'2044-12-31'</v>
      </c>
      <c r="M434" s="3" t="s">
        <v>565</v>
      </c>
      <c r="N434">
        <v>50</v>
      </c>
      <c r="R434" s="10"/>
      <c r="AG434" s="2" t="str" cm="1">
        <f t="array" ref="AG434">CONCATENATE($AG$2,Liste(L434:O434),";")</f>
        <v>INSERT INTO WD_Holidays (CalendarDay, Donation, Share) VALUES ('2044-12-31', 'Silvester', 50);</v>
      </c>
    </row>
    <row r="435" spans="11:33" x14ac:dyDescent="0.45">
      <c r="R435" s="10"/>
      <c r="AG435" s="2"/>
    </row>
    <row r="436" spans="11:33" x14ac:dyDescent="0.45">
      <c r="R436" s="10"/>
      <c r="AG436" s="2"/>
    </row>
    <row r="437" spans="11:33" x14ac:dyDescent="0.45">
      <c r="R437" s="10"/>
      <c r="AG437" s="2"/>
    </row>
    <row r="438" spans="11:33" x14ac:dyDescent="0.45">
      <c r="R438" s="10"/>
      <c r="AG438" s="2"/>
    </row>
    <row r="439" spans="11:33" x14ac:dyDescent="0.45">
      <c r="R439" s="10"/>
      <c r="AG439" s="2"/>
    </row>
    <row r="440" spans="11:33" x14ac:dyDescent="0.45">
      <c r="R440" s="10"/>
      <c r="AG440" s="2"/>
    </row>
    <row r="441" spans="11:33" x14ac:dyDescent="0.45">
      <c r="R441" s="10"/>
    </row>
    <row r="442" spans="11:33" x14ac:dyDescent="0.45">
      <c r="R442" s="10"/>
    </row>
    <row r="443" spans="11:33" x14ac:dyDescent="0.45">
      <c r="R443" s="10"/>
    </row>
    <row r="444" spans="11:33" x14ac:dyDescent="0.45">
      <c r="R444" s="10"/>
    </row>
    <row r="445" spans="11:33" x14ac:dyDescent="0.45">
      <c r="R445" s="10"/>
    </row>
    <row r="446" spans="11:33" x14ac:dyDescent="0.45">
      <c r="R446" s="10"/>
    </row>
    <row r="447" spans="11:33" x14ac:dyDescent="0.45">
      <c r="R447" s="10"/>
    </row>
    <row r="448" spans="11:33"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2024-10-13T02:20:10Z</dcterms:modified>
</cp:coreProperties>
</file>