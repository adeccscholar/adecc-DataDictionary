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5E6D2311-BD84-4067-806E-61E60D35A51F}" xr6:coauthVersionLast="47" xr6:coauthVersionMax="47" xr10:uidLastSave="{00000000-0000-0000-0000-000000000000}"/>
  <bookViews>
    <workbookView xWindow="-98" yWindow="-98" windowWidth="28996" windowHeight="15675" activeTab="2" xr2:uid="{963DEE91-9524-499F-B23D-4896DE233BEF}"/>
  </bookViews>
  <sheets>
    <sheet name="Metadata" sheetId="1" r:id="rId1"/>
    <sheet name="Indices" sheetId="4" r:id="rId2"/>
    <sheet name="Relationships" sheetId="3" r:id="rId3"/>
    <sheet name="Types" sheetId="2" r:id="rId4"/>
    <sheet name="ranges" sheetId="5"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6" i="3" l="1" a="1"/>
  <c r="AA34" i="3" a="1"/>
  <c r="R19" i="4" a="1"/>
  <c r="AA21" i="3" a="1"/>
  <c r="AA22" i="3" a="1"/>
  <c r="AA24" i="3" a="1"/>
  <c r="AA25" i="3" a="1"/>
  <c r="R17" i="4" a="1"/>
  <c r="R22" i="4" a="1"/>
  <c r="AA19" i="3" a="1"/>
  <c r="AA18" i="3" a="1"/>
  <c r="AA17" i="3" a="1"/>
  <c r="R39" i="4" a="1"/>
  <c r="AA36" i="3" l="1"/>
  <c r="AA34" i="3"/>
  <c r="R19" i="4"/>
  <c r="AA22" i="3"/>
  <c r="AA21" i="3"/>
  <c r="AA25" i="3"/>
  <c r="AA24" i="3"/>
  <c r="R17" i="4"/>
  <c r="AA19" i="3"/>
  <c r="AA18" i="3"/>
  <c r="AA17" i="3"/>
  <c r="R39" i="4"/>
  <c r="R22" i="4"/>
  <c r="O92" i="1" l="1"/>
  <c r="O93" i="1"/>
  <c r="O94" i="1"/>
  <c r="O95" i="1"/>
  <c r="O80" i="1"/>
  <c r="O81" i="1"/>
  <c r="O82" i="1"/>
  <c r="O172" i="1"/>
  <c r="O173" i="1"/>
  <c r="O174" i="1"/>
  <c r="O175" i="1"/>
  <c r="O176" i="1"/>
  <c r="O171" i="1"/>
  <c r="O170" i="1"/>
  <c r="O4" i="1"/>
  <c r="O5" i="1"/>
  <c r="O6" i="1"/>
  <c r="O7" i="1"/>
  <c r="O8" i="1"/>
  <c r="O9" i="1"/>
  <c r="O10" i="1"/>
  <c r="O11" i="1"/>
  <c r="O12" i="1"/>
  <c r="O13" i="1"/>
  <c r="O14" i="1"/>
  <c r="O15" i="1"/>
  <c r="O16" i="1"/>
  <c r="O17" i="1"/>
  <c r="O18" i="1"/>
  <c r="O19" i="1"/>
  <c r="O20" i="1"/>
  <c r="O21" i="1"/>
  <c r="O3" i="1"/>
  <c r="O163" i="1"/>
  <c r="O164" i="1"/>
  <c r="O165" i="1"/>
  <c r="O166" i="1"/>
  <c r="O167" i="1"/>
  <c r="O168" i="1"/>
  <c r="O162" i="1"/>
  <c r="O157" i="1"/>
  <c r="O158" i="1"/>
  <c r="O159" i="1"/>
  <c r="O156" i="1"/>
  <c r="O149" i="1"/>
  <c r="O150" i="1"/>
  <c r="O151" i="1"/>
  <c r="O152" i="1"/>
  <c r="O153" i="1"/>
  <c r="O148" i="1"/>
  <c r="O142" i="1"/>
  <c r="O143" i="1"/>
  <c r="O144" i="1"/>
  <c r="O145" i="1"/>
  <c r="O141" i="1"/>
  <c r="O132" i="1"/>
  <c r="O133" i="1"/>
  <c r="O134" i="1"/>
  <c r="O135" i="1"/>
  <c r="O136" i="1"/>
  <c r="O137" i="1"/>
  <c r="O138" i="1"/>
  <c r="O131" i="1"/>
  <c r="O124" i="1"/>
  <c r="O125" i="1"/>
  <c r="O126" i="1"/>
  <c r="O127" i="1"/>
  <c r="O128" i="1"/>
  <c r="O123" i="1"/>
  <c r="O115" i="1"/>
  <c r="O116" i="1"/>
  <c r="O117" i="1"/>
  <c r="O118" i="1"/>
  <c r="O119" i="1"/>
  <c r="O120" i="1"/>
  <c r="O114" i="1"/>
  <c r="O110" i="1"/>
  <c r="O111" i="1"/>
  <c r="O109" i="1"/>
  <c r="O99" i="1"/>
  <c r="O100" i="1"/>
  <c r="O101" i="1"/>
  <c r="O102" i="1"/>
  <c r="O103" i="1"/>
  <c r="O104" i="1"/>
  <c r="O105" i="1"/>
  <c r="O106" i="1"/>
  <c r="O98" i="1"/>
  <c r="O90" i="1"/>
  <c r="O91" i="1"/>
  <c r="O89" i="1"/>
  <c r="O78" i="1"/>
  <c r="O79" i="1"/>
  <c r="O83" i="1"/>
  <c r="O84" i="1"/>
  <c r="O85" i="1"/>
  <c r="O86" i="1"/>
  <c r="O77" i="1"/>
  <c r="O71" i="1"/>
  <c r="O72" i="1"/>
  <c r="O73" i="1"/>
  <c r="O74" i="1"/>
  <c r="O70" i="1"/>
  <c r="O61" i="1"/>
  <c r="O62" i="1"/>
  <c r="O63" i="1"/>
  <c r="O64" i="1"/>
  <c r="O65" i="1"/>
  <c r="O66" i="1"/>
  <c r="O67" i="1"/>
  <c r="O60" i="1"/>
  <c r="O53" i="1"/>
  <c r="O54" i="1"/>
  <c r="O55" i="1"/>
  <c r="O56" i="1"/>
  <c r="O57" i="1"/>
  <c r="O52" i="1"/>
  <c r="O44" i="1"/>
  <c r="O45" i="1"/>
  <c r="O46" i="1"/>
  <c r="O47" i="1"/>
  <c r="O48" i="1"/>
  <c r="O49" i="1"/>
  <c r="O43" i="1"/>
  <c r="O36" i="1"/>
  <c r="O37" i="1"/>
  <c r="O38" i="1"/>
  <c r="O39" i="1"/>
  <c r="O40" i="1"/>
  <c r="O35" i="1"/>
  <c r="O27" i="1"/>
  <c r="O28" i="1"/>
  <c r="O29" i="1"/>
  <c r="O30" i="1"/>
  <c r="O31" i="1"/>
  <c r="O32" i="1"/>
  <c r="O26" i="1"/>
  <c r="K4" i="2"/>
  <c r="K5" i="2"/>
  <c r="K6" i="2"/>
  <c r="K7" i="2"/>
  <c r="K8" i="2"/>
  <c r="K9" i="2"/>
  <c r="K10" i="2"/>
  <c r="K11" i="2"/>
  <c r="K12" i="2"/>
  <c r="K13" i="2"/>
  <c r="K14" i="2"/>
  <c r="K3" i="2"/>
  <c r="O161" i="1"/>
  <c r="O155" i="1"/>
  <c r="O147" i="1"/>
  <c r="O140" i="1"/>
  <c r="O130" i="1"/>
  <c r="O122" i="1"/>
  <c r="O113" i="1"/>
  <c r="O108" i="1"/>
  <c r="O97" i="1"/>
  <c r="O88" i="1"/>
  <c r="O76" i="1"/>
  <c r="O69" i="1"/>
  <c r="O59" i="1"/>
  <c r="O51" i="1"/>
  <c r="O42" i="1"/>
  <c r="O34" i="1"/>
  <c r="O25" i="1"/>
  <c r="O2" i="1"/>
  <c r="K52" i="5" a="1"/>
  <c r="K20" i="5" a="1"/>
  <c r="K14" i="5" a="1"/>
  <c r="K11" i="5" a="1"/>
  <c r="K44" i="5" a="1"/>
  <c r="K36" i="5" a="1"/>
  <c r="K31" i="5" a="1"/>
  <c r="K22" i="5" a="1"/>
  <c r="K16" i="5" a="1"/>
  <c r="K13" i="5" a="1"/>
  <c r="K8" i="5" a="1"/>
  <c r="K6" i="5" a="1"/>
  <c r="K2" i="5" a="1"/>
  <c r="R35" i="4" a="1"/>
  <c r="R37" i="4" a="1"/>
  <c r="R10" i="4" a="1"/>
  <c r="R21" i="4" a="1"/>
  <c r="R13" i="4" a="1"/>
  <c r="R31" i="4" a="1"/>
  <c r="R36" i="4" a="1"/>
  <c r="R15" i="4" a="1"/>
  <c r="R32" i="4" a="1"/>
  <c r="R2" i="4" a="1"/>
  <c r="R27" i="4" a="1"/>
  <c r="R8" i="4" a="1"/>
  <c r="R34" i="4" a="1"/>
  <c r="R12" i="4" a="1"/>
  <c r="AA10" i="3" a="1"/>
  <c r="AA11" i="3" a="1"/>
  <c r="AA32" i="3" a="1"/>
  <c r="AA31" i="3" a="1"/>
  <c r="AA30" i="3" a="1"/>
  <c r="AA29" i="3" a="1"/>
  <c r="AA15" i="3" a="1"/>
  <c r="AA14" i="3" a="1"/>
  <c r="AA13" i="3" a="1"/>
  <c r="AA2" i="3" a="1"/>
  <c r="AA9" i="3" a="1"/>
  <c r="AA4" i="3" a="1"/>
  <c r="AA32" i="3" l="1"/>
  <c r="AA31" i="3"/>
  <c r="AA30" i="3"/>
  <c r="AA29" i="3"/>
  <c r="AA15" i="3"/>
  <c r="AA14" i="3"/>
  <c r="AA13" i="3"/>
  <c r="AA11" i="3"/>
  <c r="AA10" i="3"/>
  <c r="AA9" i="3"/>
  <c r="R13" i="4"/>
  <c r="R31" i="4"/>
  <c r="R32" i="4"/>
  <c r="R21" i="4"/>
  <c r="R27" i="4"/>
  <c r="K52" i="5"/>
  <c r="K20" i="5"/>
  <c r="K14" i="5"/>
  <c r="K11" i="5"/>
  <c r="K44" i="5"/>
  <c r="K36" i="5"/>
  <c r="K31" i="5"/>
  <c r="K22" i="5"/>
  <c r="K16" i="5"/>
  <c r="K13" i="5"/>
  <c r="K8" i="5"/>
  <c r="K6" i="5"/>
  <c r="K2" i="5"/>
  <c r="R8" i="4"/>
  <c r="R10" i="4"/>
  <c r="R12" i="4"/>
  <c r="R15" i="4"/>
  <c r="R37" i="4"/>
  <c r="R36" i="4"/>
  <c r="R35" i="4"/>
  <c r="R34" i="4"/>
  <c r="AA4" i="3"/>
  <c r="AA2" i="3"/>
  <c r="R2" i="4"/>
  <c r="K51" i="5" a="1"/>
  <c r="K19" i="5" a="1"/>
  <c r="K10" i="5" a="1"/>
  <c r="K5" i="5" a="1"/>
  <c r="K51" i="5" l="1"/>
  <c r="K19" i="5"/>
  <c r="K10" i="5"/>
  <c r="K5" i="5"/>
  <c r="K50" i="5" a="1"/>
  <c r="K18" i="5" a="1"/>
  <c r="K9" i="5" a="1"/>
  <c r="K4" i="5" a="1"/>
  <c r="K50" i="5" l="1"/>
  <c r="K18" i="5"/>
  <c r="K9" i="5"/>
  <c r="K4" i="5"/>
  <c r="K49" i="5" a="1"/>
  <c r="K17" i="5" a="1"/>
  <c r="K3" i="5" a="1"/>
  <c r="K49" i="5" l="1"/>
  <c r="K17" i="5"/>
  <c r="K3" i="5"/>
  <c r="K48" i="5" a="1"/>
  <c r="K48" i="5" l="1"/>
  <c r="K47" i="5" a="1"/>
  <c r="K47" i="5" l="1"/>
  <c r="K46" i="5" a="1"/>
  <c r="K46" i="5" l="1"/>
  <c r="K45" i="5" a="1"/>
  <c r="K45"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<sst xmlns="http://schemas.openxmlformats.org/spreadsheetml/2006/main" count="1655" uniqueCount="465">
  <si>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</si>
  <si>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</si>
  <si>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</si>
  <si>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</si>
  <si>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</si>
  <si>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</si>
  <si>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</si>
  <si>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</si>
  <si>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</si>
  <si>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</si>
  <si>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</si>
  <si>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</si>
  <si>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</si>
  <si>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</si>
  <si>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</si>
  <si>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</si>
  <si>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</si>
  <si>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</si>
  <si>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</si>
  <si>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</si>
  <si>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</si>
  <si>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</si>
  <si>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</si>
  <si>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</si>
  <si>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</si>
  <si>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</si>
  <si>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</si>
  <si>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</si>
  <si>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</si>
  <si>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</si>
  <si>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</si>
  <si>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</si>
  <si>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</si>
  <si>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</si>
  <si>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</si>
  <si>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</si>
  <si>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</si>
  <si>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</si>
  <si>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</si>
  <si>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</si>
  <si>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</si>
  <si>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</si>
  <si>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</si>
  <si>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</si>
  <si>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</si>
  <si>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</si>
  <si>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</si>
  <si>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</si>
  <si>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</si>
  <si>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</si>
  <si>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</si>
  <si>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</si>
  <si>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</si>
  <si>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</si>
  <si>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</si>
  <si>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</si>
  <si>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</si>
  <si>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</si>
  <si>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</si>
  <si>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</si>
  <si>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</si>
  <si>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</si>
  <si>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</si>
  <si>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</si>
  <si>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</si>
  <si>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</si>
  <si>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</si>
  <si>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</si>
  <si>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</si>
  <si>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</si>
  <si>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</si>
  <si>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</si>
  <si>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</si>
  <si>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</si>
  <si>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</si>
  <si>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</si>
  <si>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</si>
  <si>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</si>
  <si>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</si>
  <si>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</si>
  <si>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</si>
  <si>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</si>
  <si>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</si>
  <si>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</si>
  <si>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</si>
  <si>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</si>
  <si>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</si>
  <si>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</si>
  <si>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</si>
  <si>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</si>
  <si>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</si>
  <si>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</si>
  <si>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</si>
  <si>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</si>
  <si>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</si>
  <si>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</si>
  <si>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komposition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</si>
  <si>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</si>
  <si>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</si>
  <si>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</si>
  <si>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</si>
  <si>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</si>
  <si>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</si>
  <si>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</si>
  <si>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</si>
  <si>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</si>
  <si>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</si>
  <si>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</si>
  <si>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</si>
  <si>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</si>
  <si>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</si>
  <si>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</si>
  <si>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</si>
  <si>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</si>
  <si>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</si>
  <si>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</si>
  <si>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</si>
  <si>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</si>
  <si>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</si>
  <si>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</si>
  <si>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</si>
  <si>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</si>
  <si>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</si>
  <si>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</si>
  <si>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</si>
  <si>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</si>
  <si>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</si>
  <si>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</si>
  <si>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</si>
  <si>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</si>
  <si>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</si>
  <si>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</si>
  <si>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</si>
  <si>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</si>
  <si>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</si>
  <si>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</si>
  <si>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</si>
  <si>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</si>
  <si>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</si>
  <si>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</si>
  <si>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</si>
  <si>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</si>
  <si>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</si>
  <si>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</si>
  <si>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</si>
  <si>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</si>
  <si>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</si>
  <si>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</si>
  <si>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</si>
  <si>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</si>
  <si>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</si>
  <si>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</si>
  <si>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</si>
  <si>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</si>
  <si>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</si>
  <si>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</si>
  <si>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</si>
  <si>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</si>
  <si>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</si>
  <si>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</si>
  <si>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</si>
  <si>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</si>
  <si>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</si>
  <si>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</si>
  <si>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</si>
  <si>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</si>
  <si>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</si>
  <si>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myTest::Address</t>
  </si>
  <si>
    <t>table</t>
  </si>
  <si>
    <t>System</t>
  </si>
  <si>
    <t>SQL</t>
  </si>
  <si>
    <t>myTest::Person</t>
  </si>
  <si>
    <t>myTest::Phone</t>
  </si>
  <si>
    <t>myTest::PhonesTypes</t>
  </si>
  <si>
    <t>myTest::InternetTypes</t>
  </si>
  <si>
    <t>myTest::Internet</t>
  </si>
  <si>
    <t>myTest::FormOfAddress</t>
  </si>
  <si>
    <t>myTest::FamilyTypes</t>
  </si>
  <si>
    <t>myTest::Departments</t>
  </si>
  <si>
    <t>myTest::Countries</t>
  </si>
  <si>
    <t>myTest::BankingTypes</t>
  </si>
  <si>
    <t>myTest::Banking</t>
  </si>
  <si>
    <t>myTest::AddressTypes</t>
  </si>
  <si>
    <t>WorkingTime</t>
  </si>
  <si>
    <t>dbo.WorkingTime</t>
  </si>
  <si>
    <t>StartingTime</t>
  </si>
  <si>
    <t>ClosingTime</t>
  </si>
  <si>
    <t xml:space="preserve">Processed </t>
  </si>
  <si>
    <t>FamilyStatus</t>
  </si>
  <si>
    <t>dbo.FamilyStatus</t>
  </si>
  <si>
    <t>myTest::FamilyStatus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</si>
  <si>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</si>
  <si>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</si>
  <si>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</si>
  <si>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</si>
  <si>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</si>
  <si>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</si>
  <si>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</si>
  <si>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</si>
  <si>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</si>
  <si>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</si>
  <si>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</si>
  <si>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</si>
  <si>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</si>
  <si>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</si>
  <si>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</si>
  <si>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</si>
  <si>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</si>
  <si>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</si>
  <si>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</si>
  <si>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</si>
  <si>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</si>
  <si>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</si>
  <si>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</si>
  <si>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</si>
  <si>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</si>
  <si>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</si>
  <si>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</si>
  <si>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</si>
  <si>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</si>
  <si>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</si>
  <si>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</si>
  <si>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</si>
  <si>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</si>
  <si>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</si>
  <si>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</si>
  <si>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</si>
  <si>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</si>
  <si>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</si>
  <si>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</si>
  <si>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</si>
  <si>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</si>
  <si>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</si>
  <si>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</si>
  <si>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</si>
  <si>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</si>
  <si>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</si>
  <si>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</si>
  <si>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</si>
  <si>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</si>
  <si>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</si>
  <si>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</si>
  <si>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</si>
  <si>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</si>
  <si>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</si>
  <si>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</si>
  <si>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</si>
  <si>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</si>
  <si>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</si>
  <si>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</si>
  <si>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</si>
  <si>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</si>
  <si>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</si>
  <si>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</si>
  <si>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</si>
  <si>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</si>
  <si>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</si>
  <si>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</si>
  <si>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</si>
  <si>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</si>
  <si>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</si>
  <si>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</si>
  <si>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</si>
  <si>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</si>
  <si>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</si>
  <si>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</si>
  <si>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</si>
  <si>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</si>
  <si>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</si>
  <si>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</si>
  <si>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</si>
  <si>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</si>
  <si>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</si>
  <si>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</si>
  <si>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</si>
  <si>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</si>
  <si>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</si>
  <si>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</si>
  <si>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</si>
  <si>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</si>
  <si>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</si>
  <si>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</si>
  <si>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</si>
  <si>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</si>
  <si>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</si>
  <si>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</si>
  <si>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</si>
  <si>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</si>
  <si>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</si>
  <si>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</si>
  <si>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</si>
  <si>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</si>
  <si>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</si>
  <si>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</si>
  <si>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</si>
  <si>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</si>
  <si>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</si>
  <si>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</si>
  <si>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</si>
  <si>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</si>
  <si>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</si>
  <si>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</si>
  <si>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</si>
  <si>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</si>
  <si>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</si>
  <si>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</si>
  <si>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</si>
  <si>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</si>
  <si>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</si>
  <si>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</si>
  <si>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</si>
  <si>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</si>
  <si>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</si>
  <si>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</si>
  <si>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</si>
  <si>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</si>
  <si>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</si>
  <si>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</si>
  <si>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</si>
  <si>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</si>
  <si>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</si>
  <si>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</si>
  <si>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</si>
  <si>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</si>
  <si>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</si>
  <si>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</si>
  <si>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</si>
  <si>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</si>
  <si>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</si>
  <si>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</si>
  <si>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</si>
  <si>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</si>
  <si>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</si>
  <si>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</si>
  <si>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</si>
  <si>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</si>
  <si>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</si>
  <si>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</si>
  <si>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</si>
  <si>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</si>
  <si>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</si>
  <si>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</si>
  <si>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</si>
  <si>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</si>
  <si>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</si>
  <si>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'Frau</t>
  </si>
  <si>
    <t>'Diverse'</t>
  </si>
  <si>
    <t>Non-Binär'</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</si>
  <si>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</si>
  <si>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</si>
  <si>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</si>
  <si>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</si>
  <si>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</si>
  <si>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</si>
  <si>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</si>
  <si>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</si>
  <si>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</si>
  <si>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'Dies ist die Standardsteuerklasse für alleinstehende Personen ohne Kinder."</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</si>
  <si>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</si>
  <si>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</si>
  <si>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</si>
  <si>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</si>
  <si>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</si>
  <si>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</si>
  <si>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</si>
  <si>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</si>
  <si>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</si>
  <si>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</si>
  <si>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</si>
  <si>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</si>
  <si>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</si>
  <si>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</si>
  <si>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</si>
  <si>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</si>
  <si>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</si>
  <si>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</si>
  <si>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</si>
  <si>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</si>
  <si>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</si>
  <si>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</si>
  <si>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</si>
  <si>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</si>
  <si>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'eingetragener Verein als juristische Person'</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</si>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</sst>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O176"/>
  <sheetViews>
    <sheetView topLeftCell="A138" workbookViewId="0">
      <selection activeCell="A155" sqref="A155"/>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2" width="14.6640625" customWidth="1"/>
    <col min="13" max="13" width="5.53125" customWidth="1"/>
    <col min="14" max="14" width="68.6640625" customWidth="1"/>
    <col min="15" max="15" width="118.3984375" customWidth="1"/>
  </cols>
  <sheetData>
    <row r="1" spans="1:15" x14ac:dyDescent="0.45">
      <c r="O1" t="s">
        <v>60</v>
      </c>
    </row>
    <row r="2" spans="1:15" x14ac:dyDescent="0.45">
      <c r="A2" t="s">
        <v>23</v>
      </c>
      <c r="B2">
        <v>0</v>
      </c>
      <c r="C2" t="s">
        <v>79</v>
      </c>
      <c r="D2" t="s">
        <v>80</v>
      </c>
      <c r="E2" t="s">
        <v>168</v>
      </c>
      <c r="H2" t="s">
        <v>169</v>
      </c>
      <c r="I2" t="s">
        <v>170</v>
      </c>
      <c r="N2" t="s">
        <v>55</v>
      </c>
      <c r="O2" s="2" t="str">
        <f>CONCATENATE("   ",$O$1,".AddTable(","""",A2,""", ",CONCATENATE("EMyEntityType::",E2),", """,IF(ISERROR(FIND(".",C2)),"",RIGHT(C2, LEN(C2) - FIND(".",C2))),""", """,IF(ISERROR(FIND(".",C2)),"",LEFT(C2, FIND(".",C2)-1)),""", """,IF(ISERROR(FIND("::",D2)),"",RIGHT(D2, LEN(D2) - FIND("::",D2)-1)),""", """,IF(ISERROR(FIND("::",D2)),"",LEFT(D2, FIND("::",D2)-1)),""", """,H2,""", """,I2,""", """,N2,""")")</f>
        <v xml:space="preserve">   dictionary.AddTable("Berlin", EMyEntityType::table, "Berlin_olddata", "dbo", "Berlin", "myDataOld", "System", "SQL", "Tabelle mit den Berliner Adresspunkten")</v>
      </c>
    </row>
    <row r="3" spans="1:15" x14ac:dyDescent="0.45">
      <c r="A3" t="s">
        <v>23</v>
      </c>
      <c r="B3">
        <v>1</v>
      </c>
      <c r="C3" t="s">
        <v>0</v>
      </c>
      <c r="D3" t="s">
        <v>39</v>
      </c>
      <c r="E3" t="s">
        <v>20</v>
      </c>
      <c r="F3">
        <v>0</v>
      </c>
      <c r="G3">
        <v>0</v>
      </c>
      <c r="H3" t="s">
        <v>57</v>
      </c>
      <c r="I3" t="s">
        <v>57</v>
      </c>
      <c r="N3" t="s">
        <v>56</v>
      </c>
      <c r="O3" s="2" t="str">
        <f>CONCATENATE("      .AddAttribute(",REPT(" ",3-LEN(TEXT(B3, "0"))),TEXT(B3, "0"),", """,C3,""", """,D3,""", """,E3,""", ",F3,", ",G3,", ",H3,", ",I3,", """,K3,""", """,L3,""", """,N3,"""",    ")")</f>
        <v xml:space="preserve">      .AddAttribute(  1, "State_ID", "Land_ID", "integer", 0, 0, false, false, "", "", "Identifikationsnummer (NUTS) für das Bundesland")</v>
      </c>
    </row>
    <row r="4" spans="1:15" x14ac:dyDescent="0.45">
      <c r="A4" t="s">
        <v>23</v>
      </c>
      <c r="B4">
        <v>2</v>
      </c>
      <c r="C4" t="s">
        <v>1</v>
      </c>
      <c r="D4" t="s">
        <v>40</v>
      </c>
      <c r="E4" t="s">
        <v>20</v>
      </c>
      <c r="F4">
        <v>0</v>
      </c>
      <c r="G4">
        <v>0</v>
      </c>
      <c r="H4" t="s">
        <v>57</v>
      </c>
      <c r="I4" t="s">
        <v>57</v>
      </c>
      <c r="M4">
        <v>11</v>
      </c>
      <c r="O4" s="2" t="str">
        <f t="shared" ref="O4:O21" si="0">CONCATENATE("      .AddAttribute(",REPT(" ",3-LEN(TEXT(B4, "0"))),TEXT(B4, "0"),", """,C4,""", """,D4,""", """,E4,""", ",F4,", ",G4,", ",H4,", ",I4,", """,K4,""", """,L4,""", """,N4,"""",    ")")</f>
        <v xml:space="preserve">      .AddAttribute(  2, "District_ID", "Bezirk_ID", "integer", 0, 0, false, false, "", "", "")</v>
      </c>
    </row>
    <row r="5" spans="1:15" x14ac:dyDescent="0.45">
      <c r="A5" t="s">
        <v>23</v>
      </c>
      <c r="B5">
        <v>3</v>
      </c>
      <c r="C5" t="s">
        <v>2</v>
      </c>
      <c r="D5" t="s">
        <v>41</v>
      </c>
      <c r="E5" t="s">
        <v>20</v>
      </c>
      <c r="F5">
        <v>0</v>
      </c>
      <c r="G5">
        <v>0</v>
      </c>
      <c r="H5" t="s">
        <v>57</v>
      </c>
      <c r="I5" t="s">
        <v>57</v>
      </c>
      <c r="M5">
        <v>13</v>
      </c>
      <c r="O5" s="2" t="str">
        <f t="shared" si="0"/>
        <v xml:space="preserve">      .AddAttribute(  3, "Neighborhood_ID", "Ortsteil_ID", "integer", 0, 0, false, false, "", "", "")</v>
      </c>
    </row>
    <row r="6" spans="1:15" x14ac:dyDescent="0.45">
      <c r="A6" t="s">
        <v>23</v>
      </c>
      <c r="B6">
        <v>4</v>
      </c>
      <c r="C6" t="s">
        <v>3</v>
      </c>
      <c r="D6" t="s">
        <v>42</v>
      </c>
      <c r="E6" t="s">
        <v>20</v>
      </c>
      <c r="F6">
        <v>0</v>
      </c>
      <c r="G6">
        <v>0</v>
      </c>
      <c r="H6" t="s">
        <v>57</v>
      </c>
      <c r="I6" t="s">
        <v>57</v>
      </c>
      <c r="M6">
        <v>7</v>
      </c>
      <c r="O6" s="2" t="str">
        <f t="shared" si="0"/>
        <v xml:space="preserve">      .AddAttribute(  4, "Street_ID", "Strasse_ID", "integer", 0, 0, false, false, "", "", "")</v>
      </c>
    </row>
    <row r="7" spans="1:15" x14ac:dyDescent="0.45">
      <c r="A7" t="s">
        <v>23</v>
      </c>
      <c r="B7">
        <v>5</v>
      </c>
      <c r="C7" t="s">
        <v>4</v>
      </c>
      <c r="D7" t="s">
        <v>43</v>
      </c>
      <c r="E7" t="s">
        <v>19</v>
      </c>
      <c r="F7">
        <v>75</v>
      </c>
      <c r="G7">
        <v>0</v>
      </c>
      <c r="H7" t="s">
        <v>57</v>
      </c>
      <c r="I7" t="s">
        <v>57</v>
      </c>
      <c r="M7">
        <v>22</v>
      </c>
      <c r="O7" s="2" t="str">
        <f t="shared" si="0"/>
        <v xml:space="preserve">      .AddAttribute(  5, "State", "Land", "varchar", 75, 0, false, false, "", "", "")</v>
      </c>
    </row>
    <row r="8" spans="1:15" x14ac:dyDescent="0.45">
      <c r="A8" t="s">
        <v>23</v>
      </c>
      <c r="B8">
        <v>6</v>
      </c>
      <c r="C8" t="s">
        <v>5</v>
      </c>
      <c r="D8" t="s">
        <v>44</v>
      </c>
      <c r="E8" t="s">
        <v>19</v>
      </c>
      <c r="F8">
        <v>75</v>
      </c>
      <c r="G8">
        <v>0</v>
      </c>
      <c r="H8" t="s">
        <v>57</v>
      </c>
      <c r="I8" t="s">
        <v>57</v>
      </c>
      <c r="M8">
        <v>22</v>
      </c>
      <c r="O8" s="2" t="str">
        <f t="shared" si="0"/>
        <v xml:space="preserve">      .AddAttribute(  6, "City", "Stadt", "varchar", 75, 0, false, false, "", "", "")</v>
      </c>
    </row>
    <row r="9" spans="1:15" x14ac:dyDescent="0.45">
      <c r="A9" t="s">
        <v>23</v>
      </c>
      <c r="B9">
        <v>7</v>
      </c>
      <c r="C9" t="s">
        <v>6</v>
      </c>
      <c r="D9" t="s">
        <v>45</v>
      </c>
      <c r="E9" t="s">
        <v>19</v>
      </c>
      <c r="F9">
        <v>75</v>
      </c>
      <c r="G9">
        <v>0</v>
      </c>
      <c r="H9" t="s">
        <v>57</v>
      </c>
      <c r="I9" t="s">
        <v>57</v>
      </c>
      <c r="M9">
        <v>10</v>
      </c>
      <c r="O9" s="2" t="str">
        <f t="shared" si="0"/>
        <v xml:space="preserve">      .AddAttribute(  7, "District", "Bezirk", "varchar", 75, 0, false, false, "", "", "")</v>
      </c>
    </row>
    <row r="10" spans="1:15" x14ac:dyDescent="0.45">
      <c r="A10" t="s">
        <v>23</v>
      </c>
      <c r="B10">
        <v>8</v>
      </c>
      <c r="C10" t="s">
        <v>7</v>
      </c>
      <c r="D10" t="s">
        <v>46</v>
      </c>
      <c r="E10" t="s">
        <v>19</v>
      </c>
      <c r="F10">
        <v>75</v>
      </c>
      <c r="G10">
        <v>0</v>
      </c>
      <c r="H10" t="s">
        <v>57</v>
      </c>
      <c r="I10" t="s">
        <v>57</v>
      </c>
      <c r="M10">
        <v>12</v>
      </c>
      <c r="O10" s="2" t="str">
        <f t="shared" si="0"/>
        <v xml:space="preserve">      .AddAttribute(  8, "Neighborhood", "Ortsteil", "varchar", 75, 0, false, false, "", "", "")</v>
      </c>
    </row>
    <row r="11" spans="1:15" x14ac:dyDescent="0.45">
      <c r="A11" t="s">
        <v>23</v>
      </c>
      <c r="B11">
        <v>9</v>
      </c>
      <c r="C11" t="s">
        <v>8</v>
      </c>
      <c r="D11" t="s">
        <v>47</v>
      </c>
      <c r="E11" t="s">
        <v>19</v>
      </c>
      <c r="F11">
        <v>75</v>
      </c>
      <c r="G11">
        <v>0</v>
      </c>
      <c r="H11" t="s">
        <v>57</v>
      </c>
      <c r="I11" t="s">
        <v>57</v>
      </c>
      <c r="M11">
        <v>8</v>
      </c>
      <c r="O11" s="2" t="str">
        <f t="shared" si="0"/>
        <v xml:space="preserve">      .AddAttribute(  9, "Street", "Strasse", "varchar", 75, 0, false, false, "", "", "")</v>
      </c>
    </row>
    <row r="12" spans="1:15" x14ac:dyDescent="0.45">
      <c r="A12" t="s">
        <v>23</v>
      </c>
      <c r="B12">
        <v>10</v>
      </c>
      <c r="C12" t="s">
        <v>9</v>
      </c>
      <c r="D12" t="s">
        <v>48</v>
      </c>
      <c r="E12" t="s">
        <v>19</v>
      </c>
      <c r="F12">
        <v>5</v>
      </c>
      <c r="G12">
        <v>0</v>
      </c>
      <c r="H12" t="s">
        <v>57</v>
      </c>
      <c r="I12" t="s">
        <v>57</v>
      </c>
      <c r="M12">
        <v>9</v>
      </c>
      <c r="O12" s="2" t="str">
        <f t="shared" si="0"/>
        <v xml:space="preserve">      .AddAttribute( 10, "Postal_Code", "PLZ", "varchar", 5, 0, false, false, "", "", "")</v>
      </c>
    </row>
    <row r="13" spans="1:15" x14ac:dyDescent="0.45">
      <c r="A13" t="s">
        <v>23</v>
      </c>
      <c r="B13">
        <v>11</v>
      </c>
      <c r="C13" t="s">
        <v>10</v>
      </c>
      <c r="D13" t="s">
        <v>49</v>
      </c>
      <c r="E13" t="s">
        <v>20</v>
      </c>
      <c r="F13">
        <v>0</v>
      </c>
      <c r="G13">
        <v>0</v>
      </c>
      <c r="H13" t="s">
        <v>57</v>
      </c>
      <c r="I13" t="s">
        <v>57</v>
      </c>
      <c r="M13">
        <v>5</v>
      </c>
      <c r="O13" s="2" t="str">
        <f t="shared" si="0"/>
        <v xml:space="preserve">      .AddAttribute( 11, "House_Number", "HNR", "integer", 0, 0, false, false, "", "", "")</v>
      </c>
    </row>
    <row r="14" spans="1:15" x14ac:dyDescent="0.45">
      <c r="A14" t="s">
        <v>23</v>
      </c>
      <c r="B14">
        <v>12</v>
      </c>
      <c r="C14" t="s">
        <v>11</v>
      </c>
      <c r="D14" t="s">
        <v>50</v>
      </c>
      <c r="E14" t="s">
        <v>19</v>
      </c>
      <c r="F14">
        <v>5</v>
      </c>
      <c r="G14">
        <v>0</v>
      </c>
      <c r="H14" t="s">
        <v>57</v>
      </c>
      <c r="I14" t="s">
        <v>57</v>
      </c>
      <c r="M14">
        <v>6</v>
      </c>
      <c r="O14" s="2" t="str">
        <f t="shared" si="0"/>
        <v xml:space="preserve">      .AddAttribute( 12, "Address_Addendum", "ADZ", "varchar", 5, 0, false, false, "", "", "")</v>
      </c>
    </row>
    <row r="15" spans="1:15" x14ac:dyDescent="0.45">
      <c r="A15" t="s">
        <v>23</v>
      </c>
      <c r="B15">
        <v>13</v>
      </c>
      <c r="C15" t="s">
        <v>12</v>
      </c>
      <c r="D15" t="s">
        <v>12</v>
      </c>
      <c r="E15" t="s">
        <v>21</v>
      </c>
      <c r="F15">
        <v>0</v>
      </c>
      <c r="G15">
        <v>0</v>
      </c>
      <c r="H15" t="s">
        <v>57</v>
      </c>
      <c r="I15" t="s">
        <v>57</v>
      </c>
      <c r="M15">
        <v>1</v>
      </c>
      <c r="O15" s="2" t="str">
        <f t="shared" si="0"/>
        <v xml:space="preserve">      .AddAttribute( 13, "Latitude", "Latitude", "double", 0, 0, false, false, "", "", "")</v>
      </c>
    </row>
    <row r="16" spans="1:15" x14ac:dyDescent="0.45">
      <c r="A16" t="s">
        <v>23</v>
      </c>
      <c r="B16">
        <v>14</v>
      </c>
      <c r="C16" t="s">
        <v>13</v>
      </c>
      <c r="D16" t="s">
        <v>13</v>
      </c>
      <c r="E16" t="s">
        <v>21</v>
      </c>
      <c r="F16">
        <v>0</v>
      </c>
      <c r="G16">
        <v>0</v>
      </c>
      <c r="H16" t="s">
        <v>57</v>
      </c>
      <c r="I16" t="s">
        <v>57</v>
      </c>
      <c r="M16">
        <v>2</v>
      </c>
      <c r="O16" s="2" t="str">
        <f t="shared" si="0"/>
        <v xml:space="preserve">      .AddAttribute( 14, "Longitude", "Longitude", "double", 0, 0, false, false, "", "", "")</v>
      </c>
    </row>
    <row r="17" spans="1:15" x14ac:dyDescent="0.45">
      <c r="A17" t="s">
        <v>23</v>
      </c>
      <c r="B17">
        <v>15</v>
      </c>
      <c r="C17" t="s">
        <v>14</v>
      </c>
      <c r="D17" t="s">
        <v>53</v>
      </c>
      <c r="E17" t="s">
        <v>22</v>
      </c>
      <c r="F17">
        <v>0</v>
      </c>
      <c r="G17">
        <v>0</v>
      </c>
      <c r="H17" t="s">
        <v>57</v>
      </c>
      <c r="I17" t="s">
        <v>57</v>
      </c>
      <c r="M17">
        <v>17</v>
      </c>
      <c r="O17" s="2" t="str">
        <f t="shared" si="0"/>
        <v xml:space="preserve">      .AddAttribute( 15, "Address_Date", "Adr_Datum", "date", 0, 0, false, false, "", "", "")</v>
      </c>
    </row>
    <row r="18" spans="1:15" x14ac:dyDescent="0.45">
      <c r="A18" t="s">
        <v>23</v>
      </c>
      <c r="B18">
        <v>16</v>
      </c>
      <c r="C18" t="s">
        <v>15</v>
      </c>
      <c r="D18" t="s">
        <v>54</v>
      </c>
      <c r="E18" t="s">
        <v>22</v>
      </c>
      <c r="F18">
        <v>0</v>
      </c>
      <c r="G18">
        <v>0</v>
      </c>
      <c r="H18" t="s">
        <v>57</v>
      </c>
      <c r="I18" t="s">
        <v>57</v>
      </c>
      <c r="M18">
        <v>18</v>
      </c>
      <c r="O18" s="2" t="str">
        <f t="shared" si="0"/>
        <v xml:space="preserve">      .AddAttribute( 16, "Street_Date", "Strasse_Datum", "date", 0, 0, false, false, "", "", "")</v>
      </c>
    </row>
    <row r="19" spans="1:15" x14ac:dyDescent="0.45">
      <c r="A19" t="s">
        <v>23</v>
      </c>
      <c r="B19">
        <v>17</v>
      </c>
      <c r="C19" t="s">
        <v>16</v>
      </c>
      <c r="D19" t="s">
        <v>51</v>
      </c>
      <c r="E19" t="s">
        <v>19</v>
      </c>
      <c r="F19">
        <v>100</v>
      </c>
      <c r="G19">
        <v>0</v>
      </c>
      <c r="H19" t="s">
        <v>57</v>
      </c>
      <c r="I19" t="s">
        <v>57</v>
      </c>
      <c r="M19">
        <v>19</v>
      </c>
      <c r="O19" s="2" t="str">
        <f t="shared" si="0"/>
        <v xml:space="preserve">      .AddAttribute( 17, "Quality", "Qualitaet", "varchar", 100, 0, false, false, "", "", "")</v>
      </c>
    </row>
    <row r="20" spans="1:15" x14ac:dyDescent="0.45">
      <c r="A20" t="s">
        <v>23</v>
      </c>
      <c r="B20">
        <v>18</v>
      </c>
      <c r="C20" t="s">
        <v>17</v>
      </c>
      <c r="D20" t="s">
        <v>52</v>
      </c>
      <c r="E20" t="s">
        <v>19</v>
      </c>
      <c r="F20">
        <v>100</v>
      </c>
      <c r="G20">
        <v>0</v>
      </c>
      <c r="H20" t="s">
        <v>57</v>
      </c>
      <c r="I20" t="s">
        <v>57</v>
      </c>
      <c r="M20">
        <v>20</v>
      </c>
      <c r="O20" s="2" t="str">
        <f t="shared" si="0"/>
        <v xml:space="preserve">      .AddAttribute( 18, "Address_Type", "Adr_Typ", "varchar", 100, 0, false, false, "", "", "")</v>
      </c>
    </row>
    <row r="21" spans="1:15" x14ac:dyDescent="0.45">
      <c r="A21" t="s">
        <v>23</v>
      </c>
      <c r="B21">
        <v>19</v>
      </c>
      <c r="C21" t="s">
        <v>18</v>
      </c>
      <c r="D21" t="s">
        <v>18</v>
      </c>
      <c r="E21" t="s">
        <v>19</v>
      </c>
      <c r="F21">
        <v>20</v>
      </c>
      <c r="G21">
        <v>0</v>
      </c>
      <c r="H21" t="s">
        <v>57</v>
      </c>
      <c r="I21" t="s">
        <v>57</v>
      </c>
      <c r="M21">
        <v>21</v>
      </c>
      <c r="O21" s="2" t="str">
        <f t="shared" si="0"/>
        <v xml:space="preserve">      .AddAttribute( 19, "HKO_ID", "HKO_ID", "varchar", 20, 0, false, false, "", "", "")</v>
      </c>
    </row>
    <row r="22" spans="1:15" x14ac:dyDescent="0.45">
      <c r="O22" s="2" t="s">
        <v>68</v>
      </c>
    </row>
    <row r="24" spans="1:15" x14ac:dyDescent="0.45">
      <c r="K24" t="s">
        <v>295</v>
      </c>
      <c r="L24" t="s">
        <v>203</v>
      </c>
    </row>
    <row r="25" spans="1:15" x14ac:dyDescent="0.45">
      <c r="A25" t="s">
        <v>100</v>
      </c>
      <c r="B25">
        <v>0</v>
      </c>
      <c r="C25" t="s">
        <v>114</v>
      </c>
      <c r="D25" t="s">
        <v>167</v>
      </c>
      <c r="E25" t="s">
        <v>168</v>
      </c>
      <c r="H25" t="s">
        <v>169</v>
      </c>
      <c r="I25" t="s">
        <v>170</v>
      </c>
      <c r="K25" s="2"/>
      <c r="L25" s="2"/>
      <c r="N25" s="4" t="s">
        <v>213</v>
      </c>
      <c r="O25" s="2" t="str">
        <f>CONCATENATE("   ",$O$1,".AddTable(","""",A25,""", ",CONCATENATE("EMyEntityType::",E25),", """,IF(ISERROR(FIND(".",C25)),"",RIGHT(C25, LEN(C25) - FIND(".",C25))),""", """,IF(ISERROR(FIND(".",C25)),"",LEFT(C25, FIND(".",C25)-1)),""", """,IF(ISERROR(FIND("::",D25)),"",RIGHT(D25, LEN(D25) - FIND("::",D25)-1)),""", """,IF(ISERROR(FIND("::",D25)),"",LEFT(D25, FIND("::",D25)-1)),""", """,H25,""", """,I25,""", """,N25,""")")</f>
        <v xml:space="preserve">   dictionary.AddTable("Address", EMyEntityType::table, "Address", "dbo", "Address", "myTest", "System", "SQL", "information on the addresses where a person lives, works or has any other relationship with them")</v>
      </c>
    </row>
    <row r="26" spans="1:15" x14ac:dyDescent="0.45">
      <c r="A26" t="s">
        <v>100</v>
      </c>
      <c r="B26">
        <v>1</v>
      </c>
      <c r="C26" t="s">
        <v>134</v>
      </c>
      <c r="D26" t="s">
        <v>134</v>
      </c>
      <c r="E26" t="s">
        <v>20</v>
      </c>
      <c r="F26">
        <v>0</v>
      </c>
      <c r="G26">
        <v>0</v>
      </c>
      <c r="H26" t="s">
        <v>58</v>
      </c>
      <c r="I26" t="s">
        <v>58</v>
      </c>
      <c r="J26" t="s">
        <v>57</v>
      </c>
      <c r="K26" s="2"/>
      <c r="L26" s="2"/>
      <c r="N26" s="4" t="s">
        <v>277</v>
      </c>
      <c r="O26" s="2" t="str">
        <f>CONCATENATE("      .AddAttribute(",REPT(" ",3-LEN(TEXT(B26, "0"))),TEXT(B26, "0"),", """,C26,""", """,D26,""", """,E26,""", ",F26,", ",G26,", ",H26,", ",I26,", """,K26,""", """,L26,""", """,N26,"""",    ")")</f>
        <v xml:space="preserve">      .AddAttribute(  1, "ID", "ID", "integer", 0, 0, true, true, "", "", "attribute as Foreign key from an attribute ID of the person entity to whom the address belongs")</v>
      </c>
    </row>
    <row r="27" spans="1:15" x14ac:dyDescent="0.45">
      <c r="A27" t="s">
        <v>100</v>
      </c>
      <c r="B27">
        <v>2</v>
      </c>
      <c r="C27" t="s">
        <v>136</v>
      </c>
      <c r="D27" t="s">
        <v>136</v>
      </c>
      <c r="E27" t="s">
        <v>20</v>
      </c>
      <c r="F27">
        <v>0</v>
      </c>
      <c r="G27">
        <v>0</v>
      </c>
      <c r="H27" t="s">
        <v>58</v>
      </c>
      <c r="I27" t="s">
        <v>58</v>
      </c>
      <c r="J27" t="s">
        <v>58</v>
      </c>
      <c r="K27" s="2"/>
      <c r="L27" s="2"/>
      <c r="N27" s="4" t="s">
        <v>214</v>
      </c>
      <c r="O27" s="2" t="str">
        <f t="shared" ref="O27:O32" si="1">CONCATENATE("      .AddAttribute(",REPT(" ",3-LEN(TEXT(B27, "0"))),TEXT(B27, "0"),", """,C27,""", """,D27,""", """,E27,""", ",F27,", ",G27,", ",H27,", ",I27,", """,K27,""", """,L27,""", """,N27,"""",    ")")</f>
        <v xml:space="preserve">      .AddAttribute(  2, "AddressType", "AddressType", "integer", 0, 0, true, true, "", "", "extension of the key by the address type to manage different addresses for one person")</v>
      </c>
    </row>
    <row r="28" spans="1:15" x14ac:dyDescent="0.45">
      <c r="A28" t="s">
        <v>100</v>
      </c>
      <c r="B28">
        <v>3</v>
      </c>
      <c r="C28" t="s">
        <v>138</v>
      </c>
      <c r="D28" t="s">
        <v>138</v>
      </c>
      <c r="E28" t="s">
        <v>19</v>
      </c>
      <c r="F28">
        <v>10</v>
      </c>
      <c r="G28">
        <v>0</v>
      </c>
      <c r="H28" t="s">
        <v>58</v>
      </c>
      <c r="I28" t="s">
        <v>57</v>
      </c>
      <c r="J28" t="s">
        <v>57</v>
      </c>
      <c r="K28" s="2"/>
      <c r="L28" s="2"/>
      <c r="N28" s="4" t="s">
        <v>204</v>
      </c>
      <c r="O28" s="2" t="str">
        <f t="shared" si="1"/>
        <v xml:space="preserve">      .AddAttribute(  3, "Zipcode", "Zipcode", "varchar", 10, 0, true, false, "", "", "Zip code for the address")</v>
      </c>
    </row>
    <row r="29" spans="1:15" x14ac:dyDescent="0.45">
      <c r="A29" t="s">
        <v>100</v>
      </c>
      <c r="B29">
        <v>4</v>
      </c>
      <c r="C29" t="s">
        <v>5</v>
      </c>
      <c r="D29" t="s">
        <v>5</v>
      </c>
      <c r="E29" t="s">
        <v>19</v>
      </c>
      <c r="F29">
        <v>50</v>
      </c>
      <c r="G29">
        <v>0</v>
      </c>
      <c r="H29" t="s">
        <v>58</v>
      </c>
      <c r="I29" t="s">
        <v>57</v>
      </c>
      <c r="J29" t="s">
        <v>57</v>
      </c>
      <c r="K29" s="2"/>
      <c r="L29" s="2"/>
      <c r="N29" s="4" t="s">
        <v>212</v>
      </c>
      <c r="O29" s="2" t="str">
        <f t="shared" si="1"/>
        <v xml:space="preserve">      .AddAttribute(  4, "City", "City", "varchar", 50, 0, true, false, "", "", "name of the city/county (possibly with district) for this address")</v>
      </c>
    </row>
    <row r="30" spans="1:15" x14ac:dyDescent="0.45">
      <c r="A30" t="s">
        <v>100</v>
      </c>
      <c r="B30">
        <v>5</v>
      </c>
      <c r="C30" t="s">
        <v>8</v>
      </c>
      <c r="D30" t="s">
        <v>8</v>
      </c>
      <c r="E30" t="s">
        <v>19</v>
      </c>
      <c r="F30">
        <v>50</v>
      </c>
      <c r="G30">
        <v>0</v>
      </c>
      <c r="H30" t="s">
        <v>58</v>
      </c>
      <c r="I30" t="s">
        <v>57</v>
      </c>
      <c r="J30" t="s">
        <v>57</v>
      </c>
      <c r="K30" s="2"/>
      <c r="L30" s="2"/>
      <c r="N30" s="4" t="s">
        <v>211</v>
      </c>
      <c r="O30" s="2" t="str">
        <f t="shared" si="1"/>
        <v xml:space="preserve">      .AddAttribute(  5, "Street", "Street", "varchar", 50, 0, true, false, "", "", "name of the street belonging to this address")</v>
      </c>
    </row>
    <row r="31" spans="1:15" x14ac:dyDescent="0.45">
      <c r="A31" t="s">
        <v>100</v>
      </c>
      <c r="B31">
        <v>6</v>
      </c>
      <c r="C31" t="s">
        <v>137</v>
      </c>
      <c r="D31" t="s">
        <v>137</v>
      </c>
      <c r="E31" t="s">
        <v>19</v>
      </c>
      <c r="F31">
        <v>10</v>
      </c>
      <c r="G31">
        <v>0</v>
      </c>
      <c r="H31" t="s">
        <v>57</v>
      </c>
      <c r="I31" t="s">
        <v>57</v>
      </c>
      <c r="J31" t="s">
        <v>57</v>
      </c>
      <c r="K31" s="2"/>
      <c r="L31" s="2"/>
      <c r="N31" s="4" t="s">
        <v>215</v>
      </c>
      <c r="O31" s="2" t="str">
        <f t="shared" si="1"/>
        <v xml:space="preserve">      .AddAttribute(  6, "StreetNumber", "StreetNumber", "varchar", 10, 0, false, false, "", "", "house number with addition for this address")</v>
      </c>
    </row>
    <row r="32" spans="1:15" x14ac:dyDescent="0.45">
      <c r="A32" t="s">
        <v>100</v>
      </c>
      <c r="B32">
        <v>7</v>
      </c>
      <c r="C32" t="s">
        <v>139</v>
      </c>
      <c r="D32" t="s">
        <v>139</v>
      </c>
      <c r="E32" t="s">
        <v>20</v>
      </c>
      <c r="F32">
        <v>0</v>
      </c>
      <c r="G32">
        <v>0</v>
      </c>
      <c r="H32" t="s">
        <v>58</v>
      </c>
      <c r="I32" t="s">
        <v>57</v>
      </c>
      <c r="J32" t="s">
        <v>57</v>
      </c>
      <c r="K32" s="2"/>
      <c r="L32" s="2"/>
      <c r="N32" s="4" t="s">
        <v>209</v>
      </c>
      <c r="O32" s="2" t="str">
        <f t="shared" si="1"/>
        <v xml:space="preserve">      .AddAttribute(  7, "Country", "Country", "integer", 0, 0, true, false, "", "", "ID of the country for the address, key attribute from the \"Countries\" entity")</v>
      </c>
    </row>
    <row r="33" spans="1:15" x14ac:dyDescent="0.45">
      <c r="N33" s="4"/>
    </row>
    <row r="34" spans="1:15" x14ac:dyDescent="0.45">
      <c r="A34" t="s">
        <v>101</v>
      </c>
      <c r="B34">
        <v>0</v>
      </c>
      <c r="C34" t="s">
        <v>115</v>
      </c>
      <c r="D34" t="s">
        <v>182</v>
      </c>
      <c r="E34" t="s">
        <v>168</v>
      </c>
      <c r="H34" t="s">
        <v>169</v>
      </c>
      <c r="I34" t="s">
        <v>170</v>
      </c>
      <c r="K34" s="2"/>
      <c r="L34" s="2"/>
      <c r="N34" s="4" t="s">
        <v>210</v>
      </c>
      <c r="O34" s="2" t="str">
        <f>CONCATENATE("   ",$O$1,".AddTable(","""",A34,""", ",CONCATENATE("EMyEntityType::",E34),", """,IF(ISERROR(FIND(".",C34)),"",RIGHT(C34, LEN(C34) - FIND(".",C34))),""", """,IF(ISERROR(FIND(".",C34)),"",LEFT(C34, FIND(".",C34)-1)),""", """,IF(ISERROR(FIND("::",D34)),"",RIGHT(D34, LEN(D34) - FIND("::",D34)-1)),""", """,IF(ISERROR(FIND("::",D34)),"",LEFT(D34, FIND("::",D34)-1)),""", """,H34,""", """,I34,""", """,N34,""")")</f>
        <v xml:space="preserve">   dictionary.AddTable("AddressTypes", EMyEntityType::table, "AddressTypes", "dbo", "AddressTypes", "myTest", "System", "SQL", "domain / range of values for address types, this is an extension of the relationship between persons and addresses.")</v>
      </c>
    </row>
    <row r="35" spans="1:15" x14ac:dyDescent="0.45">
      <c r="A35" t="s">
        <v>101</v>
      </c>
      <c r="B35">
        <v>1</v>
      </c>
      <c r="C35" t="s">
        <v>134</v>
      </c>
      <c r="D35" t="s">
        <v>134</v>
      </c>
      <c r="E35" t="s">
        <v>20</v>
      </c>
      <c r="F35">
        <v>0</v>
      </c>
      <c r="G35">
        <v>0</v>
      </c>
      <c r="H35" t="s">
        <v>58</v>
      </c>
      <c r="I35" t="s">
        <v>58</v>
      </c>
      <c r="J35" t="s">
        <v>57</v>
      </c>
      <c r="K35" s="2"/>
      <c r="L35" s="2"/>
      <c r="N35" s="4" t="s">
        <v>233</v>
      </c>
      <c r="O35" s="2" t="str">
        <f t="shared" ref="O35:O40" si="2">CONCATENATE("      .AddAttribute(",REPT(" ",3-LEN(TEXT(B35, "0"))),TEXT(B35, "0"),", """,C35,""", """,D35,""", """,E35,""", ",F35,", ",G35,", ",H35,", ",I35,", """,K35,""", """,L35,""", """,N35,"""",    ")")</f>
        <v xml:space="preserve">      .AddAttribute(  1, "ID", "ID", "integer", 0, 0, true, true, "", "", "unique identification number for a record in this domain with address types")</v>
      </c>
    </row>
    <row r="36" spans="1:15" x14ac:dyDescent="0.45">
      <c r="A36" t="s">
        <v>101</v>
      </c>
      <c r="B36">
        <v>2</v>
      </c>
      <c r="C36" t="s">
        <v>129</v>
      </c>
      <c r="D36" t="s">
        <v>129</v>
      </c>
      <c r="E36" t="s">
        <v>19</v>
      </c>
      <c r="F36">
        <v>50</v>
      </c>
      <c r="G36">
        <v>0</v>
      </c>
      <c r="H36" t="s">
        <v>58</v>
      </c>
      <c r="I36" t="s">
        <v>57</v>
      </c>
      <c r="J36" t="s">
        <v>58</v>
      </c>
      <c r="K36" s="2"/>
      <c r="L36" s="2"/>
      <c r="N36" s="4" t="s">
        <v>216</v>
      </c>
      <c r="O36" s="2" t="str">
        <f t="shared" si="2"/>
        <v xml:space="preserve">      .AddAttribute(  2, "Denotation", "Denotation", "varchar", 50, 0, true, false, "", "", "unique description of an entry in the domain, display in selections, comboboxes, … (key canditate)")</v>
      </c>
    </row>
    <row r="37" spans="1:15" x14ac:dyDescent="0.45">
      <c r="A37" t="s">
        <v>101</v>
      </c>
      <c r="B37">
        <v>3</v>
      </c>
      <c r="C37" t="s">
        <v>130</v>
      </c>
      <c r="D37" t="s">
        <v>130</v>
      </c>
      <c r="E37" t="s">
        <v>19</v>
      </c>
      <c r="F37">
        <v>10</v>
      </c>
      <c r="G37">
        <v>0</v>
      </c>
      <c r="H37" t="s">
        <v>57</v>
      </c>
      <c r="I37" t="s">
        <v>57</v>
      </c>
      <c r="J37" t="s">
        <v>57</v>
      </c>
      <c r="K37" s="2"/>
      <c r="L37" s="2"/>
      <c r="N37" s="4" t="s">
        <v>217</v>
      </c>
      <c r="O37" s="2" t="str">
        <f t="shared" si="2"/>
        <v xml:space="preserve">      .AddAttribute(  3, "Abbreviation", "Abbreviation", "varchar", 10, 0, false, false, "", "", "non-representative abbreviation that can be used for a short advertisement for this address")</v>
      </c>
    </row>
    <row r="38" spans="1:15" x14ac:dyDescent="0.45">
      <c r="A38" t="s">
        <v>101</v>
      </c>
      <c r="B38">
        <v>4</v>
      </c>
      <c r="C38" t="s">
        <v>131</v>
      </c>
      <c r="D38" t="s">
        <v>131</v>
      </c>
      <c r="E38" t="s">
        <v>77</v>
      </c>
      <c r="F38">
        <v>0</v>
      </c>
      <c r="G38">
        <v>0</v>
      </c>
      <c r="H38" t="s">
        <v>57</v>
      </c>
      <c r="I38" t="s">
        <v>57</v>
      </c>
      <c r="J38" t="s">
        <v>57</v>
      </c>
      <c r="K38" s="2"/>
      <c r="L38" s="2"/>
      <c r="N38" s="4" t="s">
        <v>218</v>
      </c>
      <c r="O38" s="2" t="str">
        <f t="shared" si="2"/>
        <v xml:space="preserve">      .AddAttribute(  4, "Description", "Description", "text", 0, 0, false, false, "", "", "detailed description of these address types, what is associated with them. Self documentation, possible use as hint")</v>
      </c>
    </row>
    <row r="39" spans="1:15" x14ac:dyDescent="0.45">
      <c r="A39" t="s">
        <v>101</v>
      </c>
      <c r="B39">
        <v>5</v>
      </c>
      <c r="C39" t="s">
        <v>132</v>
      </c>
      <c r="D39" t="s">
        <v>132</v>
      </c>
      <c r="E39" t="s">
        <v>77</v>
      </c>
      <c r="F39">
        <v>0</v>
      </c>
      <c r="G39">
        <v>0</v>
      </c>
      <c r="H39" t="s">
        <v>57</v>
      </c>
      <c r="I39" t="s">
        <v>57</v>
      </c>
      <c r="J39" t="s">
        <v>57</v>
      </c>
      <c r="K39" s="2"/>
      <c r="L39" s="2"/>
      <c r="N39" s="4" t="s">
        <v>219</v>
      </c>
      <c r="O39" s="2" t="str">
        <f t="shared" si="2"/>
        <v xml:space="preserve">      .AddAttribute(  5, "Notes", "Notes", "text", 0, 0, false, false, "", "", "notes, with additional / free information for this AddressType, not used in application")</v>
      </c>
    </row>
    <row r="40" spans="1:15" x14ac:dyDescent="0.45">
      <c r="A40" t="s">
        <v>101</v>
      </c>
      <c r="B40">
        <v>6</v>
      </c>
      <c r="C40" t="s">
        <v>133</v>
      </c>
      <c r="D40" t="s">
        <v>133</v>
      </c>
      <c r="E40" t="s">
        <v>27</v>
      </c>
      <c r="F40">
        <v>0</v>
      </c>
      <c r="G40">
        <v>0</v>
      </c>
      <c r="H40" t="s">
        <v>57</v>
      </c>
      <c r="I40" t="s">
        <v>57</v>
      </c>
      <c r="J40" t="s">
        <v>57</v>
      </c>
      <c r="K40" s="2"/>
      <c r="L40" s="2"/>
      <c r="N40" s="4" t="s">
        <v>234</v>
      </c>
      <c r="O40" s="2" t="str">
        <f t="shared" si="2"/>
        <v xml:space="preserve">      .AddAttribute(  6, "UrgentValue", "UrgentValue", "bool", 0, 0, false, false, "", "", "boolean value that makes this entity of address type to a system value (cannot be changed as it is used directly by the program)")</v>
      </c>
    </row>
    <row r="41" spans="1:15" x14ac:dyDescent="0.45">
      <c r="N41" s="4"/>
    </row>
    <row r="42" spans="1:15" x14ac:dyDescent="0.45">
      <c r="A42" t="s">
        <v>102</v>
      </c>
      <c r="B42">
        <v>0</v>
      </c>
      <c r="C42" t="s">
        <v>116</v>
      </c>
      <c r="D42" t="s">
        <v>181</v>
      </c>
      <c r="E42" t="s">
        <v>168</v>
      </c>
      <c r="H42" t="s">
        <v>169</v>
      </c>
      <c r="I42" t="s">
        <v>170</v>
      </c>
      <c r="K42" s="2"/>
      <c r="L42" s="2"/>
      <c r="N42" s="4" t="s">
        <v>225</v>
      </c>
      <c r="O42" s="2" t="str">
        <f>CONCATENATE("   ",$O$1,".AddTable(","""",A42,""", ",CONCATENATE("EMyEntityType::",E42),", """,IF(ISERROR(FIND(".",C42)),"",RIGHT(C42, LEN(C42) - FIND(".",C42))),""", """,IF(ISERROR(FIND(".",C42)),"",LEFT(C42, FIND(".",C42)-1)),""", """,IF(ISERROR(FIND("::",D42)),"",RIGHT(D42, LEN(D42) - FIND("::",D42)-1)),""", """,IF(ISERROR(FIND("::",D42)),"",LEFT(D42, FIND("::",D42)-1)),""", """,H42,""", """,I42,""", """,N42,""")")</f>
        <v xml:space="preserve">   dictionary.AddTable("Banking", EMyEntityType::table, "Banking", "dbo", "Banking", "myTest", "System", "SQL", "informations about the account details provided by a person and used in a specific context")</v>
      </c>
    </row>
    <row r="43" spans="1:15" x14ac:dyDescent="0.45">
      <c r="A43" t="s">
        <v>102</v>
      </c>
      <c r="B43">
        <v>1</v>
      </c>
      <c r="C43" t="s">
        <v>134</v>
      </c>
      <c r="D43" t="s">
        <v>134</v>
      </c>
      <c r="E43" t="s">
        <v>20</v>
      </c>
      <c r="F43">
        <v>0</v>
      </c>
      <c r="G43">
        <v>0</v>
      </c>
      <c r="H43" t="s">
        <v>58</v>
      </c>
      <c r="I43" t="s">
        <v>58</v>
      </c>
      <c r="J43" t="s">
        <v>57</v>
      </c>
      <c r="K43" s="2"/>
      <c r="L43" s="2"/>
      <c r="N43" s="4" t="s">
        <v>278</v>
      </c>
      <c r="O43" s="2" t="str">
        <f t="shared" ref="O43:O49" si="3">CONCATENATE("      .AddAttribute(",REPT(" ",3-LEN(TEXT(B43, "0"))),TEXT(B43, "0"),", """,C43,""", """,D43,""", """,E43,""", ",F43,", ",G43,", ",H43,", ",I43,", """,K43,""", """,L43,""", """,N43,"""",    ")")</f>
        <v xml:space="preserve">      .AddAttribute(  1, "ID", "ID", "integer", 0, 0, true, true, "", "", "attribute as foreign key from an attribute ID of a person entity to which these account details belong")</v>
      </c>
    </row>
    <row r="44" spans="1:15" x14ac:dyDescent="0.45">
      <c r="A44" t="s">
        <v>102</v>
      </c>
      <c r="B44">
        <v>2</v>
      </c>
      <c r="C44" t="s">
        <v>144</v>
      </c>
      <c r="D44" t="s">
        <v>144</v>
      </c>
      <c r="E44" t="s">
        <v>20</v>
      </c>
      <c r="F44">
        <v>0</v>
      </c>
      <c r="G44">
        <v>0</v>
      </c>
      <c r="H44" t="s">
        <v>58</v>
      </c>
      <c r="I44" t="s">
        <v>58</v>
      </c>
      <c r="J44" t="s">
        <v>57</v>
      </c>
      <c r="K44" s="2"/>
      <c r="L44" s="2"/>
      <c r="N44" s="4" t="s">
        <v>226</v>
      </c>
      <c r="O44" s="2" t="str">
        <f t="shared" si="3"/>
        <v xml:space="preserve">      .AddAttribute(  2, "BankingType", "BankingType", "integer", 0, 0, true, true, "", "", "extension of the account details key in order to be able to save several / different bank details in a standardized way")</v>
      </c>
    </row>
    <row r="45" spans="1:15" x14ac:dyDescent="0.45">
      <c r="A45" t="s">
        <v>102</v>
      </c>
      <c r="B45">
        <v>3</v>
      </c>
      <c r="C45" t="s">
        <v>145</v>
      </c>
      <c r="D45" t="s">
        <v>145</v>
      </c>
      <c r="E45" t="s">
        <v>19</v>
      </c>
      <c r="F45">
        <v>50</v>
      </c>
      <c r="G45">
        <v>0</v>
      </c>
      <c r="H45" t="s">
        <v>57</v>
      </c>
      <c r="I45" t="s">
        <v>57</v>
      </c>
      <c r="J45" t="s">
        <v>57</v>
      </c>
      <c r="K45" s="2"/>
      <c r="L45" s="2"/>
      <c r="N45" s="4" t="s">
        <v>227</v>
      </c>
      <c r="O45" s="2" t="str">
        <f t="shared" si="3"/>
        <v xml:space="preserve">      .AddAttribute(  3, "BankName", "BankName", "varchar", 50, 0, false, false, "", "", "name of the bank that manages this account (not necessarily required)")</v>
      </c>
    </row>
    <row r="46" spans="1:15" x14ac:dyDescent="0.45">
      <c r="A46" t="s">
        <v>102</v>
      </c>
      <c r="B46">
        <v>4</v>
      </c>
      <c r="C46" t="s">
        <v>146</v>
      </c>
      <c r="D46" t="s">
        <v>146</v>
      </c>
      <c r="E46" t="s">
        <v>19</v>
      </c>
      <c r="F46">
        <v>33</v>
      </c>
      <c r="G46">
        <v>0</v>
      </c>
      <c r="H46" t="s">
        <v>58</v>
      </c>
      <c r="I46" t="s">
        <v>57</v>
      </c>
      <c r="J46" t="s">
        <v>57</v>
      </c>
      <c r="K46" s="2"/>
      <c r="L46" s="2"/>
      <c r="N46" s="4" t="s">
        <v>228</v>
      </c>
      <c r="O46" s="2" t="str">
        <f t="shared" si="3"/>
        <v xml:space="preserve">      .AddAttribute(  4, "IBAN", "IBAN", "varchar", 33, 0, true, false, "", "", "IBAN number (account identification) for this bank account (required)")</v>
      </c>
    </row>
    <row r="47" spans="1:15" x14ac:dyDescent="0.45">
      <c r="A47" t="s">
        <v>102</v>
      </c>
      <c r="B47">
        <v>5</v>
      </c>
      <c r="C47" t="s">
        <v>147</v>
      </c>
      <c r="D47" t="s">
        <v>147</v>
      </c>
      <c r="E47" t="s">
        <v>19</v>
      </c>
      <c r="F47">
        <v>12</v>
      </c>
      <c r="G47">
        <v>0</v>
      </c>
      <c r="H47" t="s">
        <v>57</v>
      </c>
      <c r="I47" t="s">
        <v>57</v>
      </c>
      <c r="J47" t="s">
        <v>57</v>
      </c>
      <c r="K47" s="2"/>
      <c r="L47" s="2"/>
      <c r="N47" s="4" t="s">
        <v>229</v>
      </c>
      <c r="O47" s="2" t="str">
        <f t="shared" si="3"/>
        <v xml:space="preserve">      .AddAttribute(  5, "BIC", "BIC", "varchar", 12, 0, false, false, "", "", "BIC number of the bank that manages this account (not necessarily required for transactions inside europe)")</v>
      </c>
    </row>
    <row r="48" spans="1:15" x14ac:dyDescent="0.45">
      <c r="A48" t="s">
        <v>102</v>
      </c>
      <c r="B48">
        <v>6</v>
      </c>
      <c r="C48" t="s">
        <v>148</v>
      </c>
      <c r="D48" t="s">
        <v>148</v>
      </c>
      <c r="E48" t="s">
        <v>19</v>
      </c>
      <c r="F48">
        <v>27</v>
      </c>
      <c r="G48">
        <v>0</v>
      </c>
      <c r="H48" t="s">
        <v>57</v>
      </c>
      <c r="I48" t="s">
        <v>57</v>
      </c>
      <c r="J48" t="s">
        <v>57</v>
      </c>
      <c r="K48" s="2"/>
      <c r="L48" s="2"/>
      <c r="N48" s="4" t="s">
        <v>230</v>
      </c>
      <c r="O48" s="2" t="str">
        <f t="shared" si="3"/>
        <v xml:space="preserve">      .AddAttribute(  6, "BankOwner", "BankOwner", "varchar", 27, 0, false, false, "", "", "optionally the name of the owner of the bank details, if this differs from the assigned person")</v>
      </c>
    </row>
    <row r="49" spans="1:15" x14ac:dyDescent="0.45">
      <c r="A49" t="s">
        <v>102</v>
      </c>
      <c r="B49">
        <v>7</v>
      </c>
      <c r="C49" t="s">
        <v>139</v>
      </c>
      <c r="D49" t="s">
        <v>139</v>
      </c>
      <c r="E49" t="s">
        <v>20</v>
      </c>
      <c r="F49">
        <v>0</v>
      </c>
      <c r="G49">
        <v>0</v>
      </c>
      <c r="H49" t="s">
        <v>57</v>
      </c>
      <c r="I49" t="s">
        <v>57</v>
      </c>
      <c r="J49" t="s">
        <v>57</v>
      </c>
      <c r="K49" s="2"/>
      <c r="L49" s="2"/>
      <c r="N49" s="4" t="s">
        <v>224</v>
      </c>
      <c r="O49" s="2" t="str">
        <f t="shared" si="3"/>
        <v xml:space="preserve">      .AddAttribute(  7, "Country", "Country", "integer", 0, 0, false, false, "", "", "ID of the country for the banking entity, key attribute from the \"Countries\" entity")</v>
      </c>
    </row>
    <row r="50" spans="1:15" x14ac:dyDescent="0.45">
      <c r="N50" s="4"/>
    </row>
    <row r="51" spans="1:15" x14ac:dyDescent="0.45">
      <c r="A51" t="s">
        <v>103</v>
      </c>
      <c r="B51">
        <v>0</v>
      </c>
      <c r="C51" t="s">
        <v>117</v>
      </c>
      <c r="D51" t="s">
        <v>180</v>
      </c>
      <c r="E51" t="s">
        <v>168</v>
      </c>
      <c r="H51" t="s">
        <v>169</v>
      </c>
      <c r="I51" t="s">
        <v>170</v>
      </c>
      <c r="K51" s="2"/>
      <c r="L51" s="2"/>
      <c r="N51" s="4" t="s">
        <v>231</v>
      </c>
      <c r="O51" s="2" t="str">
        <f>CONCATENATE("   ",$O$1,".AddTable(","""",A51,""", ",CONCATENATE("EMyEntityType::",E51),", """,IF(ISERROR(FIND(".",C51)),"",RIGHT(C51, LEN(C51) - FIND(".",C51))),""", """,IF(ISERROR(FIND(".",C51)),"",LEFT(C51, FIND(".",C51)-1)),""", """,IF(ISERROR(FIND("::",D51)),"",RIGHT(D51, LEN(D51) - FIND("::",D51)-1)),""", """,IF(ISERROR(FIND("::",D51)),"",LEFT(D51, FIND("::",D51)-1)),""", """,H51,""", """,I51,""", """,N51,""")")</f>
        <v xml:space="preserve">   dictionary.AddTable("BankingTypes", EMyEntityType::table, "BankingTypes", "dbo", "BankingTypes", "myTest", "System", "SQL", "domain / range of values for banking types, this is an extension of the relationship between persons and banking accounts.")</v>
      </c>
    </row>
    <row r="52" spans="1:15" x14ac:dyDescent="0.45">
      <c r="A52" t="s">
        <v>103</v>
      </c>
      <c r="B52">
        <v>1</v>
      </c>
      <c r="C52" t="s">
        <v>134</v>
      </c>
      <c r="D52" t="s">
        <v>134</v>
      </c>
      <c r="E52" t="s">
        <v>20</v>
      </c>
      <c r="F52">
        <v>0</v>
      </c>
      <c r="G52">
        <v>0</v>
      </c>
      <c r="H52" t="s">
        <v>58</v>
      </c>
      <c r="I52" t="s">
        <v>58</v>
      </c>
      <c r="J52" t="s">
        <v>57</v>
      </c>
      <c r="K52" s="2"/>
      <c r="L52" s="2"/>
      <c r="N52" s="4" t="s">
        <v>232</v>
      </c>
      <c r="O52" s="2" t="str">
        <f t="shared" ref="O52:O57" si="4">CONCATENATE("      .AddAttribute(",REPT(" ",3-LEN(TEXT(B52, "0"))),TEXT(B52, "0"),", """,C52,""", """,D52,""", """,E52,""", ",F52,", ",G52,", ",H52,", ",I52,", """,K52,""", """,L52,""", """,N52,"""",    ")")</f>
        <v xml:space="preserve">      .AddAttribute(  1, "ID", "ID", "integer", 0, 0, true, true, "", "", "unique identification number for a record in this domain with banking types")</v>
      </c>
    </row>
    <row r="53" spans="1:15" x14ac:dyDescent="0.45">
      <c r="A53" t="s">
        <v>103</v>
      </c>
      <c r="B53">
        <v>2</v>
      </c>
      <c r="C53" t="s">
        <v>129</v>
      </c>
      <c r="D53" t="s">
        <v>129</v>
      </c>
      <c r="E53" t="s">
        <v>19</v>
      </c>
      <c r="F53">
        <v>50</v>
      </c>
      <c r="G53">
        <v>0</v>
      </c>
      <c r="H53" t="s">
        <v>58</v>
      </c>
      <c r="I53" t="s">
        <v>57</v>
      </c>
      <c r="J53" t="s">
        <v>58</v>
      </c>
      <c r="K53" s="2"/>
      <c r="L53" s="2"/>
      <c r="N53" s="4" t="s">
        <v>239</v>
      </c>
      <c r="O53" s="2" t="str">
        <f t="shared" si="4"/>
        <v xml:space="preserve">      .AddAttribute(  2, "Denotation", "Denotation", "varchar", 50, 0, true, false, "", "", "unique description of an banking type entity in the domain, used in selections, comboboxes, … (key canditate)")</v>
      </c>
    </row>
    <row r="54" spans="1:15" x14ac:dyDescent="0.45">
      <c r="A54" t="s">
        <v>103</v>
      </c>
      <c r="B54">
        <v>3</v>
      </c>
      <c r="C54" t="s">
        <v>130</v>
      </c>
      <c r="D54" t="s">
        <v>130</v>
      </c>
      <c r="E54" t="s">
        <v>19</v>
      </c>
      <c r="F54">
        <v>10</v>
      </c>
      <c r="G54">
        <v>0</v>
      </c>
      <c r="H54" t="s">
        <v>57</v>
      </c>
      <c r="I54" t="s">
        <v>57</v>
      </c>
      <c r="J54" t="s">
        <v>57</v>
      </c>
      <c r="K54" s="2"/>
      <c r="L54" s="2"/>
      <c r="N54" s="4" t="s">
        <v>238</v>
      </c>
      <c r="O54" s="2" t="str">
        <f t="shared" si="4"/>
        <v xml:space="preserve">      .AddAttribute(  3, "Abbreviation", "Abbreviation", "varchar", 10, 0, false, false, "", "", "non-representative abbreviation that can be used for a short advertisement for this banking type")</v>
      </c>
    </row>
    <row r="55" spans="1:15" x14ac:dyDescent="0.45">
      <c r="A55" t="s">
        <v>103</v>
      </c>
      <c r="B55">
        <v>4</v>
      </c>
      <c r="C55" t="s">
        <v>131</v>
      </c>
      <c r="D55" t="s">
        <v>131</v>
      </c>
      <c r="E55" t="s">
        <v>77</v>
      </c>
      <c r="F55">
        <v>0</v>
      </c>
      <c r="G55">
        <v>0</v>
      </c>
      <c r="H55" t="s">
        <v>57</v>
      </c>
      <c r="I55" t="s">
        <v>57</v>
      </c>
      <c r="J55" t="s">
        <v>57</v>
      </c>
      <c r="K55" s="2"/>
      <c r="L55" s="2"/>
      <c r="N55" s="4" t="s">
        <v>237</v>
      </c>
      <c r="O55" s="2" t="str">
        <f t="shared" si="4"/>
        <v xml:space="preserve">      .AddAttribute(  4, "Description", "Description", "text", 0, 0, false, false, "", "", "detailed description of these banking type,this is a self documentation, possible use as hint or to information in the programm")</v>
      </c>
    </row>
    <row r="56" spans="1:15" x14ac:dyDescent="0.45">
      <c r="A56" t="s">
        <v>103</v>
      </c>
      <c r="B56">
        <v>5</v>
      </c>
      <c r="C56" t="s">
        <v>132</v>
      </c>
      <c r="D56" t="s">
        <v>132</v>
      </c>
      <c r="E56" t="s">
        <v>77</v>
      </c>
      <c r="F56">
        <v>0</v>
      </c>
      <c r="G56">
        <v>0</v>
      </c>
      <c r="H56" t="s">
        <v>57</v>
      </c>
      <c r="I56" t="s">
        <v>57</v>
      </c>
      <c r="J56" t="s">
        <v>57</v>
      </c>
      <c r="K56" s="2"/>
      <c r="L56" s="2"/>
      <c r="N56" s="4" t="s">
        <v>236</v>
      </c>
      <c r="O56" s="2" t="str">
        <f t="shared" si="4"/>
        <v xml:space="preserve">      .AddAttribute(  5, "Notes", "Notes", "text", 0, 0, false, false, "", "", "notes, with additional / free information for this type of banking, not used in application")</v>
      </c>
    </row>
    <row r="57" spans="1:15" x14ac:dyDescent="0.45">
      <c r="A57" t="s">
        <v>103</v>
      </c>
      <c r="B57">
        <v>6</v>
      </c>
      <c r="C57" t="s">
        <v>133</v>
      </c>
      <c r="D57" t="s">
        <v>133</v>
      </c>
      <c r="E57" t="s">
        <v>27</v>
      </c>
      <c r="F57">
        <v>0</v>
      </c>
      <c r="G57">
        <v>0</v>
      </c>
      <c r="H57" t="s">
        <v>57</v>
      </c>
      <c r="I57" t="s">
        <v>57</v>
      </c>
      <c r="J57" t="s">
        <v>57</v>
      </c>
      <c r="K57" s="2"/>
      <c r="L57" s="2"/>
      <c r="N57" s="4" t="s">
        <v>235</v>
      </c>
      <c r="O57" s="2" t="str">
        <f t="shared" si="4"/>
        <v xml:space="preserve">      .AddAttribute(  6, "UrgentValue", "UrgentValue", "bool", 0, 0, false, false, "", "", "boolean value that makes this entity of banking type to a system value (cannot be changed as it is used directly by the program)")</v>
      </c>
    </row>
    <row r="58" spans="1:15" x14ac:dyDescent="0.45">
      <c r="N58" s="4"/>
    </row>
    <row r="59" spans="1:15" x14ac:dyDescent="0.45">
      <c r="A59" t="s">
        <v>104</v>
      </c>
      <c r="B59">
        <v>0</v>
      </c>
      <c r="C59" t="s">
        <v>118</v>
      </c>
      <c r="D59" t="s">
        <v>179</v>
      </c>
      <c r="E59" t="s">
        <v>168</v>
      </c>
      <c r="H59" t="s">
        <v>169</v>
      </c>
      <c r="I59" t="s">
        <v>170</v>
      </c>
      <c r="K59" s="2"/>
      <c r="L59" s="2"/>
      <c r="N59" s="4" t="s">
        <v>420</v>
      </c>
      <c r="O59" s="2" t="str">
        <f>CONCATENATE("   ",$O$1,".AddTable(","""",A59,""", ",CONCATENATE("EMyEntityType::",E59),", """,IF(ISERROR(FIND(".",C59)),"",RIGHT(C59, LEN(C59) - FIND(".",C59))),""", """,IF(ISERROR(FIND(".",C59)),"",LEFT(C59, FIND(".",C59)-1)),""", """,IF(ISERROR(FIND("::",D59)),"",RIGHT(D59, LEN(D59) - FIND("::",D59)-1)),""", """,IF(ISERROR(FIND("::",D59)),"",LEFT(D59, FIND("::",D59)-1)),""", """,H59,""", """,I59,""", """,N59,""")")</f>
        <v xml:space="preserve">   dictionary.AddTable("Countries", EMyEntityType::table, "Countries", "dbo", "Countries", "myTest", "System", "SQL", "table with the countries and additional values for the countries. Used by others for assoziation.")</v>
      </c>
    </row>
    <row r="60" spans="1:15" x14ac:dyDescent="0.45">
      <c r="A60" t="s">
        <v>104</v>
      </c>
      <c r="B60">
        <v>1</v>
      </c>
      <c r="C60" t="s">
        <v>134</v>
      </c>
      <c r="D60" t="s">
        <v>134</v>
      </c>
      <c r="E60" t="s">
        <v>20</v>
      </c>
      <c r="F60">
        <v>0</v>
      </c>
      <c r="G60">
        <v>0</v>
      </c>
      <c r="H60" t="s">
        <v>58</v>
      </c>
      <c r="I60" t="s">
        <v>58</v>
      </c>
      <c r="J60" t="s">
        <v>57</v>
      </c>
      <c r="K60" s="2"/>
      <c r="L60" s="2"/>
      <c r="N60" s="4" t="s">
        <v>421</v>
      </c>
      <c r="O60" s="2" t="str">
        <f t="shared" ref="O60:O67" si="5">CONCATENATE("      .AddAttribute(",REPT(" ",3-LEN(TEXT(B60, "0"))),TEXT(B60, "0"),", """,C60,""", """,D60,""", """,E60,""", ",F60,", ",G60,", ",H60,", ",I60,", """,K60,""", """,L60,""", """,N60,"""",    ")")</f>
        <v xml:space="preserve">      .AddAttribute(  1, "ID", "ID", "integer", 0, 0, true, true, "", "", "unique identification number for a record in the table Countries")</v>
      </c>
    </row>
    <row r="61" spans="1:15" x14ac:dyDescent="0.45">
      <c r="A61" t="s">
        <v>104</v>
      </c>
      <c r="B61">
        <v>2</v>
      </c>
      <c r="C61" t="s">
        <v>129</v>
      </c>
      <c r="D61" t="s">
        <v>129</v>
      </c>
      <c r="E61" t="s">
        <v>19</v>
      </c>
      <c r="F61">
        <v>50</v>
      </c>
      <c r="G61">
        <v>0</v>
      </c>
      <c r="H61" t="s">
        <v>58</v>
      </c>
      <c r="I61" t="s">
        <v>57</v>
      </c>
      <c r="J61" t="s">
        <v>58</v>
      </c>
      <c r="K61" s="2"/>
      <c r="L61" s="2"/>
      <c r="N61" s="4" t="s">
        <v>422</v>
      </c>
      <c r="O61" s="2" t="str">
        <f t="shared" si="5"/>
        <v xml:space="preserve">      .AddAttribute(  2, "Denotation", "Denotation", "varchar", 50, 0, true, false, "", "", "unique, official designation of the country, key candidate")</v>
      </c>
    </row>
    <row r="62" spans="1:15" x14ac:dyDescent="0.45">
      <c r="A62" t="s">
        <v>104</v>
      </c>
      <c r="B62">
        <v>3</v>
      </c>
      <c r="C62" t="s">
        <v>130</v>
      </c>
      <c r="D62" t="s">
        <v>130</v>
      </c>
      <c r="E62" t="s">
        <v>19</v>
      </c>
      <c r="F62">
        <v>10</v>
      </c>
      <c r="G62">
        <v>0</v>
      </c>
      <c r="H62" t="s">
        <v>57</v>
      </c>
      <c r="I62" t="s">
        <v>57</v>
      </c>
      <c r="J62" t="s">
        <v>57</v>
      </c>
      <c r="K62" s="2"/>
      <c r="L62" s="2"/>
      <c r="N62" s="4" t="s">
        <v>423</v>
      </c>
      <c r="O62" s="2" t="str">
        <f t="shared" si="5"/>
        <v xml:space="preserve">      .AddAttribute(  3, "Abbreviation", "Abbreviation", "varchar", 10, 0, false, false, "", "", "abbreviation of the country for the program")</v>
      </c>
    </row>
    <row r="63" spans="1:15" x14ac:dyDescent="0.45">
      <c r="A63" t="s">
        <v>104</v>
      </c>
      <c r="B63">
        <v>4</v>
      </c>
      <c r="C63" t="s">
        <v>131</v>
      </c>
      <c r="D63" t="s">
        <v>131</v>
      </c>
      <c r="E63" t="s">
        <v>77</v>
      </c>
      <c r="F63">
        <v>0</v>
      </c>
      <c r="G63">
        <v>0</v>
      </c>
      <c r="H63" t="s">
        <v>57</v>
      </c>
      <c r="I63" t="s">
        <v>57</v>
      </c>
      <c r="J63" t="s">
        <v>57</v>
      </c>
      <c r="K63" s="2"/>
      <c r="L63" s="2"/>
      <c r="N63" s="4" t="s">
        <v>425</v>
      </c>
      <c r="O63" s="2" t="str">
        <f t="shared" si="5"/>
        <v xml:space="preserve">      .AddAttribute(  4, "Description", "Description", "text", 0, 0, false, false, "", "", "text field for the description of the country. can be used by the program to provide additional information, for example in the status bar or a hint")</v>
      </c>
    </row>
    <row r="64" spans="1:15" x14ac:dyDescent="0.45">
      <c r="A64" t="s">
        <v>104</v>
      </c>
      <c r="B64">
        <v>5</v>
      </c>
      <c r="C64" t="s">
        <v>149</v>
      </c>
      <c r="D64" t="s">
        <v>149</v>
      </c>
      <c r="E64" t="s">
        <v>19</v>
      </c>
      <c r="F64">
        <v>10</v>
      </c>
      <c r="G64">
        <v>0</v>
      </c>
      <c r="H64" t="s">
        <v>57</v>
      </c>
      <c r="I64" t="s">
        <v>57</v>
      </c>
      <c r="J64" t="s">
        <v>57</v>
      </c>
      <c r="K64" s="2"/>
      <c r="L64" s="2"/>
      <c r="N64" s="4" t="s">
        <v>426</v>
      </c>
      <c r="O64" s="2" t="str">
        <f t="shared" si="5"/>
        <v xml:space="preserve">      .AddAttribute(  5, "CountryDialing", "CountryDialing", "varchar", 10, 0, false, false, "", "", "international country code for telephone for this country (not unique)")</v>
      </c>
    </row>
    <row r="65" spans="1:15" x14ac:dyDescent="0.45">
      <c r="A65" t="s">
        <v>104</v>
      </c>
      <c r="B65">
        <v>6</v>
      </c>
      <c r="C65" t="s">
        <v>150</v>
      </c>
      <c r="D65" t="s">
        <v>150</v>
      </c>
      <c r="E65" t="s">
        <v>19</v>
      </c>
      <c r="F65">
        <v>5</v>
      </c>
      <c r="G65">
        <v>0</v>
      </c>
      <c r="H65" t="s">
        <v>57</v>
      </c>
      <c r="I65" t="s">
        <v>57</v>
      </c>
      <c r="J65" t="s">
        <v>57</v>
      </c>
      <c r="K65" s="2"/>
      <c r="L65" s="2"/>
      <c r="N65" s="4" t="s">
        <v>424</v>
      </c>
      <c r="O65" s="2" t="str">
        <f t="shared" si="5"/>
        <v xml:space="preserve">      .AddAttribute(  6, "ISO_Code", "ISO_Code", "varchar", 5, 0, false, false, "", "", "unique, official international code (ISO) for the country in the communication")</v>
      </c>
    </row>
    <row r="66" spans="1:15" x14ac:dyDescent="0.45">
      <c r="A66" t="s">
        <v>104</v>
      </c>
      <c r="B66">
        <v>7</v>
      </c>
      <c r="C66" t="s">
        <v>132</v>
      </c>
      <c r="D66" t="s">
        <v>132</v>
      </c>
      <c r="E66" t="s">
        <v>77</v>
      </c>
      <c r="F66">
        <v>0</v>
      </c>
      <c r="G66">
        <v>0</v>
      </c>
      <c r="H66" t="s">
        <v>57</v>
      </c>
      <c r="I66" t="s">
        <v>57</v>
      </c>
      <c r="J66" t="s">
        <v>57</v>
      </c>
      <c r="K66" s="2"/>
      <c r="L66" s="2"/>
      <c r="N66" s="4" t="s">
        <v>427</v>
      </c>
      <c r="O66" s="2" t="str">
        <f t="shared" si="5"/>
        <v xml:space="preserve">      .AddAttribute(  7, "Notes", "Notes", "text", 0, 0, false, false, "", "", "notes, with additional / free information for this country, not used in application")</v>
      </c>
    </row>
    <row r="67" spans="1:15" x14ac:dyDescent="0.45">
      <c r="A67" t="s">
        <v>104</v>
      </c>
      <c r="B67">
        <v>8</v>
      </c>
      <c r="C67" t="s">
        <v>133</v>
      </c>
      <c r="D67" t="s">
        <v>133</v>
      </c>
      <c r="E67" t="s">
        <v>27</v>
      </c>
      <c r="F67">
        <v>0</v>
      </c>
      <c r="G67">
        <v>0</v>
      </c>
      <c r="H67" t="s">
        <v>57</v>
      </c>
      <c r="I67" t="s">
        <v>57</v>
      </c>
      <c r="J67" t="s">
        <v>57</v>
      </c>
      <c r="K67" s="2"/>
      <c r="L67" s="2"/>
      <c r="N67" s="4" t="s">
        <v>270</v>
      </c>
      <c r="O67" s="2" t="str">
        <f t="shared" si="5"/>
        <v xml:space="preserve">      .AddAttribute(  8, "UrgentValue", "UrgentValue", "bool", 0, 0, false, false, "", "", "boolean value that makes this entity of country to a system value (cannot be changed as it is used directly by the program)")</v>
      </c>
    </row>
    <row r="68" spans="1:15" x14ac:dyDescent="0.45">
      <c r="N68" s="4"/>
    </row>
    <row r="69" spans="1:15" x14ac:dyDescent="0.45">
      <c r="A69" t="s">
        <v>105</v>
      </c>
      <c r="B69">
        <v>0</v>
      </c>
      <c r="C69" t="s">
        <v>119</v>
      </c>
      <c r="D69" t="s">
        <v>178</v>
      </c>
      <c r="E69" t="s">
        <v>168</v>
      </c>
      <c r="H69" t="s">
        <v>169</v>
      </c>
      <c r="I69" t="s">
        <v>170</v>
      </c>
      <c r="K69" s="2"/>
      <c r="L69" s="2"/>
      <c r="N69" s="4"/>
      <c r="O69" s="2" t="str">
        <f>CONCATENATE("   ",$O$1,".AddTable(","""",A69,""", ",CONCATENATE("EMyEntityType::",E69),", """,IF(ISERROR(FIND(".",C69)),"",RIGHT(C69, LEN(C69) - FIND(".",C69))),""", """,IF(ISERROR(FIND(".",C69)),"",LEFT(C69, FIND(".",C69)-1)),""", """,IF(ISERROR(FIND("::",D69)),"",RIGHT(D69, LEN(D69) - FIND("::",D69)-1)),""", """,IF(ISERROR(FIND("::",D69)),"",LEFT(D69, FIND("::",D69)-1)),""", """,H69,""", """,I69,""", """,N69,""")")</f>
        <v xml:space="preserve">   dictionary.AddTable("Departments", EMyEntityType::table, "Departments", "dbo", "Departments", "myTest", "System", "SQL", "")</v>
      </c>
    </row>
    <row r="70" spans="1:15" x14ac:dyDescent="0.45">
      <c r="A70" t="s">
        <v>105</v>
      </c>
      <c r="B70">
        <v>1</v>
      </c>
      <c r="C70" t="s">
        <v>134</v>
      </c>
      <c r="D70" t="s">
        <v>134</v>
      </c>
      <c r="E70" t="s">
        <v>20</v>
      </c>
      <c r="F70">
        <v>0</v>
      </c>
      <c r="G70">
        <v>0</v>
      </c>
      <c r="H70" t="s">
        <v>58</v>
      </c>
      <c r="I70" t="s">
        <v>58</v>
      </c>
      <c r="J70" t="s">
        <v>57</v>
      </c>
      <c r="K70" s="2"/>
      <c r="L70" s="2"/>
      <c r="N70" s="4"/>
      <c r="O70" s="2" t="str">
        <f t="shared" ref="O70:O74" si="6">CONCATENATE("      .AddAttribute(",REPT(" ",3-LEN(TEXT(B70, "0"))),TEXT(B70, "0"),", """,C70,""", """,D70,""", """,E70,""", ",F70,", ",G70,", ",H70,", ",I70,", """,K70,""", """,L70,""", """,N70,"""",    ")")</f>
        <v xml:space="preserve">      .AddAttribute(  1, "ID", "ID", "integer", 0, 0, true, true, "", "", "")</v>
      </c>
    </row>
    <row r="71" spans="1:15" x14ac:dyDescent="0.45">
      <c r="A71" t="s">
        <v>105</v>
      </c>
      <c r="B71">
        <v>2</v>
      </c>
      <c r="C71" t="s">
        <v>129</v>
      </c>
      <c r="D71" t="s">
        <v>129</v>
      </c>
      <c r="E71" t="s">
        <v>19</v>
      </c>
      <c r="F71">
        <v>50</v>
      </c>
      <c r="G71">
        <v>0</v>
      </c>
      <c r="H71" t="s">
        <v>58</v>
      </c>
      <c r="I71" t="s">
        <v>57</v>
      </c>
      <c r="J71" t="s">
        <v>58</v>
      </c>
      <c r="K71" s="2"/>
      <c r="L71" s="2"/>
      <c r="N71" s="4"/>
      <c r="O71" s="2" t="str">
        <f t="shared" si="6"/>
        <v xml:space="preserve">      .AddAttribute(  2, "Denotation", "Denotation", "varchar", 50, 0, true, false, "", "", "")</v>
      </c>
    </row>
    <row r="72" spans="1:15" x14ac:dyDescent="0.45">
      <c r="A72" t="s">
        <v>105</v>
      </c>
      <c r="B72">
        <v>3</v>
      </c>
      <c r="C72" t="s">
        <v>130</v>
      </c>
      <c r="D72" t="s">
        <v>130</v>
      </c>
      <c r="E72" t="s">
        <v>19</v>
      </c>
      <c r="F72">
        <v>10</v>
      </c>
      <c r="G72">
        <v>0</v>
      </c>
      <c r="H72" t="s">
        <v>57</v>
      </c>
      <c r="I72" t="s">
        <v>57</v>
      </c>
      <c r="J72" t="s">
        <v>57</v>
      </c>
      <c r="K72" s="2"/>
      <c r="L72" s="2"/>
      <c r="N72" s="4"/>
      <c r="O72" s="2" t="str">
        <f t="shared" si="6"/>
        <v xml:space="preserve">      .AddAttribute(  3, "Abbreviation", "Abbreviation", "varchar", 10, 0, false, false, "", "", "")</v>
      </c>
    </row>
    <row r="73" spans="1:15" x14ac:dyDescent="0.45">
      <c r="A73" t="s">
        <v>105</v>
      </c>
      <c r="B73">
        <v>4</v>
      </c>
      <c r="C73" t="s">
        <v>131</v>
      </c>
      <c r="D73" t="s">
        <v>131</v>
      </c>
      <c r="E73" t="s">
        <v>77</v>
      </c>
      <c r="F73">
        <v>0</v>
      </c>
      <c r="G73">
        <v>0</v>
      </c>
      <c r="H73" t="s">
        <v>57</v>
      </c>
      <c r="I73" t="s">
        <v>57</v>
      </c>
      <c r="J73" t="s">
        <v>57</v>
      </c>
      <c r="K73" s="2"/>
      <c r="L73" s="2"/>
      <c r="N73" s="4"/>
      <c r="O73" s="2" t="str">
        <f t="shared" si="6"/>
        <v xml:space="preserve">      .AddAttribute(  4, "Description", "Description", "text", 0, 0, false, false, "", "", "")</v>
      </c>
    </row>
    <row r="74" spans="1:15" x14ac:dyDescent="0.45">
      <c r="A74" t="s">
        <v>105</v>
      </c>
      <c r="B74">
        <v>5</v>
      </c>
      <c r="C74" t="s">
        <v>132</v>
      </c>
      <c r="D74" t="s">
        <v>132</v>
      </c>
      <c r="E74" t="s">
        <v>77</v>
      </c>
      <c r="F74">
        <v>0</v>
      </c>
      <c r="G74">
        <v>0</v>
      </c>
      <c r="H74" t="s">
        <v>57</v>
      </c>
      <c r="I74" t="s">
        <v>57</v>
      </c>
      <c r="J74" t="s">
        <v>57</v>
      </c>
      <c r="K74" s="2"/>
      <c r="L74" s="2"/>
      <c r="N74" s="4"/>
      <c r="O74" s="2" t="str">
        <f t="shared" si="6"/>
        <v xml:space="preserve">      .AddAttribute(  5, "Notes", "Notes", "text", 0, 0, false, false, "", "", "")</v>
      </c>
    </row>
    <row r="75" spans="1:15" x14ac:dyDescent="0.45">
      <c r="N75" s="4"/>
    </row>
    <row r="76" spans="1:15" x14ac:dyDescent="0.45">
      <c r="A76" t="s">
        <v>106</v>
      </c>
      <c r="B76">
        <v>0</v>
      </c>
      <c r="C76" t="s">
        <v>120</v>
      </c>
      <c r="D76" t="s">
        <v>406</v>
      </c>
      <c r="E76" t="s">
        <v>168</v>
      </c>
      <c r="H76" t="s">
        <v>169</v>
      </c>
      <c r="I76" t="s">
        <v>170</v>
      </c>
      <c r="K76" s="2"/>
      <c r="L76" s="2"/>
      <c r="N76" s="4" t="s">
        <v>290</v>
      </c>
      <c r="O76" s="2" t="str">
        <f>CONCATENATE("   ",$O$1,".AddTable(","""",A76,""", ",CONCATENATE("EMyEntityType::",E76),", """,IF(ISERROR(FIND(".",C76)),"",RIGHT(C76, LEN(C76) - FIND(".",C76))),""", """,IF(ISERROR(FIND(".",C76)),"",LEFT(C76, FIND(".",C76)-1)),""", """,IF(ISERROR(FIND("::",D76)),"",RIGHT(D76, LEN(D76) - FIND("::",D76)-1)),""", """,IF(ISERROR(FIND("::",D76)),"",LEFT(D76, FIND("::",D76)-1)),""", """,H76,""", """,I76,""", """,N76,""")")</f>
        <v xml:space="preserve">   dictionary.AddTable("Employees", EMyEntityType::table, "Employees", "dbo", "Employees", "myHR", "System", "SQL", "information about the employees in the company (generalization of a person)")</v>
      </c>
    </row>
    <row r="77" spans="1:15" x14ac:dyDescent="0.45">
      <c r="A77" t="s">
        <v>106</v>
      </c>
      <c r="B77">
        <v>1</v>
      </c>
      <c r="C77" t="s">
        <v>134</v>
      </c>
      <c r="D77" t="s">
        <v>134</v>
      </c>
      <c r="E77" t="s">
        <v>20</v>
      </c>
      <c r="F77">
        <v>0</v>
      </c>
      <c r="G77">
        <v>0</v>
      </c>
      <c r="H77" t="s">
        <v>58</v>
      </c>
      <c r="I77" t="s">
        <v>58</v>
      </c>
      <c r="J77" t="s">
        <v>57</v>
      </c>
      <c r="K77" s="2"/>
      <c r="L77" s="2"/>
      <c r="N77" s="4" t="s">
        <v>278</v>
      </c>
      <c r="O77" s="2" t="str">
        <f t="shared" ref="O77:O86" si="7">CONCATENATE("      .AddAttribute(",REPT(" ",3-LEN(TEXT(B77, "0"))),TEXT(B77, "0"),", """,C77,""", """,D77,""", """,E77,""", ",F77,", ",G77,", ",H77,", ",I77,", """,K77,""", """,L77,""", """,N77,"""",    ")")</f>
        <v xml:space="preserve">      .AddAttribute(  1, "ID", "ID", "integer", 0, 0, true, true, "", "", "attribute as foreign key from an attribute ID of a person entity to which these account details belong")</v>
      </c>
    </row>
    <row r="78" spans="1:15" x14ac:dyDescent="0.45">
      <c r="A78" t="s">
        <v>106</v>
      </c>
      <c r="B78">
        <v>2</v>
      </c>
      <c r="C78" t="s">
        <v>151</v>
      </c>
      <c r="D78" t="s">
        <v>151</v>
      </c>
      <c r="E78" t="s">
        <v>19</v>
      </c>
      <c r="F78">
        <v>15</v>
      </c>
      <c r="G78">
        <v>0</v>
      </c>
      <c r="H78" t="s">
        <v>58</v>
      </c>
      <c r="I78" t="s">
        <v>57</v>
      </c>
      <c r="J78" t="s">
        <v>58</v>
      </c>
      <c r="K78" s="2"/>
      <c r="L78" s="2"/>
      <c r="N78" s="4" t="s">
        <v>289</v>
      </c>
      <c r="O78" s="2" t="str">
        <f t="shared" si="7"/>
        <v xml:space="preserve">      .AddAttribute(  2, "PersonNumber", "PersonNumber", "varchar", 15, 0, true, false, "", "", "unique HR number of the employee in the company, assigned by the HR department")</v>
      </c>
    </row>
    <row r="79" spans="1:15" x14ac:dyDescent="0.45">
      <c r="A79" t="s">
        <v>106</v>
      </c>
      <c r="B79">
        <v>3</v>
      </c>
      <c r="C79" t="s">
        <v>152</v>
      </c>
      <c r="D79" t="s">
        <v>152</v>
      </c>
      <c r="E79" t="s">
        <v>25</v>
      </c>
      <c r="F79">
        <v>10</v>
      </c>
      <c r="G79">
        <v>2</v>
      </c>
      <c r="H79" t="s">
        <v>57</v>
      </c>
      <c r="I79" t="s">
        <v>57</v>
      </c>
      <c r="J79" t="s">
        <v>57</v>
      </c>
      <c r="K79" s="2" t="s">
        <v>301</v>
      </c>
      <c r="L79" s="2"/>
      <c r="N79" s="4" t="s">
        <v>288</v>
      </c>
      <c r="O79" s="2" t="str">
        <f t="shared" si="7"/>
        <v xml:space="preserve">      .AddAttribute(  3, "Salery", "Salery", "decimal", 10, 2, false, false, "&gt;= 0.0", "", "salary / income that the employee currently receives")</v>
      </c>
    </row>
    <row r="80" spans="1:15" x14ac:dyDescent="0.45">
      <c r="A80" t="s">
        <v>106</v>
      </c>
      <c r="B80">
        <v>4</v>
      </c>
      <c r="C80" t="s">
        <v>353</v>
      </c>
      <c r="D80" t="s">
        <v>353</v>
      </c>
      <c r="E80" t="s">
        <v>20</v>
      </c>
      <c r="F80">
        <v>0</v>
      </c>
      <c r="G80">
        <v>0</v>
      </c>
      <c r="H80" t="s">
        <v>58</v>
      </c>
      <c r="I80" t="s">
        <v>57</v>
      </c>
      <c r="J80" t="s">
        <v>57</v>
      </c>
      <c r="K80" s="2"/>
      <c r="L80" s="2"/>
      <c r="N80" s="4" t="s">
        <v>354</v>
      </c>
      <c r="O80" s="2" t="str">
        <f t="shared" si="7"/>
        <v xml:space="preserve">      .AddAttribute(  4, "TaxClass", "TaxClass", "integer", 0, 0, true, false, "", "", "Tax class currently held by the employee")</v>
      </c>
    </row>
    <row r="81" spans="1:15" x14ac:dyDescent="0.45">
      <c r="A81" t="s">
        <v>106</v>
      </c>
      <c r="B81">
        <v>5</v>
      </c>
      <c r="C81" t="s">
        <v>153</v>
      </c>
      <c r="D81" t="s">
        <v>153</v>
      </c>
      <c r="E81" t="s">
        <v>22</v>
      </c>
      <c r="F81">
        <v>0</v>
      </c>
      <c r="G81">
        <v>0</v>
      </c>
      <c r="H81" t="s">
        <v>58</v>
      </c>
      <c r="I81" t="s">
        <v>57</v>
      </c>
      <c r="J81" t="s">
        <v>57</v>
      </c>
      <c r="K81" s="2"/>
      <c r="L81" s="2"/>
      <c r="N81" s="4" t="s">
        <v>287</v>
      </c>
      <c r="O81" s="2" t="str">
        <f t="shared" si="7"/>
        <v xml:space="preserve">      .AddAttribute(  5, "StartOfJob", "StartOfJob", "date", 0, 0, true, false, "", "", "starting date of the employee in the company (can be extended later for the start of the current position)")</v>
      </c>
    </row>
    <row r="82" spans="1:15" x14ac:dyDescent="0.45">
      <c r="A82" t="s">
        <v>106</v>
      </c>
      <c r="B82">
        <v>6</v>
      </c>
      <c r="C82" t="s">
        <v>154</v>
      </c>
      <c r="D82" t="s">
        <v>154</v>
      </c>
      <c r="E82" t="s">
        <v>20</v>
      </c>
      <c r="F82">
        <v>0</v>
      </c>
      <c r="G82">
        <v>0</v>
      </c>
      <c r="H82" t="s">
        <v>57</v>
      </c>
      <c r="I82" t="s">
        <v>57</v>
      </c>
      <c r="J82" t="s">
        <v>57</v>
      </c>
      <c r="K82" s="2"/>
      <c r="L82" s="2"/>
      <c r="N82" s="4" t="s">
        <v>286</v>
      </c>
      <c r="O82" s="2" t="str">
        <f t="shared" si="7"/>
        <v xml:space="preserve">      .AddAttribute(  6, "JobPosition", "JobPosition", "integer", 0, 0, false, false, "", "", "current position / activity of the employee within the company")</v>
      </c>
    </row>
    <row r="83" spans="1:15" x14ac:dyDescent="0.45">
      <c r="A83" t="s">
        <v>106</v>
      </c>
      <c r="B83">
        <v>7</v>
      </c>
      <c r="C83" t="s">
        <v>155</v>
      </c>
      <c r="D83" t="s">
        <v>155</v>
      </c>
      <c r="E83" t="s">
        <v>19</v>
      </c>
      <c r="F83">
        <v>100</v>
      </c>
      <c r="G83">
        <v>0</v>
      </c>
      <c r="H83" t="s">
        <v>57</v>
      </c>
      <c r="I83" t="s">
        <v>57</v>
      </c>
      <c r="J83" t="s">
        <v>57</v>
      </c>
      <c r="K83" s="2"/>
      <c r="L83" s="2"/>
      <c r="N83" s="4" t="s">
        <v>302</v>
      </c>
      <c r="O83" s="2" t="str">
        <f t="shared" si="7"/>
        <v xml:space="preserve">      .AddAttribute(  7, "JobSpec", "JobSpec", "varchar", 100, 0, false, false, "", "", "specification of the job as free text to concretize this")</v>
      </c>
    </row>
    <row r="84" spans="1:15" x14ac:dyDescent="0.45">
      <c r="A84" t="s">
        <v>106</v>
      </c>
      <c r="B84">
        <v>8</v>
      </c>
      <c r="C84" t="s">
        <v>156</v>
      </c>
      <c r="D84" t="s">
        <v>156</v>
      </c>
      <c r="E84" t="s">
        <v>20</v>
      </c>
      <c r="F84">
        <v>0</v>
      </c>
      <c r="G84">
        <v>0</v>
      </c>
      <c r="H84" t="s">
        <v>58</v>
      </c>
      <c r="I84" t="s">
        <v>57</v>
      </c>
      <c r="J84" t="s">
        <v>57</v>
      </c>
      <c r="K84" s="2"/>
      <c r="L84" s="2"/>
      <c r="N84" s="4" t="s">
        <v>285</v>
      </c>
      <c r="O84" s="2" t="str">
        <f t="shared" si="7"/>
        <v xml:space="preserve">      .AddAttribute(  8, "Department", "Department", "integer", 0, 0, true, false, "", "", "id of the department where the employee currently work")</v>
      </c>
    </row>
    <row r="85" spans="1:15" x14ac:dyDescent="0.45">
      <c r="A85" t="s">
        <v>106</v>
      </c>
      <c r="B85">
        <v>9</v>
      </c>
      <c r="C85" t="s">
        <v>157</v>
      </c>
      <c r="D85" t="s">
        <v>157</v>
      </c>
      <c r="E85" t="s">
        <v>19</v>
      </c>
      <c r="F85">
        <v>20</v>
      </c>
      <c r="G85">
        <v>0</v>
      </c>
      <c r="H85" t="s">
        <v>58</v>
      </c>
      <c r="I85" t="s">
        <v>57</v>
      </c>
      <c r="J85" t="s">
        <v>58</v>
      </c>
      <c r="K85" s="2"/>
      <c r="L85" s="2"/>
      <c r="N85" s="4" t="s">
        <v>291</v>
      </c>
      <c r="O85" s="2" t="str">
        <f t="shared" si="7"/>
        <v xml:space="preserve">      .AddAttribute(  9, "SocialNummer", "SocialNummer", "varchar", 20, 0, true, false, "", "", "social insurance number of the employee")</v>
      </c>
    </row>
    <row r="86" spans="1:15" x14ac:dyDescent="0.45">
      <c r="A86" t="s">
        <v>106</v>
      </c>
      <c r="B86">
        <v>10</v>
      </c>
      <c r="C86" t="s">
        <v>158</v>
      </c>
      <c r="D86" t="s">
        <v>158</v>
      </c>
      <c r="E86" t="s">
        <v>27</v>
      </c>
      <c r="F86">
        <v>0</v>
      </c>
      <c r="G86">
        <v>0</v>
      </c>
      <c r="H86" t="s">
        <v>57</v>
      </c>
      <c r="I86" t="s">
        <v>57</v>
      </c>
      <c r="J86" t="s">
        <v>57</v>
      </c>
      <c r="K86" s="2"/>
      <c r="L86" s="2"/>
      <c r="N86" s="4" t="s">
        <v>292</v>
      </c>
      <c r="O86" s="2" t="str">
        <f t="shared" si="7"/>
        <v xml:space="preserve">      .AddAttribute( 10, "Active", "Active", "bool", 0, 0, false, false, "", "", "boolean value indicating whether the person is active in the company")</v>
      </c>
    </row>
    <row r="87" spans="1:15" x14ac:dyDescent="0.45">
      <c r="N87" s="4"/>
    </row>
    <row r="88" spans="1:15" x14ac:dyDescent="0.45">
      <c r="A88" t="s">
        <v>107</v>
      </c>
      <c r="B88">
        <v>0</v>
      </c>
      <c r="C88" t="s">
        <v>121</v>
      </c>
      <c r="D88" t="s">
        <v>177</v>
      </c>
      <c r="E88" t="s">
        <v>168</v>
      </c>
      <c r="H88" t="s">
        <v>169</v>
      </c>
      <c r="I88" t="s">
        <v>170</v>
      </c>
      <c r="K88" s="2"/>
      <c r="L88" s="2"/>
      <c r="N88" s="4" t="s">
        <v>316</v>
      </c>
      <c r="O88" s="2" t="str">
        <f>CONCATENATE("   ",$O$1,".AddTable(","""",A88,""", ",CONCATENATE("EMyEntityType::",E88),", """,IF(ISERROR(FIND(".",C88)),"",RIGHT(C88, LEN(C88) - FIND(".",C88))),""", """,IF(ISERROR(FIND(".",C88)),"",LEFT(C88, FIND(".",C88)-1)),""", """,IF(ISERROR(FIND("::",D88)),"",RIGHT(D88, LEN(D88) - FIND("::",D88)-1)),""", """,IF(ISERROR(FIND("::",D88)),"",LEFT(D88, FIND("::",D88)-1)),""", """,H88,""", """,I88,""", """,N88,""")")</f>
        <v xml:space="preserve">   dictionary.AddTable("FamilyTypes", EMyEntityType::table, "FamilyTypes", "dbo", "FamilyTypes", "myTest", "System", "SQL", "domain / range of values for family types, this is used in form of address to qualifify the person gender")</v>
      </c>
    </row>
    <row r="89" spans="1:15" x14ac:dyDescent="0.45">
      <c r="A89" t="s">
        <v>107</v>
      </c>
      <c r="B89">
        <v>1</v>
      </c>
      <c r="C89" t="s">
        <v>134</v>
      </c>
      <c r="D89" t="s">
        <v>134</v>
      </c>
      <c r="E89" t="s">
        <v>20</v>
      </c>
      <c r="F89">
        <v>0</v>
      </c>
      <c r="G89">
        <v>0</v>
      </c>
      <c r="H89" t="s">
        <v>58</v>
      </c>
      <c r="I89" t="s">
        <v>58</v>
      </c>
      <c r="J89" t="s">
        <v>57</v>
      </c>
      <c r="K89" s="2"/>
      <c r="L89" s="2"/>
      <c r="N89" s="4" t="s">
        <v>264</v>
      </c>
      <c r="O89" s="2" t="str">
        <f t="shared" ref="O89:O95" si="8">CONCATENATE("      .AddAttribute(",REPT(" ",3-LEN(TEXT(B89, "0"))),TEXT(B89, "0"),", """,C89,""", """,D89,""", """,E89,""", ",F89,", ",G89,", ",H89,", ",I89,", """,K89,""", """,L89,""", """,N89,"""",    ")")</f>
        <v xml:space="preserve">      .AddAttribute(  1, "ID", "ID", "integer", 0, 0, true, true, "", "", "unique identification number for a record in this domain with family types")</v>
      </c>
    </row>
    <row r="90" spans="1:15" x14ac:dyDescent="0.45">
      <c r="A90" t="s">
        <v>107</v>
      </c>
      <c r="B90">
        <v>2</v>
      </c>
      <c r="C90" t="s">
        <v>129</v>
      </c>
      <c r="D90" t="s">
        <v>129</v>
      </c>
      <c r="E90" t="s">
        <v>19</v>
      </c>
      <c r="F90">
        <v>50</v>
      </c>
      <c r="G90">
        <v>0</v>
      </c>
      <c r="H90" t="s">
        <v>58</v>
      </c>
      <c r="I90" t="s">
        <v>57</v>
      </c>
      <c r="J90" t="s">
        <v>58</v>
      </c>
      <c r="K90" s="2"/>
      <c r="L90" s="2"/>
      <c r="N90" s="4" t="s">
        <v>265</v>
      </c>
      <c r="O90" s="2" t="str">
        <f t="shared" si="8"/>
        <v xml:space="preserve">      .AddAttribute(  2, "Denotation", "Denotation", "varchar", 50, 0, true, false, "", "", "unique description of a family type entity in the domain, used in selections, comboboxes, … (key canditate)")</v>
      </c>
    </row>
    <row r="91" spans="1:15" x14ac:dyDescent="0.45">
      <c r="A91" t="s">
        <v>107</v>
      </c>
      <c r="B91">
        <v>3</v>
      </c>
      <c r="C91" t="s">
        <v>130</v>
      </c>
      <c r="D91" t="s">
        <v>130</v>
      </c>
      <c r="E91" t="s">
        <v>19</v>
      </c>
      <c r="F91">
        <v>10</v>
      </c>
      <c r="G91">
        <v>0</v>
      </c>
      <c r="H91" t="s">
        <v>57</v>
      </c>
      <c r="I91" t="s">
        <v>57</v>
      </c>
      <c r="J91" t="s">
        <v>57</v>
      </c>
      <c r="K91" s="2"/>
      <c r="L91" s="2"/>
      <c r="N91" s="4" t="s">
        <v>238</v>
      </c>
      <c r="O91" s="2" t="str">
        <f t="shared" si="8"/>
        <v xml:space="preserve">      .AddAttribute(  3, "Abbreviation", "Abbreviation", "varchar", 10, 0, false, false, "", "", "non-representative abbreviation that can be used for a short advertisement for this banking type")</v>
      </c>
    </row>
    <row r="92" spans="1:15" x14ac:dyDescent="0.45">
      <c r="A92" t="s">
        <v>107</v>
      </c>
      <c r="B92">
        <v>4</v>
      </c>
      <c r="C92" t="s">
        <v>383</v>
      </c>
      <c r="D92" t="s">
        <v>383</v>
      </c>
      <c r="E92" t="s">
        <v>27</v>
      </c>
      <c r="F92">
        <v>0</v>
      </c>
      <c r="G92">
        <v>0</v>
      </c>
      <c r="H92" t="s">
        <v>57</v>
      </c>
      <c r="I92" t="s">
        <v>57</v>
      </c>
      <c r="J92" t="s">
        <v>57</v>
      </c>
      <c r="K92" s="2"/>
      <c r="L92" s="2"/>
      <c r="N92" s="4" t="s">
        <v>384</v>
      </c>
      <c r="O92" s="2" t="str">
        <f t="shared" si="8"/>
        <v xml:space="preserve">      .AddAttribute(  4, "IsNaturalPerson", "IsNaturalPerson", "bool", 0, 0, false, false, "", "", "boolean indicator whether this entity is a natural person when true, otherwise ist a legal entity")</v>
      </c>
    </row>
    <row r="93" spans="1:15" x14ac:dyDescent="0.45">
      <c r="A93" t="s">
        <v>107</v>
      </c>
      <c r="B93">
        <v>5</v>
      </c>
      <c r="C93" t="s">
        <v>131</v>
      </c>
      <c r="D93" t="s">
        <v>131</v>
      </c>
      <c r="E93" t="s">
        <v>77</v>
      </c>
      <c r="F93">
        <v>0</v>
      </c>
      <c r="G93">
        <v>0</v>
      </c>
      <c r="H93" t="s">
        <v>57</v>
      </c>
      <c r="I93" t="s">
        <v>57</v>
      </c>
      <c r="J93" t="s">
        <v>57</v>
      </c>
      <c r="K93" s="2"/>
      <c r="L93" s="2"/>
      <c r="N93" s="4" t="s">
        <v>266</v>
      </c>
      <c r="O93" s="2" t="str">
        <f t="shared" si="8"/>
        <v xml:space="preserve">      .AddAttribute(  5, "Description", "Description", "text", 0, 0, false, false, "", "", "detailed description of these family type,this is a self documentation, possible use as hint or to information in the programm")</v>
      </c>
    </row>
    <row r="94" spans="1:15" x14ac:dyDescent="0.45">
      <c r="A94" t="s">
        <v>107</v>
      </c>
      <c r="B94">
        <v>6</v>
      </c>
      <c r="C94" t="s">
        <v>132</v>
      </c>
      <c r="D94" t="s">
        <v>132</v>
      </c>
      <c r="E94" t="s">
        <v>77</v>
      </c>
      <c r="F94">
        <v>0</v>
      </c>
      <c r="G94">
        <v>0</v>
      </c>
      <c r="H94" t="s">
        <v>57</v>
      </c>
      <c r="I94" t="s">
        <v>57</v>
      </c>
      <c r="J94" t="s">
        <v>57</v>
      </c>
      <c r="K94" s="2"/>
      <c r="L94" s="2"/>
      <c r="N94" s="4" t="s">
        <v>267</v>
      </c>
      <c r="O94" s="2" t="str">
        <f t="shared" si="8"/>
        <v xml:space="preserve">      .AddAttribute(  6, "Notes", "Notes", "text", 0, 0, false, false, "", "", "notes, with additional / free information for this type of family status, not used in application")</v>
      </c>
    </row>
    <row r="95" spans="1:15" x14ac:dyDescent="0.45">
      <c r="A95" t="s">
        <v>107</v>
      </c>
      <c r="B95">
        <v>7</v>
      </c>
      <c r="C95" t="s">
        <v>133</v>
      </c>
      <c r="D95" t="s">
        <v>133</v>
      </c>
      <c r="E95" t="s">
        <v>27</v>
      </c>
      <c r="F95">
        <v>0</v>
      </c>
      <c r="G95">
        <v>0</v>
      </c>
      <c r="H95" t="s">
        <v>57</v>
      </c>
      <c r="I95" t="s">
        <v>57</v>
      </c>
      <c r="J95" t="s">
        <v>57</v>
      </c>
      <c r="K95" s="2"/>
      <c r="L95" s="2"/>
      <c r="N95" s="4" t="s">
        <v>268</v>
      </c>
      <c r="O95" s="2" t="str">
        <f t="shared" si="8"/>
        <v xml:space="preserve">      .AddAttribute(  7, "UrgentValue", "UrgentValue", "bool", 0, 0, false, false, "", "", "boolean value that makes this entity of family type to a system value (cannot be changed as it is used directly by the program)")</v>
      </c>
    </row>
    <row r="96" spans="1:15" x14ac:dyDescent="0.45">
      <c r="N96" s="4"/>
    </row>
    <row r="97" spans="1:15" x14ac:dyDescent="0.45">
      <c r="A97" t="s">
        <v>108</v>
      </c>
      <c r="B97">
        <v>0</v>
      </c>
      <c r="C97" t="s">
        <v>122</v>
      </c>
      <c r="D97" t="s">
        <v>176</v>
      </c>
      <c r="E97" t="s">
        <v>168</v>
      </c>
      <c r="H97" t="s">
        <v>169</v>
      </c>
      <c r="I97" t="s">
        <v>170</v>
      </c>
      <c r="K97" s="2"/>
      <c r="L97" s="2"/>
      <c r="N97" s="4"/>
      <c r="O97" s="2" t="str">
        <f>CONCATENATE("   ",$O$1,".AddTable(","""",A97,""", ",CONCATENATE("EMyEntityType::",E97),", """,IF(ISERROR(FIND(".",C97)),"",RIGHT(C97, LEN(C97) - FIND(".",C97))),""", """,IF(ISERROR(FIND(".",C97)),"",LEFT(C97, FIND(".",C97)-1)),""", """,IF(ISERROR(FIND("::",D97)),"",RIGHT(D97, LEN(D97) - FIND("::",D97)-1)),""", """,IF(ISERROR(FIND("::",D97)),"",LEFT(D97, FIND("::",D97)-1)),""", """,H97,""", """,I97,""", """,N97,""")")</f>
        <v xml:space="preserve">   dictionary.AddTable("FormOfAddress", EMyEntityType::table, "FormOfAddress", "dbo", "FormOfAddress", "myTest", "System", "SQL", "")</v>
      </c>
    </row>
    <row r="98" spans="1:15" x14ac:dyDescent="0.45">
      <c r="A98" t="s">
        <v>108</v>
      </c>
      <c r="B98">
        <v>1</v>
      </c>
      <c r="C98" t="s">
        <v>134</v>
      </c>
      <c r="D98" t="s">
        <v>134</v>
      </c>
      <c r="E98" t="s">
        <v>20</v>
      </c>
      <c r="F98">
        <v>0</v>
      </c>
      <c r="G98">
        <v>0</v>
      </c>
      <c r="H98" t="s">
        <v>58</v>
      </c>
      <c r="I98" t="s">
        <v>58</v>
      </c>
      <c r="J98" t="s">
        <v>57</v>
      </c>
      <c r="K98" s="2"/>
      <c r="L98" s="2"/>
      <c r="N98" s="4"/>
      <c r="O98" s="2" t="str">
        <f t="shared" ref="O98:O106" si="9">CONCATENATE("      .AddAttribute(",REPT(" ",3-LEN(TEXT(B98, "0"))),TEXT(B98, "0"),", """,C98,""", """,D98,""", """,E98,""", ",F98,", ",G98,", ",H98,", ",I98,", """,K98,""", """,L98,""", """,N98,"""",    ")")</f>
        <v xml:space="preserve">      .AddAttribute(  1, "ID", "ID", "integer", 0, 0, true, true, "", "", "")</v>
      </c>
    </row>
    <row r="99" spans="1:15" x14ac:dyDescent="0.45">
      <c r="A99" t="s">
        <v>108</v>
      </c>
      <c r="B99">
        <v>2</v>
      </c>
      <c r="C99" t="s">
        <v>129</v>
      </c>
      <c r="D99" t="s">
        <v>129</v>
      </c>
      <c r="E99" t="s">
        <v>19</v>
      </c>
      <c r="F99">
        <v>50</v>
      </c>
      <c r="G99">
        <v>0</v>
      </c>
      <c r="H99" t="s">
        <v>58</v>
      </c>
      <c r="I99" t="s">
        <v>57</v>
      </c>
      <c r="J99" t="s">
        <v>58</v>
      </c>
      <c r="K99" s="2"/>
      <c r="L99" s="2"/>
      <c r="N99" s="4"/>
      <c r="O99" s="2" t="str">
        <f t="shared" si="9"/>
        <v xml:space="preserve">      .AddAttribute(  2, "Denotation", "Denotation", "varchar", 50, 0, true, false, "", "", "")</v>
      </c>
    </row>
    <row r="100" spans="1:15" x14ac:dyDescent="0.45">
      <c r="A100" t="s">
        <v>108</v>
      </c>
      <c r="B100">
        <v>3</v>
      </c>
      <c r="C100" t="s">
        <v>130</v>
      </c>
      <c r="D100" t="s">
        <v>130</v>
      </c>
      <c r="E100" t="s">
        <v>19</v>
      </c>
      <c r="F100">
        <v>10</v>
      </c>
      <c r="G100">
        <v>0</v>
      </c>
      <c r="H100" t="s">
        <v>57</v>
      </c>
      <c r="I100" t="s">
        <v>57</v>
      </c>
      <c r="J100" t="s">
        <v>57</v>
      </c>
      <c r="K100" s="2"/>
      <c r="L100" s="2"/>
      <c r="N100" s="4"/>
      <c r="O100" s="2" t="str">
        <f t="shared" si="9"/>
        <v xml:space="preserve">      .AddAttribute(  3, "Abbreviation", "Abbreviation", "varchar", 10, 0, false, false, "", "", "")</v>
      </c>
    </row>
    <row r="101" spans="1:15" x14ac:dyDescent="0.45">
      <c r="A101" t="s">
        <v>108</v>
      </c>
      <c r="B101">
        <v>4</v>
      </c>
      <c r="C101" t="s">
        <v>131</v>
      </c>
      <c r="D101" t="s">
        <v>131</v>
      </c>
      <c r="E101" t="s">
        <v>77</v>
      </c>
      <c r="F101">
        <v>0</v>
      </c>
      <c r="G101">
        <v>0</v>
      </c>
      <c r="H101" t="s">
        <v>57</v>
      </c>
      <c r="I101" t="s">
        <v>57</v>
      </c>
      <c r="J101" t="s">
        <v>57</v>
      </c>
      <c r="K101" s="2"/>
      <c r="L101" s="2"/>
      <c r="N101" s="4"/>
      <c r="O101" s="2" t="str">
        <f t="shared" si="9"/>
        <v xml:space="preserve">      .AddAttribute(  4, "Description", "Description", "text", 0, 0, false, false, "", "", "")</v>
      </c>
    </row>
    <row r="102" spans="1:15" x14ac:dyDescent="0.45">
      <c r="A102" t="s">
        <v>108</v>
      </c>
      <c r="B102">
        <v>5</v>
      </c>
      <c r="C102" t="s">
        <v>159</v>
      </c>
      <c r="D102" t="s">
        <v>159</v>
      </c>
      <c r="E102" t="s">
        <v>20</v>
      </c>
      <c r="F102">
        <v>0</v>
      </c>
      <c r="G102">
        <v>0</v>
      </c>
      <c r="H102" t="s">
        <v>57</v>
      </c>
      <c r="I102" t="s">
        <v>57</v>
      </c>
      <c r="J102" t="s">
        <v>57</v>
      </c>
      <c r="K102" s="2"/>
      <c r="L102" s="2"/>
      <c r="N102" s="4"/>
      <c r="O102" s="2" t="str">
        <f t="shared" si="9"/>
        <v xml:space="preserve">      .AddAttribute(  5, "TypeSpec", "TypeSpec", "integer", 0, 0, false, false, "", "", "")</v>
      </c>
    </row>
    <row r="103" spans="1:15" x14ac:dyDescent="0.45">
      <c r="A103" t="s">
        <v>108</v>
      </c>
      <c r="B103">
        <v>6</v>
      </c>
      <c r="C103" t="s">
        <v>160</v>
      </c>
      <c r="D103" t="s">
        <v>160</v>
      </c>
      <c r="E103" t="s">
        <v>19</v>
      </c>
      <c r="F103">
        <v>50</v>
      </c>
      <c r="G103">
        <v>0</v>
      </c>
      <c r="H103" t="s">
        <v>57</v>
      </c>
      <c r="I103" t="s">
        <v>57</v>
      </c>
      <c r="J103" t="s">
        <v>57</v>
      </c>
      <c r="K103" s="2"/>
      <c r="L103" s="2"/>
      <c r="N103" s="4"/>
      <c r="O103" s="2" t="str">
        <f t="shared" si="9"/>
        <v xml:space="preserve">      .AddAttribute(  6, "Salutation", "Salutation", "varchar", 50, 0, false, false, "", "", "")</v>
      </c>
    </row>
    <row r="104" spans="1:15" x14ac:dyDescent="0.45">
      <c r="A104" t="s">
        <v>108</v>
      </c>
      <c r="B104">
        <v>7</v>
      </c>
      <c r="C104" t="s">
        <v>161</v>
      </c>
      <c r="D104" t="s">
        <v>161</v>
      </c>
      <c r="E104" t="s">
        <v>19</v>
      </c>
      <c r="F104">
        <v>50</v>
      </c>
      <c r="G104">
        <v>0</v>
      </c>
      <c r="H104" t="s">
        <v>57</v>
      </c>
      <c r="I104" t="s">
        <v>57</v>
      </c>
      <c r="J104" t="s">
        <v>57</v>
      </c>
      <c r="K104" s="2"/>
      <c r="L104" s="2"/>
      <c r="N104" s="4"/>
      <c r="O104" s="2" t="str">
        <f t="shared" si="9"/>
        <v xml:space="preserve">      .AddAttribute(  7, "Valediction", "Valediction", "varchar", 50, 0, false, false, "", "", "")</v>
      </c>
    </row>
    <row r="105" spans="1:15" x14ac:dyDescent="0.45">
      <c r="A105" t="s">
        <v>108</v>
      </c>
      <c r="B105">
        <v>8</v>
      </c>
      <c r="C105" t="s">
        <v>132</v>
      </c>
      <c r="D105" t="s">
        <v>132</v>
      </c>
      <c r="E105" t="s">
        <v>77</v>
      </c>
      <c r="F105">
        <v>0</v>
      </c>
      <c r="G105">
        <v>0</v>
      </c>
      <c r="H105" t="s">
        <v>57</v>
      </c>
      <c r="I105" t="s">
        <v>57</v>
      </c>
      <c r="J105" t="s">
        <v>57</v>
      </c>
      <c r="K105" s="2"/>
      <c r="L105" s="2"/>
      <c r="N105" s="4"/>
      <c r="O105" s="2" t="str">
        <f t="shared" si="9"/>
        <v xml:space="preserve">      .AddAttribute(  8, "Notes", "Notes", "text", 0, 0, false, false, "", "", "")</v>
      </c>
    </row>
    <row r="106" spans="1:15" x14ac:dyDescent="0.45">
      <c r="A106" t="s">
        <v>108</v>
      </c>
      <c r="B106">
        <v>9</v>
      </c>
      <c r="C106" t="s">
        <v>133</v>
      </c>
      <c r="D106" t="s">
        <v>133</v>
      </c>
      <c r="E106" t="s">
        <v>27</v>
      </c>
      <c r="F106">
        <v>0</v>
      </c>
      <c r="G106">
        <v>0</v>
      </c>
      <c r="H106" t="s">
        <v>57</v>
      </c>
      <c r="I106" t="s">
        <v>57</v>
      </c>
      <c r="J106" t="s">
        <v>57</v>
      </c>
      <c r="K106" s="2"/>
      <c r="L106" s="2"/>
      <c r="N106" s="4" t="s">
        <v>269</v>
      </c>
      <c r="O106" s="2" t="str">
        <f t="shared" si="9"/>
        <v xml:space="preserve">      .AddAttribute(  9, "UrgentValue", "UrgentValue", "bool", 0, 0, false, false, "", "", "boolean value that makes this entity of form of address type to a system value (cannot be changed as it is used directly by the program)")</v>
      </c>
    </row>
    <row r="107" spans="1:15" x14ac:dyDescent="0.45">
      <c r="N107" s="4"/>
    </row>
    <row r="108" spans="1:15" x14ac:dyDescent="0.45">
      <c r="A108" t="s">
        <v>109</v>
      </c>
      <c r="B108">
        <v>0</v>
      </c>
      <c r="C108" t="s">
        <v>123</v>
      </c>
      <c r="D108" t="s">
        <v>175</v>
      </c>
      <c r="E108" t="s">
        <v>168</v>
      </c>
      <c r="H108" t="s">
        <v>169</v>
      </c>
      <c r="I108" t="s">
        <v>170</v>
      </c>
      <c r="K108" s="2"/>
      <c r="L108" s="2"/>
      <c r="N108" s="4"/>
      <c r="O108" s="2" t="str">
        <f>CONCATENATE("   ",$O$1,".AddTable(","""",A108,""", ",CONCATENATE("EMyEntityType::",E108),", """,IF(ISERROR(FIND(".",C108)),"",RIGHT(C108, LEN(C108) - FIND(".",C108))),""", """,IF(ISERROR(FIND(".",C108)),"",LEFT(C108, FIND(".",C108)-1)),""", """,IF(ISERROR(FIND("::",D108)),"",RIGHT(D108, LEN(D108) - FIND("::",D108)-1)),""", """,IF(ISERROR(FIND("::",D108)),"",LEFT(D108, FIND("::",D108)-1)),""", """,H108,""", """,I108,""", """,N108,""")")</f>
        <v xml:space="preserve">   dictionary.AddTable("Internet", EMyEntityType::table, "Internet", "dbo", "Internet", "myTest", "System", "SQL", "")</v>
      </c>
    </row>
    <row r="109" spans="1:15" x14ac:dyDescent="0.45">
      <c r="A109" t="s">
        <v>109</v>
      </c>
      <c r="B109">
        <v>1</v>
      </c>
      <c r="C109" t="s">
        <v>134</v>
      </c>
      <c r="D109" t="s">
        <v>134</v>
      </c>
      <c r="E109" t="s">
        <v>20</v>
      </c>
      <c r="F109">
        <v>0</v>
      </c>
      <c r="G109">
        <v>0</v>
      </c>
      <c r="H109" t="s">
        <v>58</v>
      </c>
      <c r="I109" t="s">
        <v>58</v>
      </c>
      <c r="J109" t="s">
        <v>57</v>
      </c>
      <c r="K109" s="2"/>
      <c r="L109" s="2"/>
      <c r="N109" s="4"/>
      <c r="O109" s="2" t="str">
        <f t="shared" ref="O109:O111" si="10">CONCATENATE("      .AddAttribute(",REPT(" ",3-LEN(TEXT(B109, "0"))),TEXT(B109, "0"),", """,C109,""", """,D109,""", """,E109,""", ",F109,", ",G109,", ",H109,", ",I109,", """,K109,""", """,L109,""", """,N109,"""",    ")")</f>
        <v xml:space="preserve">      .AddAttribute(  1, "ID", "ID", "integer", 0, 0, true, true, "", "", "")</v>
      </c>
    </row>
    <row r="110" spans="1:15" x14ac:dyDescent="0.45">
      <c r="A110" t="s">
        <v>109</v>
      </c>
      <c r="B110">
        <v>2</v>
      </c>
      <c r="C110" t="s">
        <v>163</v>
      </c>
      <c r="D110" t="s">
        <v>163</v>
      </c>
      <c r="E110" t="s">
        <v>20</v>
      </c>
      <c r="F110">
        <v>0</v>
      </c>
      <c r="G110">
        <v>0</v>
      </c>
      <c r="H110" t="s">
        <v>58</v>
      </c>
      <c r="I110" t="s">
        <v>58</v>
      </c>
      <c r="J110" t="s">
        <v>58</v>
      </c>
      <c r="K110" s="2"/>
      <c r="L110" s="2"/>
      <c r="N110" s="4"/>
      <c r="O110" s="2" t="str">
        <f t="shared" si="10"/>
        <v xml:space="preserve">      .AddAttribute(  2, "InternetType", "InternetType", "integer", 0, 0, true, true, "", "", "")</v>
      </c>
    </row>
    <row r="111" spans="1:15" x14ac:dyDescent="0.45">
      <c r="A111" t="s">
        <v>109</v>
      </c>
      <c r="B111">
        <v>3</v>
      </c>
      <c r="C111" t="s">
        <v>164</v>
      </c>
      <c r="D111" t="s">
        <v>164</v>
      </c>
      <c r="E111" t="s">
        <v>19</v>
      </c>
      <c r="F111">
        <v>100</v>
      </c>
      <c r="G111">
        <v>0</v>
      </c>
      <c r="H111" t="s">
        <v>58</v>
      </c>
      <c r="I111" t="s">
        <v>57</v>
      </c>
      <c r="J111" t="s">
        <v>57</v>
      </c>
      <c r="K111" s="2"/>
      <c r="L111" s="2"/>
      <c r="N111" s="4"/>
      <c r="O111" s="2" t="str">
        <f t="shared" si="10"/>
        <v xml:space="preserve">      .AddAttribute(  3, "Adresse", "Adresse", "varchar", 100, 0, true, false, "", "", "")</v>
      </c>
    </row>
    <row r="112" spans="1:15" x14ac:dyDescent="0.45">
      <c r="N112" s="4"/>
    </row>
    <row r="113" spans="1:15" x14ac:dyDescent="0.45">
      <c r="A113" t="s">
        <v>110</v>
      </c>
      <c r="B113">
        <v>0</v>
      </c>
      <c r="C113" t="s">
        <v>124</v>
      </c>
      <c r="D113" t="s">
        <v>174</v>
      </c>
      <c r="E113" t="s">
        <v>168</v>
      </c>
      <c r="H113" t="s">
        <v>169</v>
      </c>
      <c r="I113" t="s">
        <v>170</v>
      </c>
      <c r="K113" s="2"/>
      <c r="L113" s="2"/>
      <c r="N113" s="4" t="s">
        <v>263</v>
      </c>
      <c r="O113" s="2" t="str">
        <f>CONCATENATE("   ",$O$1,".AddTable(","""",A113,""", ",CONCATENATE("EMyEntityType::",E113),", """,IF(ISERROR(FIND(".",C113)),"",RIGHT(C113, LEN(C113) - FIND(".",C113))),""", """,IF(ISERROR(FIND(".",C113)),"",LEFT(C113, FIND(".",C113)-1)),""", """,IF(ISERROR(FIND("::",D113)),"",RIGHT(D113, LEN(D113) - FIND("::",D113)-1)),""", """,IF(ISERROR(FIND("::",D113)),"",LEFT(D113, FIND("::",D113)-1)),""", """,H113,""", """,I113,""", """,N113,""")")</f>
        <v xml:space="preserve">   dictionary.AddTable("InternetTypes", EMyEntityType::table, "InternetTypes", "dbo", "InternetTypes", "myTest", "System", "SQL", "domain / range of values for internet connection types, this is an extension of the relationship between persons and internet connections.")</v>
      </c>
    </row>
    <row r="114" spans="1:15" x14ac:dyDescent="0.45">
      <c r="A114" t="s">
        <v>110</v>
      </c>
      <c r="B114">
        <v>1</v>
      </c>
      <c r="C114" t="s">
        <v>134</v>
      </c>
      <c r="D114" t="s">
        <v>134</v>
      </c>
      <c r="E114" t="s">
        <v>20</v>
      </c>
      <c r="F114">
        <v>0</v>
      </c>
      <c r="G114">
        <v>0</v>
      </c>
      <c r="H114" t="s">
        <v>58</v>
      </c>
      <c r="I114" t="s">
        <v>58</v>
      </c>
      <c r="J114" t="s">
        <v>57</v>
      </c>
      <c r="K114" s="2"/>
      <c r="L114" s="2"/>
      <c r="N114" s="4" t="s">
        <v>262</v>
      </c>
      <c r="O114" s="2" t="str">
        <f t="shared" ref="O114:O120" si="11">CONCATENATE("      .AddAttribute(",REPT(" ",3-LEN(TEXT(B114, "0"))),TEXT(B114, "0"),", """,C114,""", """,D114,""", """,E114,""", ",F114,", ",G114,", ",H114,", ",I114,", """,K114,""", """,L114,""", """,N114,"""",    ")")</f>
        <v xml:space="preserve">      .AddAttribute(  1, "ID", "ID", "integer", 0, 0, true, true, "", "", "unique identification number for a record in this domain with internet connection types")</v>
      </c>
    </row>
    <row r="115" spans="1:15" x14ac:dyDescent="0.45">
      <c r="A115" t="s">
        <v>110</v>
      </c>
      <c r="B115">
        <v>2</v>
      </c>
      <c r="C115" t="s">
        <v>129</v>
      </c>
      <c r="D115" t="s">
        <v>129</v>
      </c>
      <c r="E115" t="s">
        <v>19</v>
      </c>
      <c r="F115">
        <v>50</v>
      </c>
      <c r="G115">
        <v>0</v>
      </c>
      <c r="H115" t="s">
        <v>58</v>
      </c>
      <c r="I115" t="s">
        <v>57</v>
      </c>
      <c r="J115" t="s">
        <v>58</v>
      </c>
      <c r="K115" s="2"/>
      <c r="L115" s="2"/>
      <c r="N115" s="4" t="s">
        <v>261</v>
      </c>
      <c r="O115" s="2" t="str">
        <f t="shared" si="11"/>
        <v xml:space="preserve">      .AddAttribute(  2, "Denotation", "Denotation", "varchar", 50, 0, true, false, "", "", "unique description of an internet connection type entity in the domain, used in selections, comboboxes, … (key canditate)")</v>
      </c>
    </row>
    <row r="116" spans="1:15" x14ac:dyDescent="0.45">
      <c r="A116" t="s">
        <v>110</v>
      </c>
      <c r="B116">
        <v>3</v>
      </c>
      <c r="C116" t="s">
        <v>130</v>
      </c>
      <c r="D116" t="s">
        <v>130</v>
      </c>
      <c r="E116" t="s">
        <v>19</v>
      </c>
      <c r="F116">
        <v>10</v>
      </c>
      <c r="G116">
        <v>0</v>
      </c>
      <c r="H116" t="s">
        <v>57</v>
      </c>
      <c r="I116" t="s">
        <v>57</v>
      </c>
      <c r="J116" t="s">
        <v>57</v>
      </c>
      <c r="K116" s="2"/>
      <c r="L116" s="2"/>
      <c r="N116" s="4" t="s">
        <v>260</v>
      </c>
      <c r="O116" s="2" t="str">
        <f t="shared" si="11"/>
        <v xml:space="preserve">      .AddAttribute(  3, "Abbreviation", "Abbreviation", "varchar", 10, 0, false, false, "", "", "non-representative abbreviation that can be used for a short advertisement for this internet connection type")</v>
      </c>
    </row>
    <row r="117" spans="1:15" x14ac:dyDescent="0.45">
      <c r="A117" t="s">
        <v>110</v>
      </c>
      <c r="B117">
        <v>4</v>
      </c>
      <c r="C117" t="s">
        <v>131</v>
      </c>
      <c r="D117" t="s">
        <v>131</v>
      </c>
      <c r="E117" t="s">
        <v>77</v>
      </c>
      <c r="F117">
        <v>0</v>
      </c>
      <c r="G117">
        <v>0</v>
      </c>
      <c r="H117" t="s">
        <v>57</v>
      </c>
      <c r="I117" t="s">
        <v>57</v>
      </c>
      <c r="J117" t="s">
        <v>57</v>
      </c>
      <c r="K117" s="2"/>
      <c r="L117" s="2"/>
      <c r="N117" s="4" t="s">
        <v>259</v>
      </c>
      <c r="O117" s="2" t="str">
        <f t="shared" si="11"/>
        <v xml:space="preserve">      .AddAttribute(  4, "Description", "Description", "text", 0, 0, false, false, "", "", "detailed description of these internet connection type,this is a self documentation, possible use as hint or to information in the programm")</v>
      </c>
    </row>
    <row r="118" spans="1:15" x14ac:dyDescent="0.45">
      <c r="A118" t="s">
        <v>110</v>
      </c>
      <c r="B118">
        <v>5</v>
      </c>
      <c r="C118" t="s">
        <v>162</v>
      </c>
      <c r="D118" t="s">
        <v>162</v>
      </c>
      <c r="E118" t="s">
        <v>19</v>
      </c>
      <c r="F118">
        <v>10</v>
      </c>
      <c r="G118">
        <v>0</v>
      </c>
      <c r="H118" t="s">
        <v>57</v>
      </c>
      <c r="I118" t="s">
        <v>57</v>
      </c>
      <c r="J118" t="s">
        <v>57</v>
      </c>
      <c r="K118" s="2"/>
      <c r="L118" s="2"/>
      <c r="N118" s="4"/>
      <c r="O118" s="2" t="str">
        <f t="shared" si="11"/>
        <v xml:space="preserve">      .AddAttribute(  5, "Prefix", "Prefix", "varchar", 10, 0, false, false, "", "", "")</v>
      </c>
    </row>
    <row r="119" spans="1:15" x14ac:dyDescent="0.45">
      <c r="A119" t="s">
        <v>110</v>
      </c>
      <c r="B119">
        <v>6</v>
      </c>
      <c r="C119" t="s">
        <v>132</v>
      </c>
      <c r="D119" t="s">
        <v>132</v>
      </c>
      <c r="E119" t="s">
        <v>77</v>
      </c>
      <c r="F119">
        <v>0</v>
      </c>
      <c r="G119">
        <v>0</v>
      </c>
      <c r="H119" t="s">
        <v>57</v>
      </c>
      <c r="I119" t="s">
        <v>57</v>
      </c>
      <c r="J119" t="s">
        <v>57</v>
      </c>
      <c r="K119" s="2"/>
      <c r="L119" s="2"/>
      <c r="N119" s="4" t="s">
        <v>258</v>
      </c>
      <c r="O119" s="2" t="str">
        <f t="shared" si="11"/>
        <v xml:space="preserve">      .AddAttribute(  6, "Notes", "Notes", "text", 0, 0, false, false, "", "", "notes, with additional / free information for this type of internet connection, not used in application")</v>
      </c>
    </row>
    <row r="120" spans="1:15" x14ac:dyDescent="0.45">
      <c r="A120" t="s">
        <v>110</v>
      </c>
      <c r="B120">
        <v>7</v>
      </c>
      <c r="C120" t="s">
        <v>133</v>
      </c>
      <c r="D120" t="s">
        <v>133</v>
      </c>
      <c r="E120" t="s">
        <v>27</v>
      </c>
      <c r="F120">
        <v>0</v>
      </c>
      <c r="G120">
        <v>0</v>
      </c>
      <c r="H120" t="s">
        <v>57</v>
      </c>
      <c r="I120" t="s">
        <v>57</v>
      </c>
      <c r="J120" t="s">
        <v>57</v>
      </c>
      <c r="K120" s="2"/>
      <c r="L120" s="2"/>
      <c r="N120" s="4" t="s">
        <v>257</v>
      </c>
      <c r="O120" s="2" t="str">
        <f t="shared" si="11"/>
        <v xml:space="preserve">      .AddAttribute(  7, "UrgentValue", "UrgentValue", "bool", 0, 0, false, false, "", "", "boolean value that makes this entity of internet connection type to a system value (cannot be changed as it is used directly by the program)")</v>
      </c>
    </row>
    <row r="121" spans="1:15" x14ac:dyDescent="0.45">
      <c r="N121" s="4"/>
    </row>
    <row r="122" spans="1:15" x14ac:dyDescent="0.45">
      <c r="A122" t="s">
        <v>111</v>
      </c>
      <c r="B122">
        <v>0</v>
      </c>
      <c r="C122" t="s">
        <v>125</v>
      </c>
      <c r="D122" t="s">
        <v>405</v>
      </c>
      <c r="E122" t="s">
        <v>168</v>
      </c>
      <c r="H122" t="s">
        <v>169</v>
      </c>
      <c r="I122" t="s">
        <v>170</v>
      </c>
      <c r="K122" s="2"/>
      <c r="L122" s="2"/>
      <c r="N122" s="4"/>
      <c r="O122" s="2" t="str">
        <f>CONCATENATE("   ",$O$1,".AddTable(","""",A122,""", ",CONCATENATE("EMyEntityType::",E122),", """,IF(ISERROR(FIND(".",C122)),"",RIGHT(C122, LEN(C122) - FIND(".",C122))),""", """,IF(ISERROR(FIND(".",C122)),"",LEFT(C122, FIND(".",C122)-1)),""", """,IF(ISERROR(FIND("::",D122)),"",RIGHT(D122, LEN(D122) - FIND("::",D122)-1)),""", """,IF(ISERROR(FIND("::",D122)),"",LEFT(D122, FIND("::",D122)-1)),""", """,H122,""", """,I122,""", """,N122,""")")</f>
        <v xml:space="preserve">   dictionary.AddTable("JobPositions", EMyEntityType::table, "JobPositions", "dbo", "JobPositions", "myHR", "System", "SQL", "")</v>
      </c>
    </row>
    <row r="123" spans="1:15" x14ac:dyDescent="0.45">
      <c r="A123" t="s">
        <v>111</v>
      </c>
      <c r="B123">
        <v>1</v>
      </c>
      <c r="C123" t="s">
        <v>134</v>
      </c>
      <c r="D123" t="s">
        <v>134</v>
      </c>
      <c r="E123" t="s">
        <v>20</v>
      </c>
      <c r="F123">
        <v>0</v>
      </c>
      <c r="G123">
        <v>0</v>
      </c>
      <c r="H123" t="s">
        <v>58</v>
      </c>
      <c r="I123" t="s">
        <v>58</v>
      </c>
      <c r="J123" t="s">
        <v>57</v>
      </c>
      <c r="K123" s="2"/>
      <c r="L123" s="2"/>
      <c r="N123" s="4"/>
      <c r="O123" s="2" t="str">
        <f t="shared" ref="O123:O128" si="12">CONCATENATE("      .AddAttribute(",REPT(" ",3-LEN(TEXT(B123, "0"))),TEXT(B123, "0"),", """,C123,""", """,D123,""", """,E123,""", ",F123,", ",G123,", ",H123,", ",I123,", """,K123,""", """,L123,""", """,N123,"""",    ")")</f>
        <v xml:space="preserve">      .AddAttribute(  1, "ID", "ID", "integer", 0, 0, true, true, "", "", "")</v>
      </c>
    </row>
    <row r="124" spans="1:15" x14ac:dyDescent="0.45">
      <c r="A124" t="s">
        <v>111</v>
      </c>
      <c r="B124">
        <v>2</v>
      </c>
      <c r="C124" t="s">
        <v>129</v>
      </c>
      <c r="D124" t="s">
        <v>129</v>
      </c>
      <c r="E124" t="s">
        <v>19</v>
      </c>
      <c r="F124">
        <v>50</v>
      </c>
      <c r="G124">
        <v>0</v>
      </c>
      <c r="H124" t="s">
        <v>58</v>
      </c>
      <c r="I124" t="s">
        <v>57</v>
      </c>
      <c r="J124" t="s">
        <v>58</v>
      </c>
      <c r="K124" s="2"/>
      <c r="L124" s="2"/>
      <c r="N124" s="4"/>
      <c r="O124" s="2" t="str">
        <f t="shared" si="12"/>
        <v xml:space="preserve">      .AddAttribute(  2, "Denotation", "Denotation", "varchar", 50, 0, true, false, "", "", "")</v>
      </c>
    </row>
    <row r="125" spans="1:15" x14ac:dyDescent="0.45">
      <c r="A125" t="s">
        <v>111</v>
      </c>
      <c r="B125">
        <v>3</v>
      </c>
      <c r="C125" t="s">
        <v>130</v>
      </c>
      <c r="D125" t="s">
        <v>130</v>
      </c>
      <c r="E125" t="s">
        <v>19</v>
      </c>
      <c r="F125">
        <v>10</v>
      </c>
      <c r="G125">
        <v>0</v>
      </c>
      <c r="H125" t="s">
        <v>57</v>
      </c>
      <c r="I125" t="s">
        <v>57</v>
      </c>
      <c r="J125" t="s">
        <v>57</v>
      </c>
      <c r="K125" s="2"/>
      <c r="L125" s="2"/>
      <c r="N125" s="4"/>
      <c r="O125" s="2" t="str">
        <f t="shared" si="12"/>
        <v xml:space="preserve">      .AddAttribute(  3, "Abbreviation", "Abbreviation", "varchar", 10, 0, false, false, "", "", "")</v>
      </c>
    </row>
    <row r="126" spans="1:15" x14ac:dyDescent="0.45">
      <c r="A126" t="s">
        <v>111</v>
      </c>
      <c r="B126">
        <v>4</v>
      </c>
      <c r="C126" t="s">
        <v>131</v>
      </c>
      <c r="D126" t="s">
        <v>131</v>
      </c>
      <c r="E126" t="s">
        <v>77</v>
      </c>
      <c r="F126">
        <v>0</v>
      </c>
      <c r="G126">
        <v>0</v>
      </c>
      <c r="H126" t="s">
        <v>57</v>
      </c>
      <c r="I126" t="s">
        <v>57</v>
      </c>
      <c r="J126" t="s">
        <v>57</v>
      </c>
      <c r="K126" s="2"/>
      <c r="L126" s="2"/>
      <c r="N126" s="4"/>
      <c r="O126" s="2" t="str">
        <f t="shared" si="12"/>
        <v xml:space="preserve">      .AddAttribute(  4, "Description", "Description", "text", 0, 0, false, false, "", "", "")</v>
      </c>
    </row>
    <row r="127" spans="1:15" x14ac:dyDescent="0.45">
      <c r="A127" t="s">
        <v>111</v>
      </c>
      <c r="B127">
        <v>5</v>
      </c>
      <c r="C127" t="s">
        <v>132</v>
      </c>
      <c r="D127" t="s">
        <v>132</v>
      </c>
      <c r="E127" t="s">
        <v>77</v>
      </c>
      <c r="F127">
        <v>0</v>
      </c>
      <c r="G127">
        <v>0</v>
      </c>
      <c r="H127" t="s">
        <v>57</v>
      </c>
      <c r="I127" t="s">
        <v>57</v>
      </c>
      <c r="J127" t="s">
        <v>57</v>
      </c>
      <c r="K127" s="2"/>
      <c r="L127" s="2"/>
      <c r="N127" s="4"/>
      <c r="O127" s="2" t="str">
        <f t="shared" si="12"/>
        <v xml:space="preserve">      .AddAttribute(  5, "Notes", "Notes", "text", 0, 0, false, false, "", "", "")</v>
      </c>
    </row>
    <row r="128" spans="1:15" x14ac:dyDescent="0.45">
      <c r="A128" t="s">
        <v>111</v>
      </c>
      <c r="B128">
        <v>6</v>
      </c>
      <c r="C128" t="s">
        <v>133</v>
      </c>
      <c r="D128" t="s">
        <v>133</v>
      </c>
      <c r="E128" t="s">
        <v>27</v>
      </c>
      <c r="F128">
        <v>0</v>
      </c>
      <c r="G128">
        <v>0</v>
      </c>
      <c r="H128" t="s">
        <v>57</v>
      </c>
      <c r="I128" t="s">
        <v>57</v>
      </c>
      <c r="J128" t="s">
        <v>57</v>
      </c>
      <c r="K128" s="2"/>
      <c r="L128" s="2"/>
      <c r="N128" s="4"/>
      <c r="O128" s="2" t="str">
        <f t="shared" si="12"/>
        <v xml:space="preserve">      .AddAttribute(  6, "UrgentValue", "UrgentValue", "bool", 0, 0, false, false, "", "", "")</v>
      </c>
    </row>
    <row r="129" spans="1:15" x14ac:dyDescent="0.45">
      <c r="N129" s="4"/>
    </row>
    <row r="130" spans="1:15" x14ac:dyDescent="0.45">
      <c r="A130" t="s">
        <v>112</v>
      </c>
      <c r="B130">
        <v>0</v>
      </c>
      <c r="C130" t="s">
        <v>126</v>
      </c>
      <c r="D130" t="s">
        <v>171</v>
      </c>
      <c r="E130" t="s">
        <v>168</v>
      </c>
      <c r="H130" t="s">
        <v>169</v>
      </c>
      <c r="I130" t="s">
        <v>170</v>
      </c>
      <c r="K130" s="2"/>
      <c r="L130" s="2"/>
      <c r="N130" s="4" t="s">
        <v>430</v>
      </c>
      <c r="O130" s="2" t="str">
        <f>CONCATENATE("   ",$O$1,".AddTable(","""",A130,""", ",CONCATENATE("EMyEntityType::",E130),", """,IF(ISERROR(FIND(".",C130)),"",RIGHT(C130, LEN(C130) - FIND(".",C130))),""", """,IF(ISERROR(FIND(".",C130)),"",LEFT(C130, FIND(".",C130)-1)),""", """,IF(ISERROR(FIND("::",D130)),"",RIGHT(D130, LEN(D130) - FIND("::",D130)-1)),""", """,IF(ISERROR(FIND("::",D130)),"",LEFT(D130, FIND("::",D130)-1)),""", """,H130,""", """,I130,""", """,N130,""")")</f>
        <v xml:space="preserve">   dictionary.AddTable("Person", EMyEntityType::table, "Person", "dbo", "Person", "myTest", "System", "SQL", "informations about a person, base for different kinds of special persons in other areas of the company")</v>
      </c>
    </row>
    <row r="131" spans="1:15" x14ac:dyDescent="0.45">
      <c r="A131" t="s">
        <v>112</v>
      </c>
      <c r="B131">
        <v>1</v>
      </c>
      <c r="C131" t="s">
        <v>134</v>
      </c>
      <c r="D131" t="s">
        <v>134</v>
      </c>
      <c r="E131" t="s">
        <v>20</v>
      </c>
      <c r="F131">
        <v>0</v>
      </c>
      <c r="G131">
        <v>0</v>
      </c>
      <c r="H131" t="s">
        <v>58</v>
      </c>
      <c r="I131" t="s">
        <v>58</v>
      </c>
      <c r="J131" t="s">
        <v>57</v>
      </c>
      <c r="K131" s="2"/>
      <c r="L131" s="2"/>
      <c r="N131" s="4" t="s">
        <v>431</v>
      </c>
      <c r="O131" s="2" t="str">
        <f t="shared" ref="O131:O138" si="13">CONCATENATE("      .AddAttribute(",REPT(" ",3-LEN(TEXT(B131, "0"))),TEXT(B131, "0"),", """,C131,""", """,D131,""", """,E131,""", ",F131,", ",G131,", ",H131,", ",I131,", """,K131,""", """,L131,""", """,N131,"""",    ")")</f>
        <v xml:space="preserve">      .AddAttribute(  1, "ID", "ID", "integer", 0, 0, true, true, "", "", "unique identification number for a entity of person")</v>
      </c>
    </row>
    <row r="132" spans="1:15" x14ac:dyDescent="0.45">
      <c r="A132" t="s">
        <v>112</v>
      </c>
      <c r="B132">
        <v>2</v>
      </c>
      <c r="C132" t="s">
        <v>82</v>
      </c>
      <c r="D132" t="s">
        <v>82</v>
      </c>
      <c r="E132" t="s">
        <v>19</v>
      </c>
      <c r="F132">
        <v>30</v>
      </c>
      <c r="G132">
        <v>0</v>
      </c>
      <c r="H132" t="s">
        <v>58</v>
      </c>
      <c r="I132" t="s">
        <v>57</v>
      </c>
      <c r="J132" t="s">
        <v>57</v>
      </c>
      <c r="K132" s="2"/>
      <c r="L132" s="2"/>
      <c r="N132" s="4" t="s">
        <v>432</v>
      </c>
      <c r="O132" s="2" t="str">
        <f t="shared" si="13"/>
        <v xml:space="preserve">      .AddAttribute(  2, "Name", "Name", "varchar", 30, 0, true, false, "", "", "family name of the natural person respectively the name for a legal entity")</v>
      </c>
    </row>
    <row r="133" spans="1:15" x14ac:dyDescent="0.45">
      <c r="A133" t="s">
        <v>112</v>
      </c>
      <c r="B133">
        <v>3</v>
      </c>
      <c r="C133" t="s">
        <v>165</v>
      </c>
      <c r="D133" t="s">
        <v>165</v>
      </c>
      <c r="E133" t="s">
        <v>19</v>
      </c>
      <c r="F133">
        <v>30</v>
      </c>
      <c r="G133">
        <v>0</v>
      </c>
      <c r="H133" t="s">
        <v>57</v>
      </c>
      <c r="I133" t="s">
        <v>57</v>
      </c>
      <c r="J133" t="s">
        <v>57</v>
      </c>
      <c r="K133" s="2"/>
      <c r="L133" s="2"/>
      <c r="N133" s="4" t="s">
        <v>433</v>
      </c>
      <c r="O133" s="2" t="str">
        <f t="shared" si="13"/>
        <v xml:space="preserve">      .AddAttribute(  3, "Firstname", "Firstname", "varchar", 30, 0, false, false, "", "", "first name of the natural person respectively a name extenstion for a legal entity")</v>
      </c>
    </row>
    <row r="134" spans="1:15" x14ac:dyDescent="0.45">
      <c r="A134" t="s">
        <v>112</v>
      </c>
      <c r="B134">
        <v>4</v>
      </c>
      <c r="C134" t="s">
        <v>108</v>
      </c>
      <c r="D134" t="s">
        <v>108</v>
      </c>
      <c r="E134" t="s">
        <v>20</v>
      </c>
      <c r="F134">
        <v>0</v>
      </c>
      <c r="G134">
        <v>0</v>
      </c>
      <c r="H134" t="s">
        <v>58</v>
      </c>
      <c r="I134" t="s">
        <v>57</v>
      </c>
      <c r="J134" t="s">
        <v>57</v>
      </c>
      <c r="K134" s="2"/>
      <c r="L134" s="2"/>
      <c r="N134" s="4" t="s">
        <v>434</v>
      </c>
      <c r="O134" s="2" t="str">
        <f t="shared" si="13"/>
        <v xml:space="preserve">      .AddAttribute(  4, "FormOfAddress", "FormOfAddress", "integer", 0, 0, true, false, "", "", "form of address for this person. this attribute control the kind of a person too")</v>
      </c>
    </row>
    <row r="135" spans="1:15" x14ac:dyDescent="0.45">
      <c r="A135" t="s">
        <v>112</v>
      </c>
      <c r="B135">
        <v>5</v>
      </c>
      <c r="C135" t="s">
        <v>188</v>
      </c>
      <c r="D135" t="s">
        <v>188</v>
      </c>
      <c r="E135" t="s">
        <v>20</v>
      </c>
      <c r="F135">
        <v>0</v>
      </c>
      <c r="G135">
        <v>0</v>
      </c>
      <c r="H135" t="s">
        <v>58</v>
      </c>
      <c r="I135" t="s">
        <v>57</v>
      </c>
      <c r="J135" t="s">
        <v>57</v>
      </c>
      <c r="K135" s="2"/>
      <c r="L135" s="2"/>
      <c r="N135" s="4" t="s">
        <v>435</v>
      </c>
      <c r="O135" s="2" t="str">
        <f t="shared" si="13"/>
        <v xml:space="preserve">      .AddAttribute(  5, "FamilyStatus", "FamilyStatus", "integer", 0, 0, true, false, "", "", "family status for the person")</v>
      </c>
    </row>
    <row r="136" spans="1:15" x14ac:dyDescent="0.45">
      <c r="A136" t="s">
        <v>112</v>
      </c>
      <c r="B136">
        <v>6</v>
      </c>
      <c r="C136" t="s">
        <v>193</v>
      </c>
      <c r="D136" t="s">
        <v>193</v>
      </c>
      <c r="E136" t="s">
        <v>22</v>
      </c>
      <c r="F136">
        <v>0</v>
      </c>
      <c r="G136">
        <v>0</v>
      </c>
      <c r="H136" t="s">
        <v>57</v>
      </c>
      <c r="I136" t="s">
        <v>57</v>
      </c>
      <c r="J136" t="s">
        <v>57</v>
      </c>
      <c r="K136" s="2"/>
      <c r="L136" s="2"/>
      <c r="N136" s="4" t="s">
        <v>436</v>
      </c>
      <c r="O136" s="2" t="str">
        <f t="shared" si="13"/>
        <v xml:space="preserve">      .AddAttribute(  6, "FamilyStatusSince", "FamilyStatusSince", "date", 0, 0, false, false, "", "", "the date from which the current family status applies.")</v>
      </c>
    </row>
    <row r="137" spans="1:15" x14ac:dyDescent="0.45">
      <c r="A137" t="s">
        <v>112</v>
      </c>
      <c r="B137">
        <v>7</v>
      </c>
      <c r="C137" t="s">
        <v>166</v>
      </c>
      <c r="D137" t="s">
        <v>166</v>
      </c>
      <c r="E137" t="s">
        <v>22</v>
      </c>
      <c r="F137">
        <v>0</v>
      </c>
      <c r="G137">
        <v>0</v>
      </c>
      <c r="H137" t="s">
        <v>57</v>
      </c>
      <c r="I137" t="s">
        <v>57</v>
      </c>
      <c r="J137" t="s">
        <v>57</v>
      </c>
      <c r="K137" s="2"/>
      <c r="L137" s="2"/>
      <c r="N137" s="4" t="s">
        <v>437</v>
      </c>
      <c r="O137" s="2" t="str">
        <f t="shared" si="13"/>
        <v xml:space="preserve">      .AddAttribute(  7, "Birthday", "Birthday", "date", 0, 0, false, false, "", "", "birthday of a natural person. This attribute is unused for legal entrities")</v>
      </c>
    </row>
    <row r="138" spans="1:15" x14ac:dyDescent="0.45">
      <c r="A138" t="s">
        <v>112</v>
      </c>
      <c r="B138">
        <v>8</v>
      </c>
      <c r="C138" t="s">
        <v>132</v>
      </c>
      <c r="D138" t="s">
        <v>132</v>
      </c>
      <c r="E138" t="s">
        <v>77</v>
      </c>
      <c r="F138">
        <v>0</v>
      </c>
      <c r="G138">
        <v>0</v>
      </c>
      <c r="H138" t="s">
        <v>57</v>
      </c>
      <c r="I138" t="s">
        <v>57</v>
      </c>
      <c r="J138" t="s">
        <v>57</v>
      </c>
      <c r="K138" s="2"/>
      <c r="L138" s="2"/>
      <c r="N138" s="4" t="s">
        <v>438</v>
      </c>
      <c r="O138" s="2" t="str">
        <f t="shared" si="13"/>
        <v xml:space="preserve">      .AddAttribute(  8, "Notes", "Notes", "text", 0, 0, false, false, "", "", "notes, with additional / free information for this tperson, not used in application")</v>
      </c>
    </row>
    <row r="139" spans="1:15" x14ac:dyDescent="0.45">
      <c r="N139" s="4"/>
    </row>
    <row r="140" spans="1:15" x14ac:dyDescent="0.45">
      <c r="A140" t="s">
        <v>113</v>
      </c>
      <c r="B140">
        <v>0</v>
      </c>
      <c r="C140" t="s">
        <v>127</v>
      </c>
      <c r="D140" t="s">
        <v>172</v>
      </c>
      <c r="E140" t="s">
        <v>168</v>
      </c>
      <c r="H140" t="s">
        <v>169</v>
      </c>
      <c r="I140" t="s">
        <v>170</v>
      </c>
      <c r="K140" s="2"/>
      <c r="L140" s="2"/>
      <c r="N140" s="4"/>
      <c r="O140" s="2" t="str">
        <f>CONCATENATE("   ",$O$1,".AddTable(","""",A140,""", ",CONCATENATE("EMyEntityType::",E140),", """,IF(ISERROR(FIND(".",C140)),"",RIGHT(C140, LEN(C140) - FIND(".",C140))),""", """,IF(ISERROR(FIND(".",C140)),"",LEFT(C140, FIND(".",C140)-1)),""", """,IF(ISERROR(FIND("::",D140)),"",RIGHT(D140, LEN(D140) - FIND("::",D140)-1)),""", """,IF(ISERROR(FIND("::",D140)),"",LEFT(D140, FIND("::",D140)-1)),""", """,H140,""", """,I140,""", """,N140,""")")</f>
        <v xml:space="preserve">   dictionary.AddTable("Phone", EMyEntityType::table, "Phone", "dbo", "Phone", "myTest", "System", "SQL", "")</v>
      </c>
    </row>
    <row r="141" spans="1:15" x14ac:dyDescent="0.45">
      <c r="A141" t="s">
        <v>113</v>
      </c>
      <c r="B141">
        <v>1</v>
      </c>
      <c r="C141" t="s">
        <v>134</v>
      </c>
      <c r="D141" t="s">
        <v>134</v>
      </c>
      <c r="E141" t="s">
        <v>20</v>
      </c>
      <c r="F141">
        <v>0</v>
      </c>
      <c r="G141">
        <v>0</v>
      </c>
      <c r="H141" t="s">
        <v>58</v>
      </c>
      <c r="I141" t="s">
        <v>58</v>
      </c>
      <c r="J141" t="s">
        <v>57</v>
      </c>
      <c r="K141" s="2"/>
      <c r="L141" s="2"/>
      <c r="N141" s="4"/>
      <c r="O141" s="2" t="str">
        <f t="shared" ref="O141:O145" si="14">CONCATENATE("      .AddAttribute(",REPT(" ",3-LEN(TEXT(B141, "0"))),TEXT(B141, "0"),", """,C141,""", """,D141,""", """,E141,""", ",F141,", ",G141,", ",H141,", ",I141,", """,K141,""", """,L141,""", """,N141,"""",    ")")</f>
        <v xml:space="preserve">      .AddAttribute(  1, "ID", "ID", "integer", 0, 0, true, true, "", "", "")</v>
      </c>
    </row>
    <row r="142" spans="1:15" x14ac:dyDescent="0.45">
      <c r="A142" t="s">
        <v>113</v>
      </c>
      <c r="B142">
        <v>2</v>
      </c>
      <c r="C142" t="s">
        <v>140</v>
      </c>
      <c r="D142" t="s">
        <v>140</v>
      </c>
      <c r="E142" t="s">
        <v>20</v>
      </c>
      <c r="F142">
        <v>0</v>
      </c>
      <c r="G142">
        <v>0</v>
      </c>
      <c r="H142" t="s">
        <v>58</v>
      </c>
      <c r="I142" t="s">
        <v>58</v>
      </c>
      <c r="J142" t="s">
        <v>57</v>
      </c>
      <c r="K142" s="2"/>
      <c r="L142" s="2"/>
      <c r="N142" s="4"/>
      <c r="O142" s="2" t="str">
        <f t="shared" si="14"/>
        <v xml:space="preserve">      .AddAttribute(  2, "PhoneType", "PhoneType", "integer", 0, 0, true, true, "", "", "")</v>
      </c>
    </row>
    <row r="143" spans="1:15" x14ac:dyDescent="0.45">
      <c r="A143" t="s">
        <v>113</v>
      </c>
      <c r="B143">
        <v>3</v>
      </c>
      <c r="C143" t="s">
        <v>141</v>
      </c>
      <c r="D143" t="s">
        <v>141</v>
      </c>
      <c r="E143" t="s">
        <v>19</v>
      </c>
      <c r="F143">
        <v>10</v>
      </c>
      <c r="G143">
        <v>0</v>
      </c>
      <c r="H143" t="s">
        <v>58</v>
      </c>
      <c r="I143" t="s">
        <v>57</v>
      </c>
      <c r="J143" t="s">
        <v>57</v>
      </c>
      <c r="K143" s="2"/>
      <c r="L143" s="2"/>
      <c r="N143" s="4"/>
      <c r="O143" s="2" t="str">
        <f t="shared" si="14"/>
        <v xml:space="preserve">      .AddAttribute(  3, "AreaCode", "AreaCode", "varchar", 10, 0, true, false, "", "", "")</v>
      </c>
    </row>
    <row r="144" spans="1:15" x14ac:dyDescent="0.45">
      <c r="A144" t="s">
        <v>113</v>
      </c>
      <c r="B144">
        <v>4</v>
      </c>
      <c r="C144" t="s">
        <v>142</v>
      </c>
      <c r="D144" t="s">
        <v>142</v>
      </c>
      <c r="E144" t="s">
        <v>19</v>
      </c>
      <c r="F144">
        <v>13</v>
      </c>
      <c r="G144">
        <v>0</v>
      </c>
      <c r="H144" t="s">
        <v>58</v>
      </c>
      <c r="I144" t="s">
        <v>57</v>
      </c>
      <c r="J144" t="s">
        <v>57</v>
      </c>
      <c r="K144" s="2"/>
      <c r="L144" s="2"/>
      <c r="N144" s="4"/>
      <c r="O144" s="2" t="str">
        <f t="shared" si="14"/>
        <v xml:space="preserve">      .AddAttribute(  4, "CallNumber", "CallNumber", "varchar", 13, 0, true, false, "", "", "")</v>
      </c>
    </row>
    <row r="145" spans="1:15" x14ac:dyDescent="0.45">
      <c r="A145" t="s">
        <v>113</v>
      </c>
      <c r="B145">
        <v>5</v>
      </c>
      <c r="C145" t="s">
        <v>139</v>
      </c>
      <c r="D145" t="s">
        <v>139</v>
      </c>
      <c r="E145" t="s">
        <v>20</v>
      </c>
      <c r="F145">
        <v>0</v>
      </c>
      <c r="G145">
        <v>0</v>
      </c>
      <c r="H145" t="s">
        <v>58</v>
      </c>
      <c r="I145" t="s">
        <v>57</v>
      </c>
      <c r="J145" t="s">
        <v>57</v>
      </c>
      <c r="K145" s="2"/>
      <c r="L145" s="2"/>
      <c r="N145" s="4"/>
      <c r="O145" s="2" t="str">
        <f t="shared" si="14"/>
        <v xml:space="preserve">      .AddAttribute(  5, "Country", "Country", "integer", 0, 0, true, false, "", "", "")</v>
      </c>
    </row>
    <row r="146" spans="1:15" x14ac:dyDescent="0.45">
      <c r="N146" s="4"/>
    </row>
    <row r="147" spans="1:15" x14ac:dyDescent="0.45">
      <c r="A147" t="s">
        <v>143</v>
      </c>
      <c r="B147">
        <v>0</v>
      </c>
      <c r="C147" t="s">
        <v>128</v>
      </c>
      <c r="D147" t="s">
        <v>173</v>
      </c>
      <c r="E147" t="s">
        <v>168</v>
      </c>
      <c r="H147" t="s">
        <v>169</v>
      </c>
      <c r="I147" t="s">
        <v>170</v>
      </c>
      <c r="K147" s="2"/>
      <c r="L147" s="2"/>
      <c r="N147" s="4" t="s">
        <v>251</v>
      </c>
      <c r="O147" s="2" t="str">
        <f>CONCATENATE("   ",$O$1,".AddTable(","""",A147,""", ",CONCATENATE("EMyEntityType::",E147),", """,IF(ISERROR(FIND(".",C147)),"",RIGHT(C147, LEN(C147) - FIND(".",C147))),""", """,IF(ISERROR(FIND(".",C147)),"",LEFT(C147, FIND(".",C147)-1)),""", """,IF(ISERROR(FIND("::",D147)),"",RIGHT(D147, LEN(D147) - FIND("::",D147)-1)),""", """,IF(ISERROR(FIND("::",D147)),"",LEFT(D147, FIND("::",D147)-1)),""", """,H147,""", """,I147,""", """,N147,""")")</f>
        <v xml:space="preserve">   dictionary.AddTable("PhonesTypes", EMyEntityType::table, "PhoneTypes", "dbo", "PhonesTypes", "myTest", "System", "SQL", "domain / range of values for phone types, this is an extension of the relationship between persons and phone.")</v>
      </c>
    </row>
    <row r="148" spans="1:15" x14ac:dyDescent="0.45">
      <c r="A148" t="s">
        <v>143</v>
      </c>
      <c r="B148">
        <v>1</v>
      </c>
      <c r="C148" t="s">
        <v>134</v>
      </c>
      <c r="D148" t="s">
        <v>134</v>
      </c>
      <c r="E148" t="s">
        <v>20</v>
      </c>
      <c r="F148">
        <v>0</v>
      </c>
      <c r="G148">
        <v>0</v>
      </c>
      <c r="H148" t="s">
        <v>58</v>
      </c>
      <c r="I148" t="s">
        <v>58</v>
      </c>
      <c r="J148" t="s">
        <v>57</v>
      </c>
      <c r="K148" s="2"/>
      <c r="L148" s="2"/>
      <c r="N148" s="4" t="s">
        <v>252</v>
      </c>
      <c r="O148" s="2" t="str">
        <f t="shared" ref="O148:O153" si="15">CONCATENATE("      .AddAttribute(",REPT(" ",3-LEN(TEXT(B148, "0"))),TEXT(B148, "0"),", """,C148,""", """,D148,""", """,E148,""", ",F148,", ",G148,", ",H148,", ",I148,", """,K148,""", """,L148,""", """,N148,"""",    ")")</f>
        <v xml:space="preserve">      .AddAttribute(  1, "ID", "ID", "integer", 0, 0, true, true, "", "", "unique identification number for a record in this domain with phone types")</v>
      </c>
    </row>
    <row r="149" spans="1:15" x14ac:dyDescent="0.45">
      <c r="A149" t="s">
        <v>143</v>
      </c>
      <c r="B149">
        <v>2</v>
      </c>
      <c r="C149" t="s">
        <v>129</v>
      </c>
      <c r="D149" t="s">
        <v>129</v>
      </c>
      <c r="E149" t="s">
        <v>19</v>
      </c>
      <c r="F149">
        <v>50</v>
      </c>
      <c r="G149">
        <v>0</v>
      </c>
      <c r="H149" t="s">
        <v>58</v>
      </c>
      <c r="I149" t="s">
        <v>57</v>
      </c>
      <c r="J149" t="s">
        <v>58</v>
      </c>
      <c r="K149" s="2"/>
      <c r="L149" s="2"/>
      <c r="N149" s="4" t="s">
        <v>253</v>
      </c>
      <c r="O149" s="2" t="str">
        <f t="shared" si="15"/>
        <v xml:space="preserve">      .AddAttribute(  2, "Denotation", "Denotation", "varchar", 50, 0, true, false, "", "", "unique description of a phone type entity in the domain, used in selections, comboboxes, … (key canditate)")</v>
      </c>
    </row>
    <row r="150" spans="1:15" x14ac:dyDescent="0.45">
      <c r="A150" t="s">
        <v>143</v>
      </c>
      <c r="B150">
        <v>3</v>
      </c>
      <c r="C150" t="s">
        <v>130</v>
      </c>
      <c r="D150" t="s">
        <v>130</v>
      </c>
      <c r="E150" t="s">
        <v>19</v>
      </c>
      <c r="F150">
        <v>10</v>
      </c>
      <c r="G150">
        <v>0</v>
      </c>
      <c r="H150" t="s">
        <v>57</v>
      </c>
      <c r="I150" t="s">
        <v>57</v>
      </c>
      <c r="J150" t="s">
        <v>57</v>
      </c>
      <c r="K150" s="2"/>
      <c r="L150" s="2"/>
      <c r="N150" s="4" t="s">
        <v>254</v>
      </c>
      <c r="O150" s="2" t="str">
        <f t="shared" si="15"/>
        <v xml:space="preserve">      .AddAttribute(  3, "Abbreviation", "Abbreviation", "varchar", 10, 0, false, false, "", "", "non-representative abbreviation that can be used for a short advertisement for this phone  type")</v>
      </c>
    </row>
    <row r="151" spans="1:15" x14ac:dyDescent="0.45">
      <c r="A151" t="s">
        <v>143</v>
      </c>
      <c r="B151">
        <v>4</v>
      </c>
      <c r="C151" t="s">
        <v>131</v>
      </c>
      <c r="D151" t="s">
        <v>131</v>
      </c>
      <c r="E151" t="s">
        <v>77</v>
      </c>
      <c r="F151">
        <v>0</v>
      </c>
      <c r="G151">
        <v>0</v>
      </c>
      <c r="H151" t="s">
        <v>57</v>
      </c>
      <c r="I151" t="s">
        <v>57</v>
      </c>
      <c r="J151" t="s">
        <v>57</v>
      </c>
      <c r="K151" s="2"/>
      <c r="L151" s="2"/>
      <c r="N151" s="4" t="s">
        <v>255</v>
      </c>
      <c r="O151" s="2" t="str">
        <f t="shared" si="15"/>
        <v xml:space="preserve">      .AddAttribute(  4, "Description", "Description", "text", 0, 0, false, false, "", "", "detailed description of these phone  type,this is a self documentation, possible use as hint or to information in the programm")</v>
      </c>
    </row>
    <row r="152" spans="1:15" x14ac:dyDescent="0.45">
      <c r="A152" t="s">
        <v>143</v>
      </c>
      <c r="B152">
        <v>5</v>
      </c>
      <c r="C152" t="s">
        <v>132</v>
      </c>
      <c r="D152" t="s">
        <v>132</v>
      </c>
      <c r="E152" t="s">
        <v>77</v>
      </c>
      <c r="F152">
        <v>0</v>
      </c>
      <c r="G152">
        <v>0</v>
      </c>
      <c r="H152" t="s">
        <v>57</v>
      </c>
      <c r="I152" t="s">
        <v>57</v>
      </c>
      <c r="J152" t="s">
        <v>57</v>
      </c>
      <c r="K152" s="2"/>
      <c r="L152" s="2"/>
      <c r="N152" s="4" t="s">
        <v>236</v>
      </c>
      <c r="O152" s="2" t="str">
        <f t="shared" si="15"/>
        <v xml:space="preserve">      .AddAttribute(  5, "Notes", "Notes", "text", 0, 0, false, false, "", "", "notes, with additional / free information for this type of banking, not used in application")</v>
      </c>
    </row>
    <row r="153" spans="1:15" x14ac:dyDescent="0.45">
      <c r="A153" t="s">
        <v>143</v>
      </c>
      <c r="B153">
        <v>6</v>
      </c>
      <c r="C153" t="s">
        <v>133</v>
      </c>
      <c r="D153" t="s">
        <v>133</v>
      </c>
      <c r="E153" t="s">
        <v>27</v>
      </c>
      <c r="F153">
        <v>0</v>
      </c>
      <c r="G153">
        <v>0</v>
      </c>
      <c r="H153" t="s">
        <v>57</v>
      </c>
      <c r="I153" t="s">
        <v>57</v>
      </c>
      <c r="J153" t="s">
        <v>57</v>
      </c>
      <c r="K153" s="2"/>
      <c r="L153" s="2"/>
      <c r="N153" s="4" t="s">
        <v>256</v>
      </c>
      <c r="O153" s="2" t="str">
        <f t="shared" si="15"/>
        <v xml:space="preserve">      .AddAttribute(  6, "UrgentValue", "UrgentValue", "bool", 0, 0, false, false, "", "", "boolean value that makes this entity of phone type to a system value (cannot be changed as it is used directly by the program)")</v>
      </c>
    </row>
    <row r="154" spans="1:15" x14ac:dyDescent="0.45">
      <c r="N154" s="4"/>
    </row>
    <row r="155" spans="1:15" x14ac:dyDescent="0.45">
      <c r="A155" t="s">
        <v>183</v>
      </c>
      <c r="B155">
        <v>0</v>
      </c>
      <c r="C155" t="s">
        <v>184</v>
      </c>
      <c r="D155" t="s">
        <v>403</v>
      </c>
      <c r="E155" t="s">
        <v>168</v>
      </c>
      <c r="H155" t="s">
        <v>169</v>
      </c>
      <c r="I155" t="s">
        <v>170</v>
      </c>
      <c r="K155" s="2"/>
      <c r="L155" s="2"/>
      <c r="N155" s="4"/>
      <c r="O155" s="2" t="str">
        <f>CONCATENATE("   ",$O$1,".AddTable(","""",A155,""", ",CONCATENATE("EMyEntityType::",E155),", """,IF(ISERROR(FIND(".",C155)),"",RIGHT(C155, LEN(C155) - FIND(".",C155))),""", """,IF(ISERROR(FIND(".",C155)),"",LEFT(C155, FIND(".",C155)-1)),""", """,IF(ISERROR(FIND("::",D155)),"",RIGHT(D155, LEN(D155) - FIND("::",D155)-1)),""", """,IF(ISERROR(FIND("::",D155)),"",LEFT(D155, FIND("::",D155)-1)),""", """,H155,""", """,I155,""", """,N155,""")")</f>
        <v xml:space="preserve">   dictionary.AddTable("WorkingTime", EMyEntityType::table, "WorkingTime", "dbo", "WorkingTime", "mHR", "System", "SQL", "")</v>
      </c>
    </row>
    <row r="156" spans="1:15" x14ac:dyDescent="0.45">
      <c r="A156" t="s">
        <v>183</v>
      </c>
      <c r="B156">
        <v>1</v>
      </c>
      <c r="C156" t="s">
        <v>134</v>
      </c>
      <c r="D156" t="s">
        <v>134</v>
      </c>
      <c r="E156" t="s">
        <v>20</v>
      </c>
      <c r="F156">
        <v>0</v>
      </c>
      <c r="G156">
        <v>0</v>
      </c>
      <c r="H156" t="s">
        <v>58</v>
      </c>
      <c r="I156" t="s">
        <v>58</v>
      </c>
      <c r="J156" t="s">
        <v>57</v>
      </c>
      <c r="K156" s="2"/>
      <c r="L156" s="2"/>
      <c r="N156" s="4"/>
      <c r="O156" s="2" t="str">
        <f t="shared" ref="O156:O159" si="16">CONCATENATE("      .AddAttribute(",REPT(" ",3-LEN(TEXT(B156, "0"))),TEXT(B156, "0"),", """,C156,""", """,D156,""", """,E156,""", ",F156,", ",G156,", ",H156,", ",I156,", """,K156,""", """,L156,""", """,N156,"""",    ")")</f>
        <v xml:space="preserve">      .AddAttribute(  1, "ID", "ID", "integer", 0, 0, true, true, "", "", "")</v>
      </c>
    </row>
    <row r="157" spans="1:15" x14ac:dyDescent="0.45">
      <c r="A157" t="s">
        <v>183</v>
      </c>
      <c r="B157">
        <v>2</v>
      </c>
      <c r="C157" t="s">
        <v>185</v>
      </c>
      <c r="D157" t="s">
        <v>185</v>
      </c>
      <c r="E157" t="s">
        <v>30</v>
      </c>
      <c r="F157">
        <v>0</v>
      </c>
      <c r="G157">
        <v>0</v>
      </c>
      <c r="H157" t="s">
        <v>58</v>
      </c>
      <c r="I157" t="s">
        <v>58</v>
      </c>
      <c r="J157" t="s">
        <v>57</v>
      </c>
      <c r="K157" s="2"/>
      <c r="L157" s="2"/>
      <c r="N157" s="4"/>
      <c r="O157" s="2" t="str">
        <f t="shared" si="16"/>
        <v xml:space="preserve">      .AddAttribute(  2, "StartingTime", "StartingTime", "datetime", 0, 0, true, true, "", "", "")</v>
      </c>
    </row>
    <row r="158" spans="1:15" x14ac:dyDescent="0.45">
      <c r="A158" t="s">
        <v>183</v>
      </c>
      <c r="B158">
        <v>3</v>
      </c>
      <c r="C158" t="s">
        <v>186</v>
      </c>
      <c r="D158" t="s">
        <v>186</v>
      </c>
      <c r="E158" t="s">
        <v>30</v>
      </c>
      <c r="F158">
        <v>0</v>
      </c>
      <c r="G158">
        <v>0</v>
      </c>
      <c r="H158" t="s">
        <v>57</v>
      </c>
      <c r="I158" t="s">
        <v>57</v>
      </c>
      <c r="J158" t="s">
        <v>57</v>
      </c>
      <c r="K158" s="2"/>
      <c r="L158" s="2"/>
      <c r="N158" s="4"/>
      <c r="O158" s="2" t="str">
        <f t="shared" si="16"/>
        <v xml:space="preserve">      .AddAttribute(  3, "ClosingTime", "ClosingTime", "datetime", 0, 0, false, false, "", "", "")</v>
      </c>
    </row>
    <row r="159" spans="1:15" x14ac:dyDescent="0.45">
      <c r="A159" t="s">
        <v>183</v>
      </c>
      <c r="B159">
        <v>4</v>
      </c>
      <c r="C159" t="s">
        <v>187</v>
      </c>
      <c r="D159" t="s">
        <v>187</v>
      </c>
      <c r="E159" t="s">
        <v>27</v>
      </c>
      <c r="F159">
        <v>0</v>
      </c>
      <c r="G159">
        <v>0</v>
      </c>
      <c r="H159" t="s">
        <v>58</v>
      </c>
      <c r="I159" t="s">
        <v>57</v>
      </c>
      <c r="J159" t="s">
        <v>57</v>
      </c>
      <c r="K159" s="2"/>
      <c r="L159" s="2"/>
      <c r="N159" s="4"/>
      <c r="O159" s="2" t="str">
        <f t="shared" si="16"/>
        <v xml:space="preserve">      .AddAttribute(  4, "Processed ", "Processed ", "bool", 0, 0, true, false, "", "", "")</v>
      </c>
    </row>
    <row r="160" spans="1:15" x14ac:dyDescent="0.45">
      <c r="N160" s="4"/>
    </row>
    <row r="161" spans="1:15" x14ac:dyDescent="0.45">
      <c r="A161" t="s">
        <v>188</v>
      </c>
      <c r="B161">
        <v>0</v>
      </c>
      <c r="C161" t="s">
        <v>189</v>
      </c>
      <c r="D161" t="s">
        <v>190</v>
      </c>
      <c r="E161" t="s">
        <v>168</v>
      </c>
      <c r="H161" t="s">
        <v>169</v>
      </c>
      <c r="I161" t="s">
        <v>170</v>
      </c>
      <c r="K161" s="2"/>
      <c r="L161" s="2"/>
      <c r="N161" s="4"/>
      <c r="O161" s="2" t="str">
        <f>CONCATENATE("   ",$O$1,".AddTable(","""",A161,""", ",CONCATENATE("EMyEntityType::",E161),", """,IF(ISERROR(FIND(".",C161)),"",RIGHT(C161, LEN(C161) - FIND(".",C161))),""", """,IF(ISERROR(FIND(".",C161)),"",LEFT(C161, FIND(".",C161)-1)),""", """,IF(ISERROR(FIND("::",D161)),"",RIGHT(D161, LEN(D161) - FIND("::",D161)-1)),""", """,IF(ISERROR(FIND("::",D161)),"",LEFT(D161, FIND("::",D161)-1)),""", """,H161,""", """,I161,""", """,N161,""")")</f>
        <v xml:space="preserve">   dictionary.AddTable("FamilyStatus", EMyEntityType::table, "FamilyStatus", "dbo", "FamilyStatus", "myTest", "System", "SQL", "")</v>
      </c>
    </row>
    <row r="162" spans="1:15" x14ac:dyDescent="0.45">
      <c r="A162" t="s">
        <v>188</v>
      </c>
      <c r="B162">
        <v>1</v>
      </c>
      <c r="C162" t="s">
        <v>134</v>
      </c>
      <c r="D162" t="s">
        <v>134</v>
      </c>
      <c r="E162" t="s">
        <v>20</v>
      </c>
      <c r="F162">
        <v>0</v>
      </c>
      <c r="G162">
        <v>0</v>
      </c>
      <c r="H162" t="s">
        <v>58</v>
      </c>
      <c r="I162" t="s">
        <v>58</v>
      </c>
      <c r="J162" t="s">
        <v>57</v>
      </c>
      <c r="K162" s="2"/>
      <c r="L162" s="2"/>
      <c r="N162" s="4"/>
      <c r="O162" s="2" t="str">
        <f t="shared" ref="O162:O168" si="17">CONCATENATE("      .AddAttribute(",REPT(" ",3-LEN(TEXT(B162, "0"))),TEXT(B162, "0"),", """,C162,""", """,D162,""", """,E162,""", ",F162,", ",G162,", ",H162,", ",I162,", """,K162,""", """,L162,""", """,N162,"""",    ")")</f>
        <v xml:space="preserve">      .AddAttribute(  1, "ID", "ID", "integer", 0, 0, true, true, "", "", "")</v>
      </c>
    </row>
    <row r="163" spans="1:15" x14ac:dyDescent="0.45">
      <c r="A163" t="s">
        <v>188</v>
      </c>
      <c r="B163">
        <v>2</v>
      </c>
      <c r="C163" t="s">
        <v>129</v>
      </c>
      <c r="D163" t="s">
        <v>129</v>
      </c>
      <c r="E163" t="s">
        <v>19</v>
      </c>
      <c r="F163">
        <v>50</v>
      </c>
      <c r="G163">
        <v>0</v>
      </c>
      <c r="H163" t="s">
        <v>58</v>
      </c>
      <c r="I163" t="s">
        <v>57</v>
      </c>
      <c r="J163" t="s">
        <v>58</v>
      </c>
      <c r="K163" s="2"/>
      <c r="L163" s="2"/>
      <c r="N163" s="4"/>
      <c r="O163" s="2" t="str">
        <f t="shared" si="17"/>
        <v xml:space="preserve">      .AddAttribute(  2, "Denotation", "Denotation", "varchar", 50, 0, true, false, "", "", "")</v>
      </c>
    </row>
    <row r="164" spans="1:15" x14ac:dyDescent="0.45">
      <c r="A164" t="s">
        <v>188</v>
      </c>
      <c r="B164">
        <v>3</v>
      </c>
      <c r="C164" t="s">
        <v>130</v>
      </c>
      <c r="D164" t="s">
        <v>130</v>
      </c>
      <c r="E164" t="s">
        <v>19</v>
      </c>
      <c r="F164">
        <v>10</v>
      </c>
      <c r="G164">
        <v>0</v>
      </c>
      <c r="H164" t="s">
        <v>57</v>
      </c>
      <c r="I164" t="s">
        <v>57</v>
      </c>
      <c r="J164" t="s">
        <v>57</v>
      </c>
      <c r="K164" s="2"/>
      <c r="L164" s="2"/>
      <c r="N164" s="4"/>
      <c r="O164" s="2" t="str">
        <f t="shared" si="17"/>
        <v xml:space="preserve">      .AddAttribute(  3, "Abbreviation", "Abbreviation", "varchar", 10, 0, false, false, "", "", "")</v>
      </c>
    </row>
    <row r="165" spans="1:15" x14ac:dyDescent="0.45">
      <c r="A165" t="s">
        <v>188</v>
      </c>
      <c r="B165">
        <v>4</v>
      </c>
      <c r="C165" t="s">
        <v>131</v>
      </c>
      <c r="D165" t="s">
        <v>131</v>
      </c>
      <c r="E165" t="s">
        <v>77</v>
      </c>
      <c r="F165">
        <v>0</v>
      </c>
      <c r="G165">
        <v>0</v>
      </c>
      <c r="H165" t="s">
        <v>57</v>
      </c>
      <c r="I165" t="s">
        <v>57</v>
      </c>
      <c r="J165" t="s">
        <v>57</v>
      </c>
      <c r="K165" s="2"/>
      <c r="L165" s="2"/>
      <c r="N165" s="4"/>
      <c r="O165" s="2" t="str">
        <f t="shared" si="17"/>
        <v xml:space="preserve">      .AddAttribute(  4, "Description", "Description", "text", 0, 0, false, false, "", "", "")</v>
      </c>
    </row>
    <row r="166" spans="1:15" x14ac:dyDescent="0.45">
      <c r="A166" t="s">
        <v>188</v>
      </c>
      <c r="B166">
        <v>5</v>
      </c>
      <c r="C166" t="s">
        <v>191</v>
      </c>
      <c r="D166" t="s">
        <v>191</v>
      </c>
      <c r="E166" t="s">
        <v>27</v>
      </c>
      <c r="F166">
        <v>0</v>
      </c>
      <c r="G166">
        <v>0</v>
      </c>
      <c r="H166" t="s">
        <v>57</v>
      </c>
      <c r="I166" t="s">
        <v>57</v>
      </c>
      <c r="J166" t="s">
        <v>57</v>
      </c>
      <c r="K166" s="2"/>
      <c r="L166" s="2"/>
      <c r="N166" s="4"/>
      <c r="O166" s="2" t="str">
        <f t="shared" si="17"/>
        <v xml:space="preserve">      .AddAttribute(  5, "Coupled", "Coupled", "bool", 0, 0, false, false, "", "", "")</v>
      </c>
    </row>
    <row r="167" spans="1:15" x14ac:dyDescent="0.45">
      <c r="A167" t="s">
        <v>188</v>
      </c>
      <c r="B167">
        <v>6</v>
      </c>
      <c r="C167" t="s">
        <v>192</v>
      </c>
      <c r="D167" t="s">
        <v>192</v>
      </c>
      <c r="E167" t="s">
        <v>27</v>
      </c>
      <c r="F167">
        <v>0</v>
      </c>
      <c r="G167">
        <v>0</v>
      </c>
      <c r="H167" t="s">
        <v>57</v>
      </c>
      <c r="I167" t="s">
        <v>57</v>
      </c>
      <c r="J167" t="s">
        <v>57</v>
      </c>
      <c r="K167" s="2"/>
      <c r="L167" s="2"/>
      <c r="N167" s="4"/>
      <c r="O167" s="2" t="str">
        <f t="shared" si="17"/>
        <v xml:space="preserve">      .AddAttribute(  6, "NeedDate", "NeedDate", "bool", 0, 0, false, false, "", "", "")</v>
      </c>
    </row>
    <row r="168" spans="1:15" x14ac:dyDescent="0.45">
      <c r="A168" t="s">
        <v>188</v>
      </c>
      <c r="B168">
        <v>7</v>
      </c>
      <c r="C168" t="s">
        <v>133</v>
      </c>
      <c r="D168" t="s">
        <v>133</v>
      </c>
      <c r="E168" t="s">
        <v>27</v>
      </c>
      <c r="F168">
        <v>0</v>
      </c>
      <c r="G168">
        <v>0</v>
      </c>
      <c r="H168" t="s">
        <v>57</v>
      </c>
      <c r="I168" t="s">
        <v>57</v>
      </c>
      <c r="J168" t="s">
        <v>57</v>
      </c>
      <c r="K168" s="2"/>
      <c r="L168" s="2"/>
      <c r="N168" s="4" t="s">
        <v>256</v>
      </c>
      <c r="O168" s="2" t="str">
        <f t="shared" si="17"/>
        <v xml:space="preserve">      .AddAttribute(  7, "UrgentValue", "UrgentValue", "bool", 0, 0, false, false, "", "", "boolean value that makes this entity of phone type to a system value (cannot be changed as it is used directly by the program)")</v>
      </c>
    </row>
    <row r="170" spans="1:15" x14ac:dyDescent="0.45">
      <c r="A170" t="s">
        <v>317</v>
      </c>
      <c r="C170" t="s">
        <v>351</v>
      </c>
      <c r="D170" t="s">
        <v>404</v>
      </c>
      <c r="E170" t="s">
        <v>168</v>
      </c>
      <c r="H170" t="s">
        <v>169</v>
      </c>
      <c r="I170" t="s">
        <v>170</v>
      </c>
      <c r="N170" s="4"/>
      <c r="O170" s="2" t="str">
        <f>CONCATENATE("   ",$O$1,".AddTable(","""",A170,""", ",CONCATENATE("EMyEntityType::",E170),", """,IF(ISERROR(FIND(".",C170)),"",RIGHT(C170, LEN(C170) - FIND(".",C170))),""", """,IF(ISERROR(FIND(".",C170)),"",LEFT(C170, FIND(".",C170)-1)),""", """,IF(ISERROR(FIND("::",D170)),"",RIGHT(D170, LEN(D170) - FIND("::",D170)-1)),""", """,IF(ISERROR(FIND("::",D170)),"",LEFT(D170, FIND("::",D170)-1)),""", """,H170,""", """,I170,""", """,N170,""")")</f>
        <v xml:space="preserve">   dictionary.AddTable("TaxClasses", EMyEntityType::table, "TaxClasses", "dbo", "TaxClasses", "myHR", "System", "SQL", "")</v>
      </c>
    </row>
    <row r="171" spans="1:15" x14ac:dyDescent="0.45">
      <c r="A171" t="s">
        <v>317</v>
      </c>
      <c r="B171">
        <v>1</v>
      </c>
      <c r="C171" t="s">
        <v>134</v>
      </c>
      <c r="D171" t="s">
        <v>134</v>
      </c>
      <c r="E171" t="s">
        <v>20</v>
      </c>
      <c r="F171">
        <v>0</v>
      </c>
      <c r="G171">
        <v>0</v>
      </c>
      <c r="H171" t="s">
        <v>58</v>
      </c>
      <c r="I171" t="s">
        <v>58</v>
      </c>
      <c r="J171" t="s">
        <v>57</v>
      </c>
      <c r="N171" s="4"/>
      <c r="O171" s="2" t="str">
        <f t="shared" ref="O171:O176" si="18">CONCATENATE("      .AddAttribute(",REPT(" ",3-LEN(TEXT(B171, "0"))),TEXT(B171, "0"),", """,C171,""", """,D171,""", """,E171,""", ",F171,", ",G171,", ",H171,", ",I171,", """,K171,""", """,L171,""", """,N171,"""",    ")")</f>
        <v xml:space="preserve">      .AddAttribute(  1, "ID", "ID", "integer", 0, 0, true, true, "", "", "")</v>
      </c>
    </row>
    <row r="172" spans="1:15" x14ac:dyDescent="0.45">
      <c r="A172" t="s">
        <v>317</v>
      </c>
      <c r="B172">
        <v>2</v>
      </c>
      <c r="C172" t="s">
        <v>129</v>
      </c>
      <c r="D172" t="s">
        <v>129</v>
      </c>
      <c r="E172" t="s">
        <v>19</v>
      </c>
      <c r="F172">
        <v>50</v>
      </c>
      <c r="G172">
        <v>0</v>
      </c>
      <c r="H172" t="s">
        <v>58</v>
      </c>
      <c r="I172" t="s">
        <v>57</v>
      </c>
      <c r="J172" t="s">
        <v>58</v>
      </c>
      <c r="N172" s="4"/>
      <c r="O172" s="2" t="str">
        <f t="shared" si="18"/>
        <v xml:space="preserve">      .AddAttribute(  2, "Denotation", "Denotation", "varchar", 50, 0, true, false, "", "", "")</v>
      </c>
    </row>
    <row r="173" spans="1:15" x14ac:dyDescent="0.45">
      <c r="A173" t="s">
        <v>317</v>
      </c>
      <c r="B173">
        <v>3</v>
      </c>
      <c r="C173" t="s">
        <v>130</v>
      </c>
      <c r="D173" t="s">
        <v>130</v>
      </c>
      <c r="E173" t="s">
        <v>19</v>
      </c>
      <c r="F173">
        <v>10</v>
      </c>
      <c r="G173">
        <v>0</v>
      </c>
      <c r="H173" t="s">
        <v>57</v>
      </c>
      <c r="I173" t="s">
        <v>57</v>
      </c>
      <c r="J173" t="s">
        <v>57</v>
      </c>
      <c r="N173" s="4"/>
      <c r="O173" s="2" t="str">
        <f t="shared" si="18"/>
        <v xml:space="preserve">      .AddAttribute(  3, "Abbreviation", "Abbreviation", "varchar", 10, 0, false, false, "", "", "")</v>
      </c>
    </row>
    <row r="174" spans="1:15" x14ac:dyDescent="0.45">
      <c r="A174" t="s">
        <v>317</v>
      </c>
      <c r="B174">
        <v>4</v>
      </c>
      <c r="C174" t="s">
        <v>131</v>
      </c>
      <c r="D174" t="s">
        <v>131</v>
      </c>
      <c r="E174" t="s">
        <v>77</v>
      </c>
      <c r="F174">
        <v>0</v>
      </c>
      <c r="G174">
        <v>0</v>
      </c>
      <c r="H174" t="s">
        <v>57</v>
      </c>
      <c r="I174" t="s">
        <v>57</v>
      </c>
      <c r="J174" t="s">
        <v>57</v>
      </c>
      <c r="N174" s="4"/>
      <c r="O174" s="2" t="str">
        <f t="shared" si="18"/>
        <v xml:space="preserve">      .AddAttribute(  4, "Description", "Description", "text", 0, 0, false, false, "", "", "")</v>
      </c>
    </row>
    <row r="175" spans="1:15" x14ac:dyDescent="0.45">
      <c r="A175" t="s">
        <v>317</v>
      </c>
      <c r="B175">
        <v>5</v>
      </c>
      <c r="C175" t="s">
        <v>191</v>
      </c>
      <c r="D175" t="s">
        <v>191</v>
      </c>
      <c r="E175" t="s">
        <v>27</v>
      </c>
      <c r="F175">
        <v>0</v>
      </c>
      <c r="G175">
        <v>0</v>
      </c>
      <c r="H175" t="s">
        <v>57</v>
      </c>
      <c r="I175" t="s">
        <v>57</v>
      </c>
      <c r="J175" t="s">
        <v>57</v>
      </c>
      <c r="N175" s="4"/>
      <c r="O175" s="2" t="str">
        <f t="shared" si="18"/>
        <v xml:space="preserve">      .AddAttribute(  5, "Coupled", "Coupled", "bool", 0, 0, false, false, "", "", "")</v>
      </c>
    </row>
    <row r="176" spans="1:15" x14ac:dyDescent="0.45">
      <c r="A176" t="s">
        <v>317</v>
      </c>
      <c r="B176">
        <v>6</v>
      </c>
      <c r="C176" t="s">
        <v>133</v>
      </c>
      <c r="D176" t="s">
        <v>133</v>
      </c>
      <c r="E176" t="s">
        <v>27</v>
      </c>
      <c r="F176">
        <v>0</v>
      </c>
      <c r="G176">
        <v>0</v>
      </c>
      <c r="H176" t="s">
        <v>57</v>
      </c>
      <c r="I176" t="s">
        <v>57</v>
      </c>
      <c r="J176" t="s">
        <v>57</v>
      </c>
      <c r="N176" s="4" t="s">
        <v>352</v>
      </c>
      <c r="O176"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39"/>
  <sheetViews>
    <sheetView workbookViewId="0">
      <selection activeCell="R19" sqref="R19"/>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97</v>
      </c>
      <c r="C2" t="s">
        <v>90</v>
      </c>
      <c r="D2" t="s">
        <v>98</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100</v>
      </c>
      <c r="B8" t="s">
        <v>222</v>
      </c>
      <c r="C8" t="s">
        <v>90</v>
      </c>
      <c r="D8" t="s">
        <v>223</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101</v>
      </c>
      <c r="B10" t="s">
        <v>220</v>
      </c>
      <c r="C10" t="s">
        <v>196</v>
      </c>
      <c r="D10" t="s">
        <v>221</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102</v>
      </c>
      <c r="B12" t="s">
        <v>240</v>
      </c>
      <c r="C12" t="s">
        <v>90</v>
      </c>
      <c r="D12" t="s">
        <v>241</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102</v>
      </c>
      <c r="B13" t="s">
        <v>393</v>
      </c>
      <c r="C13" t="s">
        <v>90</v>
      </c>
      <c r="D13" t="s">
        <v>394</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103</v>
      </c>
      <c r="B15" t="s">
        <v>249</v>
      </c>
      <c r="C15" t="s">
        <v>196</v>
      </c>
      <c r="D15" t="s">
        <v>250</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113</v>
      </c>
      <c r="B17" t="s">
        <v>447</v>
      </c>
      <c r="C17" t="s">
        <v>90</v>
      </c>
      <c r="D17" t="s">
        <v>448</v>
      </c>
      <c r="E17">
        <v>3</v>
      </c>
      <c r="F17" t="s">
        <v>58</v>
      </c>
      <c r="G17">
        <v>4</v>
      </c>
      <c r="H17" t="s">
        <v>58</v>
      </c>
      <c r="R17" t="str" cm="1">
        <f t="array" ref="R17">CONCATENATE("   .AddIndex(""",B17,""", ",CONCATENATE("EMyIndexType::",C17),", """,D17,""", ",ListePaare(E17:P17)," )")</f>
        <v xml:space="preserve">   .AddIndex("idx_Phone_Number", EMyIndexType::undefined, "access path to search a phone number", { { 3, true }, { 4, true } } )</v>
      </c>
    </row>
    <row r="19" spans="1:18" x14ac:dyDescent="0.45">
      <c r="A19" t="s">
        <v>109</v>
      </c>
      <c r="B19" t="s">
        <v>457</v>
      </c>
      <c r="C19" t="s">
        <v>90</v>
      </c>
      <c r="D19" t="s">
        <v>458</v>
      </c>
      <c r="E19">
        <v>3</v>
      </c>
      <c r="F19" t="s">
        <v>58</v>
      </c>
      <c r="R19" t="str" cm="1">
        <f t="array" ref="R19">CONCATENATE("   .AddIndex(""",B19,""", ",CONCATENATE("EMyIndexType::",C19),", """,D19,""", ",ListePaare(E19:P19)," )")</f>
        <v xml:space="preserve">   .AddIndex("idxInternet_Address", EMyIndexType::undefined, "access path to seach a address of internet connection", { { 3, true } } )</v>
      </c>
    </row>
    <row r="21" spans="1:18" x14ac:dyDescent="0.45">
      <c r="A21" t="s">
        <v>105</v>
      </c>
      <c r="B21" t="s">
        <v>387</v>
      </c>
      <c r="C21" t="s">
        <v>196</v>
      </c>
      <c r="D21" t="s">
        <v>388</v>
      </c>
      <c r="E21">
        <v>2</v>
      </c>
      <c r="F21" t="s">
        <v>58</v>
      </c>
      <c r="R21" t="str" cm="1">
        <f t="array" ref="R21">CONCATENATE("   .AddIndex(""",B21,""", ",CONCATENATE("EMyIndexType::",C21),", """,D21,""", ",ListePaare(E21:P21)," )")</f>
        <v xml:space="preserve">   .AddIndex("uk_Departments_Denotation", EMyIndexType::key, "unique / representative denotation forthe department as key canditate for this entity", { { 2, true } } )</v>
      </c>
    </row>
    <row r="22" spans="1:18" x14ac:dyDescent="0.45">
      <c r="A22" t="s">
        <v>105</v>
      </c>
      <c r="B22" t="s">
        <v>429</v>
      </c>
      <c r="C22" t="s">
        <v>90</v>
      </c>
      <c r="D22" t="s">
        <v>428</v>
      </c>
      <c r="E22">
        <v>3</v>
      </c>
      <c r="F22" t="s">
        <v>58</v>
      </c>
      <c r="R22" t="str" cm="1">
        <f t="array" ref="R22">CONCATENATE("   .AddIndex(""",B22,""", ",CONCATENATE("EMyIndexType::",C22),", """,D22,""", ",ListePaare(E22:P22)," )")</f>
        <v xml:space="preserve">   .AddIndex("idx_Departments_Abbr", EMyIndexType::undefined, "search pass for abbreviations of departments", { { 3, true } } )</v>
      </c>
    </row>
    <row r="27" spans="1:18" x14ac:dyDescent="0.45">
      <c r="A27" t="s">
        <v>107</v>
      </c>
      <c r="B27" t="s">
        <v>385</v>
      </c>
      <c r="C27" t="s">
        <v>196</v>
      </c>
      <c r="D27" t="s">
        <v>386</v>
      </c>
      <c r="E27">
        <v>2</v>
      </c>
      <c r="F27" t="s">
        <v>58</v>
      </c>
      <c r="R27" t="str" cm="1">
        <f t="array" ref="R27">CONCATENATE("   .AddIndex(""",B27,""", ",CONCATENATE("EMyIndexType::",C27),", """,D27,""", ",ListePaare(E27:P27)," )")</f>
        <v xml:space="preserve">   .AddIndex("uk_FamilyTypes_Denotation", EMyIndexType::key, "unique / representative denotation for a family type (choosen gender) as key canditate for this entity", { { 2, true } } )</v>
      </c>
    </row>
    <row r="31" spans="1:18" x14ac:dyDescent="0.45">
      <c r="A31" t="s">
        <v>104</v>
      </c>
      <c r="B31" t="s">
        <v>389</v>
      </c>
      <c r="C31" t="s">
        <v>196</v>
      </c>
      <c r="D31" t="s">
        <v>391</v>
      </c>
      <c r="E31">
        <v>2</v>
      </c>
      <c r="F31" t="s">
        <v>58</v>
      </c>
      <c r="R31" t="str" cm="1">
        <f t="array" ref="R31">CONCATENATE("   .AddIndex(""",B31,""", ",CONCATENATE("EMyIndexType::",C31),", """,D31,""", ",ListePaare(E31:P31)," )")</f>
        <v xml:space="preserve">   .AddIndex("uk_Countries_Denotation", EMyIndexType::key, "unique / representative official name of the country as key canditate for this entity", { { 2, true } } )</v>
      </c>
    </row>
    <row r="32" spans="1:18" x14ac:dyDescent="0.45">
      <c r="A32" t="s">
        <v>104</v>
      </c>
      <c r="B32" t="s">
        <v>390</v>
      </c>
      <c r="C32" t="s">
        <v>196</v>
      </c>
      <c r="D32" t="s">
        <v>392</v>
      </c>
      <c r="E32">
        <v>6</v>
      </c>
      <c r="F32" t="s">
        <v>58</v>
      </c>
      <c r="R32" t="str" cm="1">
        <f t="array" ref="R32">CONCATENATE("   .AddIndex(""",B32,""", ",CONCATENATE("EMyIndexType::",C32),", """,D32,""", ",ListePaare(E32:P32)," )")</f>
        <v xml:space="preserve">   .AddIndex("uk_Countries_ISOCode", EMyIndexType::key, "unique / representative official iso code of the country as key canditate for this entity", { { 6, true } } )</v>
      </c>
    </row>
    <row r="34" spans="1:18" x14ac:dyDescent="0.45">
      <c r="A34" t="s">
        <v>106</v>
      </c>
      <c r="B34" t="s">
        <v>279</v>
      </c>
      <c r="C34" t="s">
        <v>196</v>
      </c>
      <c r="D34" t="s">
        <v>283</v>
      </c>
      <c r="E34">
        <v>2</v>
      </c>
      <c r="F34" t="s">
        <v>58</v>
      </c>
      <c r="R34" t="str" cm="1">
        <f t="array" ref="R34">CONCATENATE("   .AddIndex(""",B34,""", ",CONCATENATE("EMyIndexType::",C34),", """,D34,""", ",ListePaare(E34:P34)," )")</f>
        <v xml:space="preserve">   .AddIndex("uk_Employees_PersonNumber", EMyIndexType::key, "unique personal number of a employee in company (key canditate)", { { 2, true } } )</v>
      </c>
    </row>
    <row r="35" spans="1:18" x14ac:dyDescent="0.45">
      <c r="A35" t="s">
        <v>106</v>
      </c>
      <c r="B35" t="s">
        <v>282</v>
      </c>
      <c r="C35" t="s">
        <v>196</v>
      </c>
      <c r="D35" t="s">
        <v>284</v>
      </c>
      <c r="E35">
        <v>8</v>
      </c>
      <c r="F35" t="s">
        <v>58</v>
      </c>
      <c r="R35" t="str" cm="1">
        <f t="array" ref="R35">CONCATENATE("   .AddIndex(""",B35,""", ",CONCATENATE("EMyIndexType::",C35),", """,D35,""", ",ListePaare(E35:P35)," )")</f>
        <v xml:space="preserve">   .AddIndex("uk_Employees_SocialNumber", EMyIndexType::key, "extern unique number of an employee (key canditate)", { { 8, true } } )</v>
      </c>
    </row>
    <row r="36" spans="1:18" x14ac:dyDescent="0.45">
      <c r="A36" t="s">
        <v>106</v>
      </c>
      <c r="B36" t="s">
        <v>280</v>
      </c>
      <c r="C36" t="s">
        <v>90</v>
      </c>
      <c r="D36" t="s">
        <v>281</v>
      </c>
      <c r="E36">
        <v>6</v>
      </c>
      <c r="F36" t="s">
        <v>58</v>
      </c>
      <c r="R36" t="str" cm="1">
        <f t="array" ref="R36">CONCATENATE("   .AddIndex(""",B36,""", ",CONCATENATE("EMyIndexType::",C36),", """,D36,""", ",ListePaare(E36:P36)," )")</f>
        <v xml:space="preserve">   .AddIndex("idx_Employees_JobSpec", EMyIndexType::undefined, "access path to search for informations about job specifications", { { 6, true } } )</v>
      </c>
    </row>
    <row r="37" spans="1:18" x14ac:dyDescent="0.45">
      <c r="A37" t="s">
        <v>106</v>
      </c>
      <c r="B37" t="s">
        <v>293</v>
      </c>
      <c r="C37" t="s">
        <v>90</v>
      </c>
      <c r="D37" t="s">
        <v>294</v>
      </c>
      <c r="E37">
        <v>9</v>
      </c>
      <c r="F37" t="s">
        <v>58</v>
      </c>
      <c r="R37" t="str" cm="1">
        <f t="array" ref="R37">CONCATENATE("   .AddIndex(""",B37,""", ",CONCATENATE("EMyIndexType::",C37),", """,D37,""", ",ListePaare(E37:P37)," )")</f>
        <v xml:space="preserve">   .AddIndex("idx_Employees_Active", EMyIndexType::undefined, "access path to search / filter all active employees", { { 9, true } } )</v>
      </c>
    </row>
    <row r="39" spans="1:18" x14ac:dyDescent="0.45">
      <c r="A39" t="s">
        <v>112</v>
      </c>
      <c r="B39" t="s">
        <v>439</v>
      </c>
      <c r="C39" t="s">
        <v>90</v>
      </c>
      <c r="D39" t="s">
        <v>440</v>
      </c>
      <c r="E39">
        <v>2</v>
      </c>
      <c r="F39" t="s">
        <v>58</v>
      </c>
      <c r="G39">
        <v>3</v>
      </c>
      <c r="H39" t="s">
        <v>58</v>
      </c>
      <c r="R39" t="str" cm="1">
        <f t="array" ref="R39">CONCATENATE("   .AddIndex(""",B39,""", ",CONCATENATE("EMyIndexType::",C39),", """,D39,""", ",ListePaare(E39:P39)," )")</f>
        <v xml:space="preserve">   .AddIndex("idx_Person_Name_Firstname", EMyIndexType::undefined, "access path to search for name and / or firstname in a person", { { 2, true }, { 3,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A36"/>
  <sheetViews>
    <sheetView tabSelected="1" topLeftCell="F1" workbookViewId="0">
      <selection activeCell="AA7" sqref="AA7"/>
    </sheetView>
  </sheetViews>
  <sheetFormatPr baseColWidth="10" defaultRowHeight="14.25" x14ac:dyDescent="0.45"/>
  <cols>
    <col min="1" max="1" width="15.1328125" customWidth="1"/>
    <col min="2" max="2" width="24.9296875" customWidth="1"/>
    <col min="3" max="3" width="13.19921875" customWidth="1"/>
    <col min="4" max="13" width="3.59765625" customWidth="1"/>
    <col min="14" max="14" width="13.9296875" customWidth="1"/>
    <col min="15" max="24" width="3.59765625" customWidth="1"/>
    <col min="25" max="25" width="17.86328125" customWidth="1"/>
    <col min="26" max="26" width="58.9296875" customWidth="1"/>
    <col min="27" max="27" width="132.6640625" customWidth="1"/>
  </cols>
  <sheetData>
    <row r="1" spans="1:27" x14ac:dyDescent="0.45">
      <c r="A1" t="s">
        <v>81</v>
      </c>
      <c r="B1" t="s">
        <v>82</v>
      </c>
      <c r="N1" t="s">
        <v>83</v>
      </c>
      <c r="Y1" t="s">
        <v>131</v>
      </c>
      <c r="Z1" t="s">
        <v>59</v>
      </c>
      <c r="AA1" t="s">
        <v>60</v>
      </c>
    </row>
    <row r="2" spans="1:27" x14ac:dyDescent="0.45">
      <c r="A2" t="s">
        <v>23</v>
      </c>
      <c r="B2" t="s">
        <v>84</v>
      </c>
      <c r="C2" t="s">
        <v>94</v>
      </c>
      <c r="D2">
        <v>1</v>
      </c>
      <c r="E2">
        <v>3</v>
      </c>
      <c r="F2">
        <v>5</v>
      </c>
      <c r="N2" t="s">
        <v>23</v>
      </c>
      <c r="O2">
        <v>1</v>
      </c>
      <c r="P2">
        <v>7</v>
      </c>
      <c r="Q2">
        <v>5</v>
      </c>
      <c r="Z2" t="s">
        <v>99</v>
      </c>
      <c r="AA2" t="str" cm="1">
        <f t="array" ref="AA2">IF(LängeListe(D2:M2)=LängeListe(O2:X2),CONCATENATE("   ",$AA$1,".FindTable(""",A2,""").AddReference(""",B2,""", ",CONCATENATE("EMyReferenceType::",C2),",  """,N2,""", """,Z2,""", ",PaarListe(D2:M2,O2:X2)," );"),"nein")</f>
        <v xml:space="preserve">   dictionary.FindTable("Berlin").AddReference("refBerlin", EMyReferenceType::assoziation,  "Berlin", "Tabelle mit den ursprünglichen Importdaten von Berlin", { {1,1}, {3,7}, {5,5} } );</v>
      </c>
    </row>
    <row r="4" spans="1:27" x14ac:dyDescent="0.45">
      <c r="A4" t="s">
        <v>23</v>
      </c>
      <c r="B4" t="s">
        <v>84</v>
      </c>
      <c r="C4" t="s">
        <v>94</v>
      </c>
      <c r="D4">
        <v>1</v>
      </c>
      <c r="E4">
        <v>3</v>
      </c>
      <c r="F4">
        <v>5</v>
      </c>
      <c r="N4" t="s">
        <v>23</v>
      </c>
      <c r="O4">
        <v>1</v>
      </c>
      <c r="P4">
        <v>7</v>
      </c>
      <c r="Q4">
        <v>5</v>
      </c>
      <c r="AA4" t="str" cm="1">
        <f t="array" ref="AA4">IF(LängeListe(D4:M4)=LängeListe(O4:X4),CONCATENATE("   ",$AA$1,".FindTable(""",A4,""").AddReference(""",B4,""", ",CONCATENATE("EMyReferenceType::",C4),",  """,N4,""", """,Z4,""", ",PaarListe(D4:M4,O4:X4)," );"),"nein")</f>
        <v xml:space="preserve">   dictionary.FindTable("Berlin").AddReference("refBerlin", EMyReferenceType::assoziation,  "Berlin", "", { {1,1}, {3,7}, {5,5} } );</v>
      </c>
    </row>
    <row r="9" spans="1:27" x14ac:dyDescent="0.45">
      <c r="A9" t="s">
        <v>100</v>
      </c>
      <c r="B9" t="s">
        <v>205</v>
      </c>
      <c r="C9" t="s">
        <v>96</v>
      </c>
      <c r="D9">
        <v>1</v>
      </c>
      <c r="N9" t="s">
        <v>112</v>
      </c>
      <c r="O9">
        <v>1</v>
      </c>
      <c r="Y9" t="s">
        <v>396</v>
      </c>
      <c r="Z9" t="s">
        <v>397</v>
      </c>
      <c r="AA9" t="str" cm="1">
        <f t="array" ref="AA9">IF(LängeListe(D9:M9)=LängeListe(O9:X9),CONCATENATE("   .AddReference(""",B9,""", ",CONCATENATE("EMyReferenceType::",C9),",  """,N9,""", """,Y9,""", """,Z9,""", ",PaarListe(D9:M9,O9:X9)," )"),"nein")</f>
        <v xml:space="preserve">   .AddReference("refAddress2Person", EMyReferenceType::komposition,  "Person", "residential address", "part of- relationship from a person to the residential addresses", { {1,1} } )</v>
      </c>
    </row>
    <row r="10" spans="1:27" x14ac:dyDescent="0.45">
      <c r="A10" t="s">
        <v>100</v>
      </c>
      <c r="B10" t="s">
        <v>207</v>
      </c>
      <c r="C10" t="s">
        <v>93</v>
      </c>
      <c r="D10">
        <v>2</v>
      </c>
      <c r="N10" t="s">
        <v>101</v>
      </c>
      <c r="O10">
        <v>1</v>
      </c>
      <c r="Y10" t="s">
        <v>398</v>
      </c>
      <c r="Z10" t="s">
        <v>206</v>
      </c>
      <c r="AA10" t="str" cm="1">
        <f t="array" ref="AA10">IF(LängeListe(D10:M10)=LängeListe(O10:X10),CONCATENATE("   .AddReference(""",B10,""", ",CONCATENATE("EMyReferenceType::",C10),",  """,N10,""", """,Y10,""", """,Z10,""", ",PaarListe(D10:M10,O10:X10)," )"),"nein")</f>
        <v xml:space="preserve">   .AddReference("refAddress2AddressType", EMyReferenceType::range,  "AddressTypes", "has values", "range value to extent the relationship of a person to an address", { {2,1} } )</v>
      </c>
    </row>
    <row r="11" spans="1:27" x14ac:dyDescent="0.45">
      <c r="A11" t="s">
        <v>100</v>
      </c>
      <c r="B11" t="s">
        <v>208</v>
      </c>
      <c r="C11" t="s">
        <v>94</v>
      </c>
      <c r="D11">
        <v>7</v>
      </c>
      <c r="N11" t="s">
        <v>104</v>
      </c>
      <c r="O11">
        <v>1</v>
      </c>
      <c r="Y11" t="s">
        <v>399</v>
      </c>
      <c r="Z11" t="s">
        <v>246</v>
      </c>
      <c r="AA11" t="str" cm="1">
        <f t="array" ref="AA11">IF(LängeListe(D11:M11)=LängeListe(O11:X11),CONCATENATE("   .AddReference(""",B11,""", ",CONCATENATE("EMyReferenceType::",C11),",  """,N11,""", """,Y11,""", """,Z11,""", ",PaarListe(D11:M11,O11:X11)," )"),"nein")</f>
        <v xml:space="preserve">   .AddReference("refAddress2Countries", EMyReferenceType::assoziation,  "Countries", "belongs to", "key ID to the associated entity of Countries, where this address is located", { {7,1} } )</v>
      </c>
    </row>
    <row r="13" spans="1:27" x14ac:dyDescent="0.45">
      <c r="A13" t="s">
        <v>102</v>
      </c>
      <c r="B13" t="s">
        <v>243</v>
      </c>
      <c r="C13" t="s">
        <v>96</v>
      </c>
      <c r="D13">
        <v>1</v>
      </c>
      <c r="N13" t="s">
        <v>112</v>
      </c>
      <c r="O13">
        <v>1</v>
      </c>
      <c r="Y13" t="s">
        <v>402</v>
      </c>
      <c r="Z13" t="s">
        <v>247</v>
      </c>
      <c r="AA13" t="str" cm="1">
        <f t="array" ref="AA13">IF(LängeListe(D13:M13)=LängeListe(O13:X13),CONCATENATE("   .AddReference(""",B13,""", ",CONCATENATE("EMyReferenceType::",C13),",  """,N13,""", """,Y13,""", """,Z13,""", ",PaarListe(D13:M13,O13:X13)," )"),"nein")</f>
        <v xml:space="preserve">   .AddReference("refBanking2Person", EMyReferenceType::komposition,  "Person", "owns", "part of relationship from a banking account to the person who own it", { {1,1} } )</v>
      </c>
    </row>
    <row r="14" spans="1:27" x14ac:dyDescent="0.45">
      <c r="A14" t="s">
        <v>102</v>
      </c>
      <c r="B14" t="s">
        <v>244</v>
      </c>
      <c r="C14" t="s">
        <v>93</v>
      </c>
      <c r="D14">
        <v>2</v>
      </c>
      <c r="N14" t="s">
        <v>103</v>
      </c>
      <c r="O14">
        <v>1</v>
      </c>
      <c r="Y14" t="s">
        <v>398</v>
      </c>
      <c r="Z14" t="s">
        <v>248</v>
      </c>
      <c r="AA14" t="str" cm="1">
        <f t="array" ref="AA14">IF(LängeListe(D14:M14)=LängeListe(O14:X14),CONCATENATE("   .AddReference(""",B14,""", ",CONCATENATE("EMyReferenceType::",C14),",  """,N14,""", """,Y14,""", """,Z14,""", ",PaarListe(D14:M14,O14:X14)," )"),"nein")</f>
        <v xml:space="preserve">   .AddReference("refBanking2Type", EMyReferenceType::range,  "BankingTypes", "has values", "range value to extent the relationship of a person to an banking account", { {2,1} } )</v>
      </c>
    </row>
    <row r="15" spans="1:27" x14ac:dyDescent="0.45">
      <c r="A15" t="s">
        <v>102</v>
      </c>
      <c r="B15" t="s">
        <v>242</v>
      </c>
      <c r="C15" t="s">
        <v>94</v>
      </c>
      <c r="D15">
        <v>7</v>
      </c>
      <c r="N15" t="s">
        <v>104</v>
      </c>
      <c r="O15">
        <v>1</v>
      </c>
      <c r="Y15" t="s">
        <v>399</v>
      </c>
      <c r="Z15" t="s">
        <v>245</v>
      </c>
      <c r="AA15" t="str" cm="1">
        <f t="array" ref="AA15">IF(LängeListe(D15:M15)=LängeListe(O15:X15),CONCATENATE("   .AddReference(""",B15,""", ",CONCATENATE("EMyReferenceType::",C15),",  """,N15,""", """,Y15,""", """,Z15,""", ",PaarListe(D15:M15,O15:X15)," )"),"nein")</f>
        <v xml:space="preserve">   .AddReference("refBanking2Countries", EMyReferenceType::assoziation,  "Countries", "belongs to", "key ID to the associated entity of Countries, where bank who manage this account is located", { {7,1} } )</v>
      </c>
    </row>
    <row r="17" spans="1:27" x14ac:dyDescent="0.45">
      <c r="A17" t="s">
        <v>113</v>
      </c>
      <c r="B17" t="s">
        <v>441</v>
      </c>
      <c r="C17" t="s">
        <v>96</v>
      </c>
      <c r="D17">
        <v>1</v>
      </c>
      <c r="N17" t="s">
        <v>112</v>
      </c>
      <c r="O17">
        <v>1</v>
      </c>
      <c r="Y17" t="s">
        <v>402</v>
      </c>
      <c r="Z17" t="s">
        <v>442</v>
      </c>
      <c r="AA17" t="str" cm="1">
        <f t="array" ref="AA17">IF(LängeListe(D17:M17)=LängeListe(O17:X17),CONCATENATE("   .AddReference(""",B17,""", ",CONCATENATE("EMyReferenceType::",C17),",  """,N17,""", """,Y17,""", """,Z17,""", ",PaarListe(D17:M17,O17:X17)," )"),"nein")</f>
        <v xml:space="preserve">   .AddReference("refPhone2Person", EMyReferenceType::komposition,  "Person", "owns", "part of relationship from a phone number to the person who own it", { {1,1} } )</v>
      </c>
    </row>
    <row r="18" spans="1:27" x14ac:dyDescent="0.45">
      <c r="A18" t="s">
        <v>113</v>
      </c>
      <c r="B18" t="s">
        <v>445</v>
      </c>
      <c r="C18" t="s">
        <v>93</v>
      </c>
      <c r="D18">
        <v>2</v>
      </c>
      <c r="N18" t="s">
        <v>143</v>
      </c>
      <c r="O18">
        <v>1</v>
      </c>
      <c r="Y18" t="s">
        <v>398</v>
      </c>
      <c r="Z18" t="s">
        <v>443</v>
      </c>
      <c r="AA18" t="str" cm="1">
        <f t="array" ref="AA18">IF(LängeListe(D18:M18)=LängeListe(O18:X18),CONCATENATE("   .AddReference(""",B18,""", ",CONCATENATE("EMyReferenceType::",C18),",  """,N18,""", """,Y18,""", """,Z18,""", ",PaarListe(D18:M18,O18:X18)," )"),"nein")</f>
        <v xml:space="preserve">   .AddReference("refPhone2Type", EMyReferenceType::range,  "PhonesTypes", "has values", "range value to extent the relationship of a person to a phone number", { {2,1} } )</v>
      </c>
    </row>
    <row r="19" spans="1:27" x14ac:dyDescent="0.45">
      <c r="A19" t="s">
        <v>113</v>
      </c>
      <c r="B19" t="s">
        <v>446</v>
      </c>
      <c r="C19" t="s">
        <v>94</v>
      </c>
      <c r="D19">
        <v>5</v>
      </c>
      <c r="N19" t="s">
        <v>104</v>
      </c>
      <c r="O19">
        <v>1</v>
      </c>
      <c r="Y19" t="s">
        <v>399</v>
      </c>
      <c r="Z19" t="s">
        <v>444</v>
      </c>
      <c r="AA19" t="str" cm="1">
        <f t="array" ref="AA19">IF(LängeListe(D19:M19)=LängeListe(O19:X19),CONCATENATE("   .AddReference(""",B19,""", ",CONCATENATE("EMyReferenceType::",C19),",  """,N19,""", """,Y19,""", """,Z19,""", ",PaarListe(D19:M19,O19:X19)," )"),"nein")</f>
        <v xml:space="preserve">   .AddReference("refPhone2Countries", EMyReferenceType::assoziation,  "Countries", "belongs to", "key ID to the associated entity of Countries, where phone connection located", { {5,1} } )</v>
      </c>
    </row>
    <row r="21" spans="1:27" x14ac:dyDescent="0.45">
      <c r="A21" t="s">
        <v>109</v>
      </c>
      <c r="B21" t="s">
        <v>453</v>
      </c>
      <c r="C21" t="s">
        <v>96</v>
      </c>
      <c r="D21">
        <v>1</v>
      </c>
      <c r="N21" t="s">
        <v>112</v>
      </c>
      <c r="O21">
        <v>1</v>
      </c>
      <c r="Y21" t="s">
        <v>402</v>
      </c>
      <c r="Z21" t="s">
        <v>455</v>
      </c>
      <c r="AA21" t="str" cm="1">
        <f t="array" ref="AA21">IF(LängeListe(D21:M21)=LängeListe(O21:X21),CONCATENATE("   .AddReference(""",B21,""", ",CONCATENATE("EMyReferenceType::",C21),",  """,N21,""", """,Y21,""", """,Z21,""", ",PaarListe(D21:M21,O21:X21)," )"),"nein")</f>
        <v xml:space="preserve">   .AddReference("refInternet2Person", EMyReferenceType::komposition,  "Person", "owns", "part of relationship from an internet connection to the person who own it", { {1,1} } )</v>
      </c>
    </row>
    <row r="22" spans="1:27" x14ac:dyDescent="0.45">
      <c r="A22" t="s">
        <v>109</v>
      </c>
      <c r="B22" t="s">
        <v>454</v>
      </c>
      <c r="C22" t="s">
        <v>93</v>
      </c>
      <c r="D22">
        <v>2</v>
      </c>
      <c r="N22" t="s">
        <v>110</v>
      </c>
      <c r="O22">
        <v>1</v>
      </c>
      <c r="Y22" t="s">
        <v>398</v>
      </c>
      <c r="Z22" t="s">
        <v>456</v>
      </c>
      <c r="AA22" t="str" cm="1">
        <f t="array" ref="AA22">IF(LängeListe(D22:M22)=LängeListe(O22:X22),CONCATENATE("   .AddReference(""",B22,""", ",CONCATENATE("EMyReferenceType::",C22),",  """,N22,""", """,Y22,""", """,Z22,""", ",PaarListe(D22:M22,O22:X22)," )"),"nein")</f>
        <v xml:space="preserve">   .AddReference("refInternet2Type", EMyReferenceType::range,  "InternetTypes", "has values", "range value to extent the relationship of a person to an internet connection", { {2,1} } )</v>
      </c>
    </row>
    <row r="24" spans="1:27" x14ac:dyDescent="0.45">
      <c r="A24" t="s">
        <v>112</v>
      </c>
      <c r="B24" t="s">
        <v>450</v>
      </c>
      <c r="C24" t="s">
        <v>93</v>
      </c>
      <c r="D24">
        <v>4</v>
      </c>
      <c r="N24" t="s">
        <v>108</v>
      </c>
      <c r="O24">
        <v>1</v>
      </c>
      <c r="Y24" t="s">
        <v>398</v>
      </c>
      <c r="Z24" t="s">
        <v>451</v>
      </c>
      <c r="AA24" t="str" cm="1">
        <f t="array" ref="AA24">IF(LängeListe(D24:M24)=LängeListe(O24:X24),CONCATENATE("   .AddReference(""",B24,""", ",CONCATENATE("EMyReferenceType::",C24),",  """,N24,""", """,Y24,""", """,Z24,""", ",PaarListe(D24:M24,O24:X24)," )"),"nein")</f>
        <v xml:space="preserve">   .AddReference("refPerson2FormOfAddress", EMyReferenceType::range,  "FormOfAddress", "has values", "range value to extent the relationship of a person to a form of address", { {4,1} } )</v>
      </c>
    </row>
    <row r="25" spans="1:27" x14ac:dyDescent="0.45">
      <c r="A25" t="s">
        <v>112</v>
      </c>
      <c r="B25" t="s">
        <v>449</v>
      </c>
      <c r="C25" t="s">
        <v>93</v>
      </c>
      <c r="D25">
        <v>5</v>
      </c>
      <c r="N25" t="s">
        <v>188</v>
      </c>
      <c r="O25">
        <v>1</v>
      </c>
      <c r="Y25" t="s">
        <v>398</v>
      </c>
      <c r="Z25" t="s">
        <v>452</v>
      </c>
      <c r="AA25" t="str" cm="1">
        <f t="array" ref="AA25">IF(LängeListe(D25:M25)=LängeListe(O25:X25),CONCATENATE("   .AddReference(""",B25,""", ",CONCATENATE("EMyReferenceType::",C25),",  """,N25,""", """,Y25,""", """,Z25,""", ",PaarListe(D25:M25,O25:X25)," )"),"nein")</f>
        <v xml:space="preserve">   .AddReference("refPerson2FamilyStatus", EMyReferenceType::range,  "FamilyStatus", "has values", "range value to extent the relationship of a person to a family status", { {5,1} } )</v>
      </c>
    </row>
    <row r="29" spans="1:27" x14ac:dyDescent="0.45">
      <c r="A29" t="s">
        <v>106</v>
      </c>
      <c r="B29" t="s">
        <v>271</v>
      </c>
      <c r="C29" t="s">
        <v>92</v>
      </c>
      <c r="D29">
        <v>1</v>
      </c>
      <c r="N29" t="s">
        <v>112</v>
      </c>
      <c r="O29">
        <v>1</v>
      </c>
      <c r="Y29" t="s">
        <v>395</v>
      </c>
      <c r="Z29" t="s">
        <v>272</v>
      </c>
      <c r="AA29" t="str" cm="1">
        <f t="array" ref="AA29">IF(LängeListe(D29:M29)=LängeListe(O29:X29),CONCATENATE("   .AddReference(""",B29,""", ",CONCATENATE("EMyReferenceType::",C29),",  """,N29,""", """,Y29,""", """,Z29,""", ",PaarListe(D29:M29,O29:X29)," )"),"nein")</f>
        <v xml:space="preserve">   .AddReference("refEmployees2Person", EMyReferenceType::generalization,  "Person", "is-a", "generalization from an employee to a person (is-a relationship)", { {1,1} } )</v>
      </c>
    </row>
    <row r="30" spans="1:27" x14ac:dyDescent="0.45">
      <c r="A30" t="s">
        <v>106</v>
      </c>
      <c r="B30" t="s">
        <v>355</v>
      </c>
      <c r="C30" t="s">
        <v>93</v>
      </c>
      <c r="D30">
        <v>4</v>
      </c>
      <c r="N30" t="s">
        <v>317</v>
      </c>
      <c r="O30">
        <v>1</v>
      </c>
      <c r="Y30" t="s">
        <v>398</v>
      </c>
      <c r="Z30" t="s">
        <v>356</v>
      </c>
      <c r="AA30" t="str" cm="1">
        <f t="array" ref="AA30">IF(LängeListe(D30:M30)=LängeListe(O30:X30),CONCATENATE("   .AddReference(""",B30,""", ",CONCATENATE("EMyReferenceType::",C30),",  """,N30,""", """,Y30,""", """,Z30,""", ",PaarListe(D30:M30,O30:X30)," )"),"nein")</f>
        <v xml:space="preserve">   .AddReference("refEmployees2TaxClass", EMyReferenceType::range,  "TaxClasses", "has values", "range value as domain for the attribute TaxClass", { {4,1} } )</v>
      </c>
    </row>
    <row r="31" spans="1:27" x14ac:dyDescent="0.45">
      <c r="A31" t="s">
        <v>106</v>
      </c>
      <c r="B31" t="s">
        <v>273</v>
      </c>
      <c r="C31" t="s">
        <v>93</v>
      </c>
      <c r="D31">
        <v>6</v>
      </c>
      <c r="N31" t="s">
        <v>111</v>
      </c>
      <c r="O31">
        <v>1</v>
      </c>
      <c r="Y31" t="s">
        <v>400</v>
      </c>
      <c r="Z31" t="s">
        <v>274</v>
      </c>
      <c r="AA31" t="str" cm="1">
        <f t="array" ref="AA31">IF(LängeListe(D31:M31)=LängeListe(O31:X31),CONCATENATE("   .AddReference(""",B31,""", ",CONCATENATE("EMyReferenceType::",C31),",  """,N31,""", """,Y31,""", """,Z31,""", ",PaarListe(D31:M31,O31:X31)," )"),"nein")</f>
        <v xml:space="preserve">   .AddReference("refEmployees2JobPositions", EMyReferenceType::range,  "JobPositions", "holds", "range value as domain for this attribute, possible jobpositions in company", { {6,1} } )</v>
      </c>
    </row>
    <row r="32" spans="1:27" x14ac:dyDescent="0.45">
      <c r="A32" t="s">
        <v>106</v>
      </c>
      <c r="B32" t="s">
        <v>275</v>
      </c>
      <c r="C32" t="s">
        <v>94</v>
      </c>
      <c r="D32">
        <v>8</v>
      </c>
      <c r="N32" t="s">
        <v>105</v>
      </c>
      <c r="O32">
        <v>1</v>
      </c>
      <c r="Y32" t="s">
        <v>401</v>
      </c>
      <c r="Z32" t="s">
        <v>276</v>
      </c>
      <c r="AA32" t="str" cm="1">
        <f t="array" ref="AA32">IF(LängeListe(D32:M32)=LängeListe(O32:X32),CONCATENATE("   .AddReference(""",B32,""", ",CONCATENATE("EMyReferenceType::",C32),",  """,N32,""", """,Y32,""", """,Z32,""", ",PaarListe(D32:M32,O32:X32)," )"),"nein")</f>
        <v xml:space="preserve">   .AddReference("refEmployees2Department", EMyReferenceType::assoziation,  "Departments", "works in", "assoziations between an employee to the department where she/he work", { {8,1} } )</v>
      </c>
    </row>
    <row r="34" spans="1:27" x14ac:dyDescent="0.45">
      <c r="A34" t="s">
        <v>108</v>
      </c>
      <c r="B34" t="s">
        <v>459</v>
      </c>
      <c r="C34" t="s">
        <v>94</v>
      </c>
      <c r="D34">
        <v>5</v>
      </c>
      <c r="N34" t="s">
        <v>107</v>
      </c>
      <c r="O34">
        <v>1</v>
      </c>
      <c r="Y34" t="s">
        <v>460</v>
      </c>
      <c r="Z34" t="s">
        <v>461</v>
      </c>
      <c r="AA34" t="str" cm="1">
        <f t="array" ref="AA34">IF(LängeListe(D34:M34)=LängeListe(O34:X34),CONCATENATE("   .AddReference(""",B34,""", ",CONCATENATE("EMyReferenceType::",C34),",  """,N34,""", """,Y34,""", """,Z34,""", ",PaarListe(D34:M34,O34:X34)," )"),"nein")</f>
        <v xml:space="preserve">   .AddReference("refFormOfAddress2Type", EMyReferenceType::assoziation,  "FamilyTypes", "represent", "assoziation between a form of address and a familiy type which is represent", { {5,1} } )</v>
      </c>
    </row>
    <row r="36" spans="1:27" x14ac:dyDescent="0.45">
      <c r="A36" t="s">
        <v>183</v>
      </c>
      <c r="B36" t="s">
        <v>462</v>
      </c>
      <c r="C36" t="s">
        <v>96</v>
      </c>
      <c r="D36">
        <v>1</v>
      </c>
      <c r="N36" t="s">
        <v>106</v>
      </c>
      <c r="O36">
        <v>1</v>
      </c>
      <c r="Y36" t="s">
        <v>463</v>
      </c>
      <c r="Z36" t="s">
        <v>464</v>
      </c>
      <c r="AA36" t="str" cm="1">
        <f t="array" ref="AA36">IF(LängeListe(D36:M36)=LängeListe(O36:X36),CONCATENATE("   .AddReference(""",B36,""", ",CONCATENATE("EMyReferenceType::",C36),",  """,N36,""", """,Y36,""", """,Z36,""", ",PaarListe(D36:M36,O36:X36)," )"),"nein")</f>
        <v xml:space="preserve">   .AddReference("refWorkTime2Employee", EMyReferenceType::komposition,  "Employees", "worked", "part of relationship of work times to the employees", { {1,1}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H7" sqref="H7"/>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162</v>
      </c>
      <c r="H2" s="1" t="s">
        <v>295</v>
      </c>
      <c r="I2" s="1"/>
      <c r="J2" s="1" t="s">
        <v>59</v>
      </c>
    </row>
    <row r="3" spans="1:18" x14ac:dyDescent="0.45">
      <c r="A3" t="s">
        <v>32</v>
      </c>
      <c r="B3" t="s">
        <v>69</v>
      </c>
      <c r="C3" t="s">
        <v>57</v>
      </c>
      <c r="D3" t="s">
        <v>57</v>
      </c>
      <c r="E3" t="s">
        <v>33</v>
      </c>
      <c r="G3" t="s">
        <v>61</v>
      </c>
      <c r="H3" s="3"/>
      <c r="I3" t="s">
        <v>57</v>
      </c>
      <c r="J3" s="7" t="s">
        <v>407</v>
      </c>
      <c r="K3" s="5" t="str">
        <f>CONCATENATE("   ",$K$1,".AddDataType(""",A3,""", """,B3, """, ",C3,", ",D3, ", """,H3,""", """,E3,""", """,F3,""", """,G3,""", ",I3,", """,J3,"""",    " );")</f>
        <v xml:space="preserve">   dictionary.AddDataType("bigint", "BIGINT", false, false, "", "long long", "", "i", false, "BIGINT is largest integer data type for SQL Server . It uses 8 bytes of storage." );</v>
      </c>
      <c r="R3" s="3" t="s">
        <v>197</v>
      </c>
    </row>
    <row r="4" spans="1:18" x14ac:dyDescent="0.45">
      <c r="A4" t="s">
        <v>27</v>
      </c>
      <c r="B4" t="s">
        <v>408</v>
      </c>
      <c r="C4" t="s">
        <v>57</v>
      </c>
      <c r="D4" t="s">
        <v>57</v>
      </c>
      <c r="E4" t="s">
        <v>27</v>
      </c>
      <c r="G4" t="s">
        <v>62</v>
      </c>
      <c r="H4" s="3" t="s">
        <v>300</v>
      </c>
      <c r="I4" t="s">
        <v>57</v>
      </c>
      <c r="J4" s="7" t="s">
        <v>409</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195</v>
      </c>
      <c r="G5" t="s">
        <v>64</v>
      </c>
      <c r="H5" s="3"/>
      <c r="I5" t="s">
        <v>58</v>
      </c>
      <c r="J5" s="7" t="s">
        <v>411</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198</v>
      </c>
    </row>
    <row r="6" spans="1:18" x14ac:dyDescent="0.45">
      <c r="A6" t="s">
        <v>22</v>
      </c>
      <c r="B6" t="s">
        <v>72</v>
      </c>
      <c r="C6" t="s">
        <v>57</v>
      </c>
      <c r="D6" t="s">
        <v>57</v>
      </c>
      <c r="E6" t="s">
        <v>29</v>
      </c>
      <c r="F6" t="s">
        <v>194</v>
      </c>
      <c r="G6" t="s">
        <v>63</v>
      </c>
      <c r="H6" s="3"/>
      <c r="I6" t="s">
        <v>57</v>
      </c>
      <c r="J6" s="7" t="s">
        <v>412</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199</v>
      </c>
    </row>
    <row r="7" spans="1:18" x14ac:dyDescent="0.45">
      <c r="A7" t="s">
        <v>30</v>
      </c>
      <c r="B7" t="s">
        <v>72</v>
      </c>
      <c r="C7" t="s">
        <v>57</v>
      </c>
      <c r="D7" t="s">
        <v>57</v>
      </c>
      <c r="E7" t="s">
        <v>31</v>
      </c>
      <c r="F7" t="s">
        <v>194</v>
      </c>
      <c r="G7" t="s">
        <v>65</v>
      </c>
      <c r="H7" s="3"/>
      <c r="I7" t="s">
        <v>57</v>
      </c>
      <c r="J7" s="7" t="s">
        <v>410</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200</v>
      </c>
    </row>
    <row r="8" spans="1:18" x14ac:dyDescent="0.45">
      <c r="A8" t="s">
        <v>25</v>
      </c>
      <c r="B8" t="s">
        <v>73</v>
      </c>
      <c r="C8" t="s">
        <v>58</v>
      </c>
      <c r="D8" t="s">
        <v>58</v>
      </c>
      <c r="E8" t="s">
        <v>21</v>
      </c>
      <c r="G8" t="s">
        <v>66</v>
      </c>
      <c r="H8" s="3"/>
      <c r="I8" t="s">
        <v>58</v>
      </c>
      <c r="J8" s="7" t="s">
        <v>419</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201</v>
      </c>
    </row>
    <row r="9" spans="1:18" x14ac:dyDescent="0.45">
      <c r="A9" t="s">
        <v>21</v>
      </c>
      <c r="B9" t="s">
        <v>74</v>
      </c>
      <c r="C9" t="s">
        <v>57</v>
      </c>
      <c r="D9" t="s">
        <v>57</v>
      </c>
      <c r="E9" t="s">
        <v>21</v>
      </c>
      <c r="G9" t="s">
        <v>66</v>
      </c>
      <c r="H9" s="3"/>
      <c r="I9" t="s">
        <v>58</v>
      </c>
      <c r="J9" s="7" t="s">
        <v>418</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201</v>
      </c>
    </row>
    <row r="10" spans="1:18" x14ac:dyDescent="0.45">
      <c r="A10" t="s">
        <v>20</v>
      </c>
      <c r="B10" t="s">
        <v>75</v>
      </c>
      <c r="C10" t="s">
        <v>57</v>
      </c>
      <c r="D10" t="s">
        <v>57</v>
      </c>
      <c r="E10" t="s">
        <v>28</v>
      </c>
      <c r="G10" t="s">
        <v>61</v>
      </c>
      <c r="H10" s="3"/>
      <c r="I10" t="s">
        <v>57</v>
      </c>
      <c r="J10" s="7" t="s">
        <v>413</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197</v>
      </c>
    </row>
    <row r="11" spans="1:18" x14ac:dyDescent="0.45">
      <c r="A11" t="s">
        <v>135</v>
      </c>
      <c r="B11" t="s">
        <v>70</v>
      </c>
      <c r="C11" t="s">
        <v>57</v>
      </c>
      <c r="D11" t="s">
        <v>57</v>
      </c>
      <c r="E11" t="s">
        <v>416</v>
      </c>
      <c r="G11" t="s">
        <v>61</v>
      </c>
      <c r="H11" s="3"/>
      <c r="I11" t="s">
        <v>57</v>
      </c>
      <c r="J11" s="7" t="s">
        <v>417</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197</v>
      </c>
    </row>
    <row r="12" spans="1:18" x14ac:dyDescent="0.45">
      <c r="A12" t="s">
        <v>296</v>
      </c>
      <c r="B12" t="s">
        <v>75</v>
      </c>
      <c r="C12" t="s">
        <v>57</v>
      </c>
      <c r="D12" t="s">
        <v>57</v>
      </c>
      <c r="E12" t="s">
        <v>297</v>
      </c>
      <c r="G12" t="s">
        <v>298</v>
      </c>
      <c r="H12" s="3" t="s">
        <v>299</v>
      </c>
      <c r="I12" t="s">
        <v>57</v>
      </c>
      <c r="J12" s="7" t="s">
        <v>413</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195</v>
      </c>
      <c r="G13" t="s">
        <v>67</v>
      </c>
      <c r="H13" s="3"/>
      <c r="I13" t="s">
        <v>58</v>
      </c>
      <c r="J13" s="7" t="s">
        <v>415</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202</v>
      </c>
    </row>
    <row r="14" spans="1:18" x14ac:dyDescent="0.45">
      <c r="A14" t="s">
        <v>77</v>
      </c>
      <c r="B14" t="s">
        <v>78</v>
      </c>
      <c r="C14" t="s">
        <v>57</v>
      </c>
      <c r="D14" t="s">
        <v>57</v>
      </c>
      <c r="E14" t="s">
        <v>26</v>
      </c>
      <c r="F14" t="s">
        <v>195</v>
      </c>
      <c r="G14" t="s">
        <v>67</v>
      </c>
      <c r="H14" s="3"/>
      <c r="I14" t="s">
        <v>58</v>
      </c>
      <c r="J14" s="7" t="s">
        <v>414</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202</v>
      </c>
    </row>
    <row r="18" spans="1:1" x14ac:dyDescent="0.45">
      <c r="A18" s="1" t="s">
        <v>86</v>
      </c>
    </row>
    <row r="19" spans="1:1" x14ac:dyDescent="0.45">
      <c r="A19" t="s">
        <v>90</v>
      </c>
    </row>
    <row r="20" spans="1:1" x14ac:dyDescent="0.45">
      <c r="A20" t="s">
        <v>196</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96</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K56"/>
  <sheetViews>
    <sheetView workbookViewId="0">
      <selection activeCell="A27" sqref="A27"/>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1" max="11" width="89.33203125" style="6" customWidth="1"/>
  </cols>
  <sheetData>
    <row r="1" spans="1:11" x14ac:dyDescent="0.45">
      <c r="K1" s="5"/>
    </row>
    <row r="2" spans="1:11" x14ac:dyDescent="0.45">
      <c r="A2" t="s">
        <v>101</v>
      </c>
      <c r="B2" t="s">
        <v>134</v>
      </c>
      <c r="C2" t="s">
        <v>129</v>
      </c>
      <c r="D2" t="s">
        <v>130</v>
      </c>
      <c r="E2" t="s">
        <v>131</v>
      </c>
      <c r="F2" t="s">
        <v>133</v>
      </c>
      <c r="K2" s="5" t="str" cm="1">
        <f t="array" ref="K2">CONCATENATE("INSERT INTO ",A2," ",Liste((B2:J2)), " VALUES")</f>
        <v>INSERT INTO AddressTypes (ID, Denotation, Abbreviation, Description, UrgentValue) VALUES</v>
      </c>
    </row>
    <row r="3" spans="1:11" x14ac:dyDescent="0.45">
      <c r="A3" t="s">
        <v>101</v>
      </c>
      <c r="B3">
        <v>1</v>
      </c>
      <c r="C3" t="s">
        <v>303</v>
      </c>
      <c r="D3" s="3" t="s">
        <v>307</v>
      </c>
      <c r="E3" s="3" t="s">
        <v>308</v>
      </c>
      <c r="F3">
        <v>1</v>
      </c>
      <c r="K3" s="5" t="str" cm="1">
        <f t="array" ref="K3">CONCATENATE("   ",Liste(B3:J3),IF(K4&lt;&gt;"",", "," "))</f>
        <v xml:space="preserve">   (1, 'Hauptadresse', 'HA', 'Hauptadresse für die Anwendung', 1), </v>
      </c>
    </row>
    <row r="4" spans="1:11" x14ac:dyDescent="0.45">
      <c r="A4" t="s">
        <v>101</v>
      </c>
      <c r="B4">
        <v>2</v>
      </c>
      <c r="C4" s="3" t="s">
        <v>305</v>
      </c>
      <c r="D4" s="3" t="s">
        <v>310</v>
      </c>
      <c r="E4" s="3" t="s">
        <v>309</v>
      </c>
      <c r="F4">
        <v>0</v>
      </c>
      <c r="K4" s="5" t="str" cm="1">
        <f t="array" ref="K4">CONCATENATE("   ",Liste(B4:J4),IF(K5&lt;&gt;"",", "," "))</f>
        <v xml:space="preserve">   (2, 'Rechnungsadresse', 'RA', 'Rechnungsadresse für die Anwendung', 0), </v>
      </c>
    </row>
    <row r="5" spans="1:11" x14ac:dyDescent="0.45">
      <c r="A5" t="s">
        <v>101</v>
      </c>
      <c r="B5">
        <v>3</v>
      </c>
      <c r="C5" s="3" t="s">
        <v>304</v>
      </c>
      <c r="D5" s="3" t="s">
        <v>311</v>
      </c>
      <c r="E5" s="3" t="s">
        <v>313</v>
      </c>
      <c r="F5">
        <v>0</v>
      </c>
      <c r="K5" s="5" t="str" cm="1">
        <f t="array" ref="K5">CONCATENATE("   ",Liste(B5:J5),IF(K6&lt;&gt;"",", "," "))</f>
        <v xml:space="preserve">   (3, 'Lieferadresse', 'LA', 'Lieferadresse für die Trainingsanwendung', 0), </v>
      </c>
    </row>
    <row r="6" spans="1:11" x14ac:dyDescent="0.45">
      <c r="A6" t="s">
        <v>101</v>
      </c>
      <c r="B6">
        <v>4</v>
      </c>
      <c r="C6" s="3" t="s">
        <v>306</v>
      </c>
      <c r="D6" s="3" t="s">
        <v>312</v>
      </c>
      <c r="E6" s="3" t="s">
        <v>314</v>
      </c>
      <c r="F6">
        <v>0</v>
      </c>
      <c r="K6" s="5" t="str" cm="1">
        <f t="array" ref="K6">CONCATENATE("   ",Liste(B6:J6),IF(K7&lt;&gt;"",", "," "))</f>
        <v xml:space="preserve">   (4, 'Urlaubsadresse', 'UA', 'eine Adresse, in der die Person im Urlaub erreichbar ist', 0) </v>
      </c>
    </row>
    <row r="7" spans="1:11" x14ac:dyDescent="0.45">
      <c r="K7" s="5"/>
    </row>
    <row r="8" spans="1:11" x14ac:dyDescent="0.45">
      <c r="A8" t="s">
        <v>315</v>
      </c>
      <c r="B8" t="s">
        <v>134</v>
      </c>
      <c r="C8" t="s">
        <v>129</v>
      </c>
      <c r="D8" t="s">
        <v>130</v>
      </c>
      <c r="E8" t="s">
        <v>131</v>
      </c>
      <c r="F8" t="s">
        <v>133</v>
      </c>
      <c r="K8" s="5" t="str" cm="1">
        <f t="array" ref="K8">CONCATENATE("INSERT INTO ",A8," ",Liste((B8:J8)), " VALUES")</f>
        <v>INSERT INTO PhoneTypes (ID, Denotation, Abbreviation, Description, UrgentValue) VALUES</v>
      </c>
    </row>
    <row r="9" spans="1:11" x14ac:dyDescent="0.45">
      <c r="A9" t="s">
        <v>315</v>
      </c>
      <c r="B9">
        <v>1</v>
      </c>
      <c r="C9" s="3" t="s">
        <v>318</v>
      </c>
      <c r="D9" s="3" t="s">
        <v>319</v>
      </c>
      <c r="E9" s="3" t="s">
        <v>324</v>
      </c>
      <c r="F9">
        <v>1</v>
      </c>
      <c r="K9" s="5" t="str" cm="1">
        <f t="array" ref="K9">CONCATENATE("   ",Liste(B9:J9),IF(K10&lt;&gt;"",", "," "))</f>
        <v xml:space="preserve">   (1, 'Telefon', 'Tel', 'Telefonnummer zu einer Person', 1), </v>
      </c>
    </row>
    <row r="10" spans="1:11" x14ac:dyDescent="0.45">
      <c r="A10" t="s">
        <v>315</v>
      </c>
      <c r="B10">
        <v>2</v>
      </c>
      <c r="C10" s="3" t="s">
        <v>320</v>
      </c>
      <c r="D10" s="3" t="s">
        <v>321</v>
      </c>
      <c r="E10" s="3" t="s">
        <v>325</v>
      </c>
      <c r="F10">
        <v>1</v>
      </c>
      <c r="K10" s="5" t="str" cm="1">
        <f t="array" ref="K10">CONCATENATE("   ",Liste(B10:J10),IF(K11&lt;&gt;"",", "," "))</f>
        <v xml:space="preserve">   (2, 'Fax', Fax', 'Faxnummer zu einer Person', 1), </v>
      </c>
    </row>
    <row r="11" spans="1:11" x14ac:dyDescent="0.45">
      <c r="A11" t="s">
        <v>315</v>
      </c>
      <c r="B11">
        <v>3</v>
      </c>
      <c r="C11" s="3" t="s">
        <v>322</v>
      </c>
      <c r="D11" s="3" t="s">
        <v>323</v>
      </c>
      <c r="E11" s="3" t="s">
        <v>326</v>
      </c>
      <c r="F11">
        <v>1</v>
      </c>
      <c r="K11" s="5" t="str" cm="1">
        <f t="array" ref="K11">CONCATENATE("   ",Liste(B11:J11),IF(K12&lt;&gt;"",", "," "))</f>
        <v xml:space="preserve">   (3, 'Mobil', 'Mbl', 'Mobiltelefonnummer zu einer Person', 1) </v>
      </c>
    </row>
    <row r="12" spans="1:11" x14ac:dyDescent="0.45">
      <c r="K12" s="5"/>
    </row>
    <row r="13" spans="1:11" x14ac:dyDescent="0.45">
      <c r="A13" t="s">
        <v>103</v>
      </c>
      <c r="B13" t="s">
        <v>134</v>
      </c>
      <c r="C13" t="s">
        <v>129</v>
      </c>
      <c r="D13" t="s">
        <v>130</v>
      </c>
      <c r="E13" t="s">
        <v>131</v>
      </c>
      <c r="F13" t="s">
        <v>133</v>
      </c>
      <c r="K13" s="5" t="str" cm="1">
        <f t="array" ref="K13">CONCATENATE("INSERT INTO ",A13," ",Liste((B13:J13)), " VALUES")</f>
        <v>INSERT INTO BankingTypes (ID, Denotation, Abbreviation, Description, UrgentValue) VALUES</v>
      </c>
    </row>
    <row r="14" spans="1:11" x14ac:dyDescent="0.45">
      <c r="A14" t="s">
        <v>103</v>
      </c>
      <c r="B14">
        <v>1</v>
      </c>
      <c r="C14" s="3" t="s">
        <v>327</v>
      </c>
      <c r="D14" s="3" t="s">
        <v>328</v>
      </c>
      <c r="E14" s="3" t="s">
        <v>329</v>
      </c>
      <c r="F14">
        <v>1</v>
      </c>
      <c r="K14" s="5" t="str" cm="1">
        <f t="array" ref="K14">CONCATENATE("   ",Liste(B14:J14),IF(K15&lt;&gt;"",", "," "))</f>
        <v xml:space="preserve">   (1, 'Hauptkonto', 'HK', 'Hauptkonto für die Personen in der Anwendung', 1) </v>
      </c>
    </row>
    <row r="15" spans="1:11" x14ac:dyDescent="0.45">
      <c r="K15" s="5"/>
    </row>
    <row r="16" spans="1:11" x14ac:dyDescent="0.45">
      <c r="A16" t="s">
        <v>110</v>
      </c>
      <c r="B16" t="s">
        <v>134</v>
      </c>
      <c r="C16" t="s">
        <v>129</v>
      </c>
      <c r="D16" t="s">
        <v>130</v>
      </c>
      <c r="E16" t="s">
        <v>131</v>
      </c>
      <c r="F16" t="s">
        <v>162</v>
      </c>
      <c r="G16" t="s">
        <v>133</v>
      </c>
      <c r="K16" s="5" t="str" cm="1">
        <f t="array" ref="K16">CONCATENATE("INSERT INTO ",A16," ",Liste((B16:J16)), " VALUES")</f>
        <v>INSERT INTO InternetTypes (ID, Denotation, Abbreviation, Description, Prefix, UrgentValue) VALUES</v>
      </c>
    </row>
    <row r="17" spans="1:11" x14ac:dyDescent="0.45">
      <c r="A17" t="s">
        <v>110</v>
      </c>
      <c r="B17">
        <v>1</v>
      </c>
      <c r="C17" s="3" t="s">
        <v>330</v>
      </c>
      <c r="D17" s="3" t="s">
        <v>333</v>
      </c>
      <c r="E17" s="3" t="s">
        <v>336</v>
      </c>
      <c r="F17" s="3" t="s">
        <v>340</v>
      </c>
      <c r="G17">
        <v>1</v>
      </c>
      <c r="K17" s="5" t="str" cm="1">
        <f t="array" ref="K17">CONCATENATE("   ",Liste(B17:J17),IF(K18&lt;&gt;"",", "," "))</f>
        <v xml:space="preserve">   (1, 'Internet', 'HTTP', 'Die Homepage einer Person', 'http://', 1), </v>
      </c>
    </row>
    <row r="18" spans="1:11" x14ac:dyDescent="0.45">
      <c r="A18" t="s">
        <v>110</v>
      </c>
      <c r="B18">
        <v>2</v>
      </c>
      <c r="C18" s="3" t="s">
        <v>331</v>
      </c>
      <c r="D18" s="3" t="s">
        <v>334</v>
      </c>
      <c r="E18" s="3" t="s">
        <v>337</v>
      </c>
      <c r="F18" s="3" t="s">
        <v>341</v>
      </c>
      <c r="G18">
        <v>1</v>
      </c>
      <c r="K18" s="5" t="str" cm="1">
        <f t="array" ref="K18">CONCATENATE("   ",Liste(B18:J18),IF(K19&lt;&gt;"",", "," "))</f>
        <v xml:space="preserve">   (2, 'Email', 'Mail', 'Email- Adresse einer Person', 'mailto:', 1), </v>
      </c>
    </row>
    <row r="19" spans="1:11" x14ac:dyDescent="0.45">
      <c r="A19" t="s">
        <v>110</v>
      </c>
      <c r="B19">
        <v>3</v>
      </c>
      <c r="C19" s="3" t="s">
        <v>332</v>
      </c>
      <c r="D19" s="3" t="s">
        <v>332</v>
      </c>
      <c r="E19" s="3" t="s">
        <v>338</v>
      </c>
      <c r="F19" s="3" t="s">
        <v>342</v>
      </c>
      <c r="G19">
        <v>1</v>
      </c>
      <c r="K19" s="5" t="str" cm="1">
        <f t="array" ref="K19">CONCATENATE("   ",Liste(B19:J19),IF(K20&lt;&gt;"",", "," "))</f>
        <v xml:space="preserve">   (3, 'Skype', 'Skype', 'Skype- Name einer Person', 'skype:', 1), </v>
      </c>
    </row>
    <row r="20" spans="1:11" x14ac:dyDescent="0.45">
      <c r="A20" t="s">
        <v>110</v>
      </c>
      <c r="B20">
        <v>4</v>
      </c>
      <c r="C20" s="3" t="s">
        <v>318</v>
      </c>
      <c r="D20" s="3" t="s">
        <v>335</v>
      </c>
      <c r="E20" s="3" t="s">
        <v>339</v>
      </c>
      <c r="F20" s="3" t="s">
        <v>343</v>
      </c>
      <c r="G20">
        <v>1</v>
      </c>
      <c r="K20" s="5" t="str" cm="1">
        <f t="array" ref="K20">CONCATENATE("   ",Liste(B20:J20),IF(K21&lt;&gt;"",", "," "))</f>
        <v xml:space="preserve">   (4, 'Telefon', 'VoIP', 'VoIP- Nummer einer Person', 'phone:', 1) </v>
      </c>
    </row>
    <row r="21" spans="1:11" x14ac:dyDescent="0.45">
      <c r="K21" s="5"/>
    </row>
    <row r="22" spans="1:11" x14ac:dyDescent="0.45">
      <c r="A22" t="s">
        <v>107</v>
      </c>
      <c r="B22" t="s">
        <v>134</v>
      </c>
      <c r="C22" t="s">
        <v>129</v>
      </c>
      <c r="D22" t="s">
        <v>130</v>
      </c>
      <c r="E22" t="s">
        <v>131</v>
      </c>
      <c r="K22" s="5" t="str" cm="1">
        <f t="array" ref="K22">CONCATENATE("INSERT INTO ",A22," ",Liste((B22:J22)), " VALUES")</f>
        <v>INSERT INTO FamilyTypes (ID, Denotation, Abbreviation, Description) VALUES</v>
      </c>
    </row>
    <row r="23" spans="1:11" x14ac:dyDescent="0.45">
      <c r="A23" t="s">
        <v>107</v>
      </c>
      <c r="B23">
        <v>1</v>
      </c>
      <c r="C23" s="3" t="s">
        <v>344</v>
      </c>
      <c r="K23" s="5"/>
    </row>
    <row r="24" spans="1:11" x14ac:dyDescent="0.45">
      <c r="A24" t="s">
        <v>107</v>
      </c>
      <c r="B24">
        <v>2</v>
      </c>
      <c r="C24" s="3" t="s">
        <v>345</v>
      </c>
      <c r="K24" s="5"/>
    </row>
    <row r="25" spans="1:11" x14ac:dyDescent="0.45">
      <c r="A25" t="s">
        <v>107</v>
      </c>
      <c r="B25">
        <v>3</v>
      </c>
      <c r="C25" s="3" t="s">
        <v>346</v>
      </c>
      <c r="K25" s="5"/>
    </row>
    <row r="26" spans="1:11" x14ac:dyDescent="0.45">
      <c r="A26" t="s">
        <v>107</v>
      </c>
      <c r="B26">
        <v>4</v>
      </c>
      <c r="C26" s="3" t="s">
        <v>347</v>
      </c>
      <c r="K26" s="5"/>
    </row>
    <row r="27" spans="1:11" x14ac:dyDescent="0.45">
      <c r="A27" t="s">
        <v>107</v>
      </c>
      <c r="B27">
        <v>5</v>
      </c>
      <c r="C27" s="3" t="s">
        <v>348</v>
      </c>
      <c r="K27" s="5"/>
    </row>
    <row r="28" spans="1:11" x14ac:dyDescent="0.45">
      <c r="A28" t="s">
        <v>107</v>
      </c>
      <c r="B28">
        <v>6</v>
      </c>
      <c r="C28" s="3" t="s">
        <v>349</v>
      </c>
      <c r="K28" s="5"/>
    </row>
    <row r="29" spans="1:11" x14ac:dyDescent="0.45">
      <c r="A29" t="s">
        <v>107</v>
      </c>
      <c r="B29">
        <v>7</v>
      </c>
      <c r="C29" s="3" t="s">
        <v>350</v>
      </c>
      <c r="D29" s="3" t="s">
        <v>381</v>
      </c>
      <c r="E29" s="3" t="s">
        <v>382</v>
      </c>
      <c r="K29" s="5"/>
    </row>
    <row r="30" spans="1:11" x14ac:dyDescent="0.45">
      <c r="K30" s="5"/>
    </row>
    <row r="31" spans="1:11" x14ac:dyDescent="0.45">
      <c r="A31" t="s">
        <v>108</v>
      </c>
      <c r="B31" t="s">
        <v>134</v>
      </c>
      <c r="C31" t="s">
        <v>129</v>
      </c>
      <c r="D31" t="s">
        <v>130</v>
      </c>
      <c r="E31" t="s">
        <v>131</v>
      </c>
      <c r="K31" s="5" t="str" cm="1">
        <f t="array" ref="K31">CONCATENATE("INSERT INTO ",A31," ",Liste((B31:J31)), " VALUES")</f>
        <v>INSERT INTO FormOfAddress (ID, Denotation, Abbreviation, Description) VALUES</v>
      </c>
    </row>
    <row r="32" spans="1:11" x14ac:dyDescent="0.45">
      <c r="A32" t="s">
        <v>108</v>
      </c>
      <c r="B32">
        <v>1</v>
      </c>
      <c r="K32" s="5"/>
    </row>
    <row r="33" spans="1:11" x14ac:dyDescent="0.45">
      <c r="A33" t="s">
        <v>108</v>
      </c>
      <c r="B33">
        <v>2</v>
      </c>
      <c r="K33" s="5"/>
    </row>
    <row r="34" spans="1:11" x14ac:dyDescent="0.45">
      <c r="A34" t="s">
        <v>108</v>
      </c>
      <c r="B34">
        <v>3</v>
      </c>
      <c r="K34" s="5"/>
    </row>
    <row r="35" spans="1:11" x14ac:dyDescent="0.45">
      <c r="K35" s="5"/>
    </row>
    <row r="36" spans="1:11" x14ac:dyDescent="0.45">
      <c r="A36" t="s">
        <v>188</v>
      </c>
      <c r="B36" t="s">
        <v>134</v>
      </c>
      <c r="C36" t="s">
        <v>129</v>
      </c>
      <c r="D36" t="s">
        <v>130</v>
      </c>
      <c r="E36" t="s">
        <v>131</v>
      </c>
      <c r="K36" s="5" t="str" cm="1">
        <f t="array" ref="K36">CONCATENATE("INSERT INTO ",A36," ",Liste((B36:J36)), " VALUES")</f>
        <v>INSERT INTO FamilyStatus (ID, Denotation, Abbreviation, Description) VALUES</v>
      </c>
    </row>
    <row r="37" spans="1:11" x14ac:dyDescent="0.45">
      <c r="A37" t="s">
        <v>188</v>
      </c>
      <c r="B37">
        <v>1</v>
      </c>
      <c r="K37" s="5"/>
    </row>
    <row r="38" spans="1:11" x14ac:dyDescent="0.45">
      <c r="A38" t="s">
        <v>188</v>
      </c>
      <c r="B38">
        <v>2</v>
      </c>
      <c r="K38" s="5"/>
    </row>
    <row r="39" spans="1:11" x14ac:dyDescent="0.45">
      <c r="A39" t="s">
        <v>188</v>
      </c>
      <c r="B39">
        <v>3</v>
      </c>
      <c r="K39" s="5"/>
    </row>
    <row r="40" spans="1:11" x14ac:dyDescent="0.45">
      <c r="A40" t="s">
        <v>188</v>
      </c>
      <c r="B40">
        <v>4</v>
      </c>
      <c r="K40" s="5"/>
    </row>
    <row r="41" spans="1:11" x14ac:dyDescent="0.45">
      <c r="A41" t="s">
        <v>188</v>
      </c>
      <c r="B41">
        <v>5</v>
      </c>
      <c r="K41" s="5"/>
    </row>
    <row r="42" spans="1:11" x14ac:dyDescent="0.45">
      <c r="A42" t="s">
        <v>188</v>
      </c>
      <c r="B42">
        <v>6</v>
      </c>
      <c r="K42" s="5"/>
    </row>
    <row r="43" spans="1:11" x14ac:dyDescent="0.45">
      <c r="K43" s="5"/>
    </row>
    <row r="44" spans="1:11" x14ac:dyDescent="0.45">
      <c r="A44" t="s">
        <v>317</v>
      </c>
      <c r="B44" t="s">
        <v>134</v>
      </c>
      <c r="C44" t="s">
        <v>129</v>
      </c>
      <c r="D44" t="s">
        <v>130</v>
      </c>
      <c r="E44" t="s">
        <v>131</v>
      </c>
      <c r="K44" s="5" t="str" cm="1">
        <f t="array" ref="K44">CONCATENATE("INSERT INTO ",A44," ",Liste((B44:J44)), " VALUES")</f>
        <v>INSERT INTO TaxClasses (ID, Denotation, Abbreviation, Description) VALUES</v>
      </c>
    </row>
    <row r="45" spans="1:11" x14ac:dyDescent="0.45">
      <c r="A45" t="s">
        <v>317</v>
      </c>
      <c r="B45">
        <v>1</v>
      </c>
      <c r="C45" s="3" t="s">
        <v>364</v>
      </c>
      <c r="D45" s="3" t="s">
        <v>358</v>
      </c>
      <c r="E45" s="3" t="s">
        <v>357</v>
      </c>
      <c r="F45">
        <v>1</v>
      </c>
      <c r="K45" s="5" t="str" cm="1">
        <f t="array" ref="K45">CONCATENATE("   ",Liste(B45:J45),IF(K46&lt;&gt;"",", "," "))</f>
        <v xml:space="preserve">   (1, 'Steuerklasse 1', 'I', 'Dies ist die Standardsteuerklasse für alleinstehende Personen ohne Kinder.", 1), </v>
      </c>
    </row>
    <row r="46" spans="1:11" x14ac:dyDescent="0.45">
      <c r="A46" t="s">
        <v>317</v>
      </c>
      <c r="B46">
        <v>2</v>
      </c>
      <c r="C46" s="3" t="s">
        <v>365</v>
      </c>
      <c r="D46" s="3" t="s">
        <v>359</v>
      </c>
      <c r="E46" s="3" t="s">
        <v>375</v>
      </c>
      <c r="F46">
        <v>1</v>
      </c>
      <c r="K46" s="5" t="str" cm="1">
        <f t="array" ref="K46">CONCATENATE("   ",Liste(B46:J46),IF(K47&lt;&gt;"",", "," "))</f>
        <v xml:space="preserve">   (2, 'Steuerklasse 2', 'II', 'Diese Steuerklasse ist für Alleinerziehende mit mindestens einem Kind gedacht.', 1), </v>
      </c>
    </row>
    <row r="47" spans="1:11" x14ac:dyDescent="0.45">
      <c r="A47" t="s">
        <v>317</v>
      </c>
      <c r="B47">
        <v>3</v>
      </c>
      <c r="C47" s="3" t="s">
        <v>366</v>
      </c>
      <c r="D47" s="3" t="s">
        <v>360</v>
      </c>
      <c r="E47" s="3" t="s">
        <v>376</v>
      </c>
      <c r="F47">
        <v>1</v>
      </c>
      <c r="K47" s="5" t="str" cm="1">
        <f t="array" ref="K47">CONCATENATE("   ",Liste(B47:J47),IF(K48&lt;&gt;"",", "," "))</f>
        <v xml:space="preserve">   (3, 'Steuerklasse 3', 'III', 'Diese Klasse ist für verheiratete oder in einer eingetragenen Lebenspartnerschaft lebende Personen, wenn der Ehe- oder Lebenspartner in Steuerklasse V eingestuft ist oder keine Einkünfte hat.', 1), </v>
      </c>
    </row>
    <row r="48" spans="1:11" x14ac:dyDescent="0.45">
      <c r="A48" t="s">
        <v>317</v>
      </c>
      <c r="B48">
        <v>4</v>
      </c>
      <c r="C48" s="3" t="s">
        <v>367</v>
      </c>
      <c r="D48" s="3" t="s">
        <v>361</v>
      </c>
      <c r="E48" s="3" t="s">
        <v>377</v>
      </c>
      <c r="F48">
        <v>1</v>
      </c>
      <c r="K48" s="5" t="str" cm="1">
        <f t="array" ref="K48">CONCATENATE("   ",Liste(B48:J48),IF(K49&lt;&gt;"",", "," "))</f>
        <v xml:space="preserve">   (4, 'Steuerklasse 4', 'IV', 'Dies ist die Standardsteuerklasse für verheiratete oder in einer eingetragenen Lebenspartnerschaft lebende Personen, wenn beide Partner ein ähnliches Einkommen haben.', 1), </v>
      </c>
    </row>
    <row r="49" spans="1:11" x14ac:dyDescent="0.45">
      <c r="A49" t="s">
        <v>317</v>
      </c>
      <c r="B49">
        <v>5</v>
      </c>
      <c r="C49" s="3" t="s">
        <v>368</v>
      </c>
      <c r="D49" s="3" t="s">
        <v>362</v>
      </c>
      <c r="E49" s="3" t="s">
        <v>378</v>
      </c>
      <c r="F49">
        <v>1</v>
      </c>
      <c r="K49" s="5" t="str" cm="1">
        <f t="array" ref="K49">CONCATENATE("   ",Liste(B49:J49),IF(K50&lt;&gt;"",", "," "))</f>
        <v xml:space="preserve">   (5, 'Steuerklasse 5', 'V', 'Diese Klasse wird für den Ehe- oder Lebenspartner verwendet, wenn der andere Partner in Steuerklasse III eingestuft ist.', 1), </v>
      </c>
    </row>
    <row r="50" spans="1:11" x14ac:dyDescent="0.45">
      <c r="A50" t="s">
        <v>317</v>
      </c>
      <c r="B50">
        <v>6</v>
      </c>
      <c r="C50" s="3" t="s">
        <v>374</v>
      </c>
      <c r="D50" s="3" t="s">
        <v>363</v>
      </c>
      <c r="E50" s="3" t="s">
        <v>380</v>
      </c>
      <c r="F50">
        <v>1</v>
      </c>
      <c r="K50" s="5" t="str" cm="1">
        <f t="array" ref="K50">CONCATENATE("   ",Liste(B50:J50),IF(K51&lt;&gt;"",", "," "))</f>
        <v xml:space="preserve">   (6, 'Steuerklasse 6', 'VI', 'Diese Klasse wird verwendet, wenn eine Person mehrere Jobs hat oder zusätzliche Einkünfte aus einer geringfügigen Beschäftigung hat.', 1), </v>
      </c>
    </row>
    <row r="51" spans="1:11" x14ac:dyDescent="0.45">
      <c r="A51" t="s">
        <v>317</v>
      </c>
      <c r="B51">
        <v>7</v>
      </c>
      <c r="C51" s="3" t="s">
        <v>369</v>
      </c>
      <c r="D51" s="3" t="s">
        <v>372</v>
      </c>
      <c r="E51" s="3" t="s">
        <v>373</v>
      </c>
      <c r="F51">
        <v>1</v>
      </c>
      <c r="K51" s="5" t="str" cm="1">
        <f t="array" ref="K51">CONCATENATE("   ",Liste(B51:J51),IF(K52&lt;&gt;"",", "," "))</f>
        <v xml:space="preserve">   (7, 'Ausland', 'A', 'Person wohnt im Ausland, Steuer individuell bestimmen ', 1), </v>
      </c>
    </row>
    <row r="52" spans="1:11" x14ac:dyDescent="0.45">
      <c r="A52" t="s">
        <v>317</v>
      </c>
      <c r="B52">
        <v>8</v>
      </c>
      <c r="C52" s="3" t="s">
        <v>370</v>
      </c>
      <c r="D52" s="3" t="s">
        <v>371</v>
      </c>
      <c r="E52" s="3" t="s">
        <v>379</v>
      </c>
      <c r="F52">
        <v>1</v>
      </c>
      <c r="K52" s="5" t="str" cm="1">
        <f t="array" ref="K52">CONCATENATE("   ",Liste(B52:J52),IF(K53&lt;&gt;"",", "," "))</f>
        <v xml:space="preserve">   (8, 'unbekannt', '-', 'Steuerklasse noch unbekannt, unbedingt nachfragen, vorläufig als Steuerklasse 6 abrechnen', 1) </v>
      </c>
    </row>
    <row r="53" spans="1:11" x14ac:dyDescent="0.45">
      <c r="K53" s="5"/>
    </row>
    <row r="54" spans="1:11" x14ac:dyDescent="0.45">
      <c r="K54" s="5"/>
    </row>
    <row r="55" spans="1:11" x14ac:dyDescent="0.45">
      <c r="K55" s="5"/>
    </row>
    <row r="56" spans="1:11" x14ac:dyDescent="0.45">
      <c r="K56" s="5"/>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Metadata</vt:lpstr>
      <vt:lpstr>Indices</vt:lpstr>
      <vt:lpstr>Relationships</vt:lpstr>
      <vt:lpstr>Types</vt:lpstr>
      <vt:lpstr>ranges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2024-02-12T18:23:13Z</dcterms:modified>
</cp:coreProperties>
</file>